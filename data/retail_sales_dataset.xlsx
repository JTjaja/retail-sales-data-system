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22" documentId="11_C159B5DA8431D71FE0698C88DA70E102EB35A788" xr6:coauthVersionLast="47" xr6:coauthVersionMax="47" xr10:uidLastSave="{38564EE2-3C73-49FD-AF45-C5EB9FAC6B91}"/>
  <bookViews>
    <workbookView xWindow="0" yWindow="0" windowWidth="16384" windowHeight="8192" firstSheet="4" activeTab="2" xr2:uid="{00000000-000D-0000-FFFF-FFFF00000000}"/>
  </bookViews>
  <sheets>
    <sheet name="retail_sales_dataset" sheetId="1" r:id="rId1"/>
    <sheet name="Feature_Mappings" sheetId="2" r:id="rId2"/>
    <sheet name="Store_Manager" sheetId="3" r:id="rId3"/>
    <sheet name="Store" sheetId="4" r:id="rId4"/>
    <sheet name="Custom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01" i="1" l="1"/>
  <c r="O1001" i="1" s="1"/>
  <c r="L1001" i="1"/>
  <c r="K1001" i="1"/>
  <c r="M1000" i="1"/>
  <c r="O1000" i="1" s="1"/>
  <c r="L1000" i="1"/>
  <c r="K1000" i="1"/>
  <c r="M999" i="1"/>
  <c r="O999" i="1" s="1"/>
  <c r="L999" i="1"/>
  <c r="K999" i="1"/>
  <c r="M998" i="1"/>
  <c r="O998" i="1" s="1"/>
  <c r="L998" i="1"/>
  <c r="K998" i="1"/>
  <c r="M997" i="1"/>
  <c r="O997" i="1" s="1"/>
  <c r="L997" i="1"/>
  <c r="K997" i="1"/>
  <c r="M996" i="1"/>
  <c r="O996" i="1" s="1"/>
  <c r="L996" i="1"/>
  <c r="K996" i="1"/>
  <c r="M995" i="1"/>
  <c r="O995" i="1" s="1"/>
  <c r="L995" i="1"/>
  <c r="K995" i="1"/>
  <c r="M994" i="1"/>
  <c r="O994" i="1" s="1"/>
  <c r="L994" i="1"/>
  <c r="K994" i="1"/>
  <c r="M993" i="1"/>
  <c r="O993" i="1" s="1"/>
  <c r="L993" i="1"/>
  <c r="K993" i="1"/>
  <c r="M992" i="1"/>
  <c r="O992" i="1" s="1"/>
  <c r="L992" i="1"/>
  <c r="K992" i="1"/>
  <c r="M991" i="1"/>
  <c r="O991" i="1" s="1"/>
  <c r="L991" i="1"/>
  <c r="K991" i="1"/>
  <c r="M990" i="1"/>
  <c r="O990" i="1" s="1"/>
  <c r="L990" i="1"/>
  <c r="K990" i="1"/>
  <c r="M989" i="1"/>
  <c r="O989" i="1" s="1"/>
  <c r="L989" i="1"/>
  <c r="K989" i="1"/>
  <c r="M988" i="1"/>
  <c r="O988" i="1" s="1"/>
  <c r="L988" i="1"/>
  <c r="K988" i="1"/>
  <c r="M987" i="1"/>
  <c r="O987" i="1" s="1"/>
  <c r="L987" i="1"/>
  <c r="K987" i="1"/>
  <c r="M986" i="1"/>
  <c r="O986" i="1" s="1"/>
  <c r="L986" i="1"/>
  <c r="K986" i="1"/>
  <c r="M985" i="1"/>
  <c r="O985" i="1" s="1"/>
  <c r="L985" i="1"/>
  <c r="K985" i="1"/>
  <c r="M984" i="1"/>
  <c r="O984" i="1" s="1"/>
  <c r="L984" i="1"/>
  <c r="K984" i="1"/>
  <c r="M983" i="1"/>
  <c r="O983" i="1" s="1"/>
  <c r="L983" i="1"/>
  <c r="K983" i="1"/>
  <c r="M982" i="1"/>
  <c r="O982" i="1" s="1"/>
  <c r="L982" i="1"/>
  <c r="K982" i="1"/>
  <c r="M981" i="1"/>
  <c r="O981" i="1" s="1"/>
  <c r="L981" i="1"/>
  <c r="K981" i="1"/>
  <c r="M980" i="1"/>
  <c r="O980" i="1" s="1"/>
  <c r="L980" i="1"/>
  <c r="K980" i="1"/>
  <c r="M979" i="1"/>
  <c r="O979" i="1" s="1"/>
  <c r="L979" i="1"/>
  <c r="K979" i="1"/>
  <c r="M978" i="1"/>
  <c r="O978" i="1" s="1"/>
  <c r="L978" i="1"/>
  <c r="K978" i="1"/>
  <c r="M977" i="1"/>
  <c r="O977" i="1" s="1"/>
  <c r="L977" i="1"/>
  <c r="K977" i="1"/>
  <c r="M976" i="1"/>
  <c r="O976" i="1" s="1"/>
  <c r="L976" i="1"/>
  <c r="K976" i="1"/>
  <c r="M975" i="1"/>
  <c r="O975" i="1" s="1"/>
  <c r="L975" i="1"/>
  <c r="K975" i="1"/>
  <c r="M974" i="1"/>
  <c r="O974" i="1" s="1"/>
  <c r="L974" i="1"/>
  <c r="K974" i="1"/>
  <c r="M973" i="1"/>
  <c r="O973" i="1" s="1"/>
  <c r="L973" i="1"/>
  <c r="K973" i="1"/>
  <c r="M972" i="1"/>
  <c r="O972" i="1" s="1"/>
  <c r="L972" i="1"/>
  <c r="K972" i="1"/>
  <c r="M971" i="1"/>
  <c r="O971" i="1" s="1"/>
  <c r="L971" i="1"/>
  <c r="K971" i="1"/>
  <c r="M970" i="1"/>
  <c r="O970" i="1" s="1"/>
  <c r="L970" i="1"/>
  <c r="K970" i="1"/>
  <c r="M969" i="1"/>
  <c r="O969" i="1" s="1"/>
  <c r="L969" i="1"/>
  <c r="K969" i="1"/>
  <c r="M968" i="1"/>
  <c r="O968" i="1" s="1"/>
  <c r="L968" i="1"/>
  <c r="K968" i="1"/>
  <c r="M967" i="1"/>
  <c r="O967" i="1" s="1"/>
  <c r="L967" i="1"/>
  <c r="K967" i="1"/>
  <c r="M966" i="1"/>
  <c r="O966" i="1" s="1"/>
  <c r="L966" i="1"/>
  <c r="K966" i="1"/>
  <c r="M965" i="1"/>
  <c r="O965" i="1" s="1"/>
  <c r="L965" i="1"/>
  <c r="K965" i="1"/>
  <c r="M964" i="1"/>
  <c r="O964" i="1" s="1"/>
  <c r="L964" i="1"/>
  <c r="K964" i="1"/>
  <c r="M963" i="1"/>
  <c r="O963" i="1" s="1"/>
  <c r="L963" i="1"/>
  <c r="K963" i="1"/>
  <c r="M962" i="1"/>
  <c r="O962" i="1" s="1"/>
  <c r="L962" i="1"/>
  <c r="K962" i="1"/>
  <c r="M961" i="1"/>
  <c r="O961" i="1" s="1"/>
  <c r="L961" i="1"/>
  <c r="K961" i="1"/>
  <c r="M960" i="1"/>
  <c r="O960" i="1" s="1"/>
  <c r="L960" i="1"/>
  <c r="K960" i="1"/>
  <c r="M959" i="1"/>
  <c r="O959" i="1" s="1"/>
  <c r="L959" i="1"/>
  <c r="K959" i="1"/>
  <c r="M958" i="1"/>
  <c r="O958" i="1" s="1"/>
  <c r="L958" i="1"/>
  <c r="K958" i="1"/>
  <c r="M957" i="1"/>
  <c r="O957" i="1" s="1"/>
  <c r="L957" i="1"/>
  <c r="K957" i="1"/>
  <c r="M956" i="1"/>
  <c r="O956" i="1" s="1"/>
  <c r="L956" i="1"/>
  <c r="K956" i="1"/>
  <c r="M955" i="1"/>
  <c r="O955" i="1" s="1"/>
  <c r="L955" i="1"/>
  <c r="K955" i="1"/>
  <c r="M954" i="1"/>
  <c r="O954" i="1" s="1"/>
  <c r="L954" i="1"/>
  <c r="K954" i="1"/>
  <c r="M953" i="1"/>
  <c r="O953" i="1" s="1"/>
  <c r="L953" i="1"/>
  <c r="K953" i="1"/>
  <c r="M952" i="1"/>
  <c r="O952" i="1" s="1"/>
  <c r="L952" i="1"/>
  <c r="K952" i="1"/>
  <c r="M951" i="1"/>
  <c r="O951" i="1" s="1"/>
  <c r="L951" i="1"/>
  <c r="K951" i="1"/>
  <c r="M950" i="1"/>
  <c r="O950" i="1" s="1"/>
  <c r="L950" i="1"/>
  <c r="K950" i="1"/>
  <c r="M949" i="1"/>
  <c r="O949" i="1" s="1"/>
  <c r="L949" i="1"/>
  <c r="K949" i="1"/>
  <c r="M948" i="1"/>
  <c r="O948" i="1" s="1"/>
  <c r="L948" i="1"/>
  <c r="K948" i="1"/>
  <c r="M947" i="1"/>
  <c r="O947" i="1" s="1"/>
  <c r="L947" i="1"/>
  <c r="K947" i="1"/>
  <c r="M946" i="1"/>
  <c r="O946" i="1" s="1"/>
  <c r="L946" i="1"/>
  <c r="K946" i="1"/>
  <c r="M945" i="1"/>
  <c r="O945" i="1" s="1"/>
  <c r="L945" i="1"/>
  <c r="K945" i="1"/>
  <c r="M944" i="1"/>
  <c r="O944" i="1" s="1"/>
  <c r="L944" i="1"/>
  <c r="K944" i="1"/>
  <c r="M943" i="1"/>
  <c r="O943" i="1" s="1"/>
  <c r="L943" i="1"/>
  <c r="K943" i="1"/>
  <c r="M942" i="1"/>
  <c r="O942" i="1" s="1"/>
  <c r="L942" i="1"/>
  <c r="K942" i="1"/>
  <c r="M941" i="1"/>
  <c r="O941" i="1" s="1"/>
  <c r="L941" i="1"/>
  <c r="K941" i="1"/>
  <c r="M940" i="1"/>
  <c r="O940" i="1" s="1"/>
  <c r="L940" i="1"/>
  <c r="K940" i="1"/>
  <c r="M939" i="1"/>
  <c r="O939" i="1" s="1"/>
  <c r="L939" i="1"/>
  <c r="K939" i="1"/>
  <c r="M938" i="1"/>
  <c r="O938" i="1" s="1"/>
  <c r="L938" i="1"/>
  <c r="K938" i="1"/>
  <c r="M937" i="1"/>
  <c r="O937" i="1" s="1"/>
  <c r="L937" i="1"/>
  <c r="K937" i="1"/>
  <c r="M936" i="1"/>
  <c r="O936" i="1" s="1"/>
  <c r="L936" i="1"/>
  <c r="K936" i="1"/>
  <c r="M935" i="1"/>
  <c r="O935" i="1" s="1"/>
  <c r="L935" i="1"/>
  <c r="K935" i="1"/>
  <c r="M934" i="1"/>
  <c r="O934" i="1" s="1"/>
  <c r="L934" i="1"/>
  <c r="K934" i="1"/>
  <c r="M933" i="1"/>
  <c r="O933" i="1" s="1"/>
  <c r="L933" i="1"/>
  <c r="K933" i="1"/>
  <c r="M932" i="1"/>
  <c r="O932" i="1" s="1"/>
  <c r="L932" i="1"/>
  <c r="K932" i="1"/>
  <c r="M931" i="1"/>
  <c r="O931" i="1" s="1"/>
  <c r="L931" i="1"/>
  <c r="K931" i="1"/>
  <c r="M930" i="1"/>
  <c r="O930" i="1" s="1"/>
  <c r="L930" i="1"/>
  <c r="K930" i="1"/>
  <c r="M929" i="1"/>
  <c r="O929" i="1" s="1"/>
  <c r="L929" i="1"/>
  <c r="K929" i="1"/>
  <c r="M928" i="1"/>
  <c r="O928" i="1" s="1"/>
  <c r="L928" i="1"/>
  <c r="K928" i="1"/>
  <c r="M927" i="1"/>
  <c r="O927" i="1" s="1"/>
  <c r="L927" i="1"/>
  <c r="K927" i="1"/>
  <c r="M926" i="1"/>
  <c r="O926" i="1" s="1"/>
  <c r="L926" i="1"/>
  <c r="K926" i="1"/>
  <c r="M925" i="1"/>
  <c r="O925" i="1" s="1"/>
  <c r="L925" i="1"/>
  <c r="K925" i="1"/>
  <c r="M924" i="1"/>
  <c r="O924" i="1" s="1"/>
  <c r="L924" i="1"/>
  <c r="K924" i="1"/>
  <c r="M923" i="1"/>
  <c r="O923" i="1" s="1"/>
  <c r="L923" i="1"/>
  <c r="K923" i="1"/>
  <c r="M922" i="1"/>
  <c r="O922" i="1" s="1"/>
  <c r="L922" i="1"/>
  <c r="K922" i="1"/>
  <c r="M921" i="1"/>
  <c r="O921" i="1" s="1"/>
  <c r="L921" i="1"/>
  <c r="K921" i="1"/>
  <c r="M920" i="1"/>
  <c r="O920" i="1" s="1"/>
  <c r="L920" i="1"/>
  <c r="K920" i="1"/>
  <c r="M919" i="1"/>
  <c r="O919" i="1" s="1"/>
  <c r="L919" i="1"/>
  <c r="K919" i="1"/>
  <c r="M918" i="1"/>
  <c r="O918" i="1" s="1"/>
  <c r="L918" i="1"/>
  <c r="K918" i="1"/>
  <c r="M917" i="1"/>
  <c r="O917" i="1" s="1"/>
  <c r="L917" i="1"/>
  <c r="K917" i="1"/>
  <c r="M916" i="1"/>
  <c r="O916" i="1" s="1"/>
  <c r="L916" i="1"/>
  <c r="K916" i="1"/>
  <c r="M915" i="1"/>
  <c r="O915" i="1" s="1"/>
  <c r="L915" i="1"/>
  <c r="K915" i="1"/>
  <c r="M914" i="1"/>
  <c r="O914" i="1" s="1"/>
  <c r="L914" i="1"/>
  <c r="K914" i="1"/>
  <c r="M913" i="1"/>
  <c r="O913" i="1" s="1"/>
  <c r="L913" i="1"/>
  <c r="K913" i="1"/>
  <c r="M912" i="1"/>
  <c r="O912" i="1" s="1"/>
  <c r="L912" i="1"/>
  <c r="K912" i="1"/>
  <c r="M911" i="1"/>
  <c r="O911" i="1" s="1"/>
  <c r="L911" i="1"/>
  <c r="K911" i="1"/>
  <c r="M910" i="1"/>
  <c r="O910" i="1" s="1"/>
  <c r="L910" i="1"/>
  <c r="K910" i="1"/>
  <c r="M909" i="1"/>
  <c r="O909" i="1" s="1"/>
  <c r="L909" i="1"/>
  <c r="K909" i="1"/>
  <c r="M908" i="1"/>
  <c r="O908" i="1" s="1"/>
  <c r="L908" i="1"/>
  <c r="K908" i="1"/>
  <c r="M907" i="1"/>
  <c r="O907" i="1" s="1"/>
  <c r="L907" i="1"/>
  <c r="K907" i="1"/>
  <c r="M906" i="1"/>
  <c r="O906" i="1" s="1"/>
  <c r="L906" i="1"/>
  <c r="K906" i="1"/>
  <c r="M905" i="1"/>
  <c r="O905" i="1" s="1"/>
  <c r="L905" i="1"/>
  <c r="K905" i="1"/>
  <c r="M904" i="1"/>
  <c r="O904" i="1" s="1"/>
  <c r="L904" i="1"/>
  <c r="K904" i="1"/>
  <c r="M903" i="1"/>
  <c r="O903" i="1" s="1"/>
  <c r="L903" i="1"/>
  <c r="K903" i="1"/>
  <c r="M902" i="1"/>
  <c r="O902" i="1" s="1"/>
  <c r="L902" i="1"/>
  <c r="K902" i="1"/>
  <c r="M901" i="1"/>
  <c r="O901" i="1" s="1"/>
  <c r="L901" i="1"/>
  <c r="K901" i="1"/>
  <c r="M900" i="1"/>
  <c r="O900" i="1" s="1"/>
  <c r="L900" i="1"/>
  <c r="K900" i="1"/>
  <c r="M899" i="1"/>
  <c r="O899" i="1" s="1"/>
  <c r="L899" i="1"/>
  <c r="K899" i="1"/>
  <c r="M898" i="1"/>
  <c r="O898" i="1" s="1"/>
  <c r="L898" i="1"/>
  <c r="K898" i="1"/>
  <c r="M897" i="1"/>
  <c r="O897" i="1" s="1"/>
  <c r="L897" i="1"/>
  <c r="K897" i="1"/>
  <c r="M896" i="1"/>
  <c r="O896" i="1" s="1"/>
  <c r="L896" i="1"/>
  <c r="K896" i="1"/>
  <c r="M895" i="1"/>
  <c r="O895" i="1" s="1"/>
  <c r="L895" i="1"/>
  <c r="K895" i="1"/>
  <c r="M894" i="1"/>
  <c r="O894" i="1" s="1"/>
  <c r="L894" i="1"/>
  <c r="K894" i="1"/>
  <c r="M893" i="1"/>
  <c r="O893" i="1" s="1"/>
  <c r="L893" i="1"/>
  <c r="K893" i="1"/>
  <c r="M892" i="1"/>
  <c r="O892" i="1" s="1"/>
  <c r="L892" i="1"/>
  <c r="K892" i="1"/>
  <c r="M891" i="1"/>
  <c r="O891" i="1" s="1"/>
  <c r="L891" i="1"/>
  <c r="K891" i="1"/>
  <c r="M890" i="1"/>
  <c r="O890" i="1" s="1"/>
  <c r="L890" i="1"/>
  <c r="K890" i="1"/>
  <c r="M889" i="1"/>
  <c r="O889" i="1" s="1"/>
  <c r="L889" i="1"/>
  <c r="K889" i="1"/>
  <c r="M888" i="1"/>
  <c r="O888" i="1" s="1"/>
  <c r="L888" i="1"/>
  <c r="K888" i="1"/>
  <c r="M887" i="1"/>
  <c r="O887" i="1" s="1"/>
  <c r="L887" i="1"/>
  <c r="K887" i="1"/>
  <c r="M886" i="1"/>
  <c r="O886" i="1" s="1"/>
  <c r="L886" i="1"/>
  <c r="K886" i="1"/>
  <c r="M885" i="1"/>
  <c r="O885" i="1" s="1"/>
  <c r="L885" i="1"/>
  <c r="K885" i="1"/>
  <c r="M884" i="1"/>
  <c r="O884" i="1" s="1"/>
  <c r="L884" i="1"/>
  <c r="K884" i="1"/>
  <c r="M883" i="1"/>
  <c r="O883" i="1" s="1"/>
  <c r="L883" i="1"/>
  <c r="K883" i="1"/>
  <c r="M882" i="1"/>
  <c r="O882" i="1" s="1"/>
  <c r="L882" i="1"/>
  <c r="K882" i="1"/>
  <c r="M881" i="1"/>
  <c r="O881" i="1" s="1"/>
  <c r="L881" i="1"/>
  <c r="K881" i="1"/>
  <c r="M880" i="1"/>
  <c r="O880" i="1" s="1"/>
  <c r="L880" i="1"/>
  <c r="K880" i="1"/>
  <c r="M879" i="1"/>
  <c r="O879" i="1" s="1"/>
  <c r="L879" i="1"/>
  <c r="K879" i="1"/>
  <c r="M878" i="1"/>
  <c r="O878" i="1" s="1"/>
  <c r="L878" i="1"/>
  <c r="K878" i="1"/>
  <c r="M877" i="1"/>
  <c r="O877" i="1" s="1"/>
  <c r="L877" i="1"/>
  <c r="K877" i="1"/>
  <c r="M876" i="1"/>
  <c r="O876" i="1" s="1"/>
  <c r="L876" i="1"/>
  <c r="K876" i="1"/>
  <c r="M875" i="1"/>
  <c r="O875" i="1" s="1"/>
  <c r="L875" i="1"/>
  <c r="K875" i="1"/>
  <c r="M874" i="1"/>
  <c r="O874" i="1" s="1"/>
  <c r="L874" i="1"/>
  <c r="K874" i="1"/>
  <c r="M873" i="1"/>
  <c r="O873" i="1" s="1"/>
  <c r="L873" i="1"/>
  <c r="K873" i="1"/>
  <c r="M872" i="1"/>
  <c r="O872" i="1" s="1"/>
  <c r="L872" i="1"/>
  <c r="K872" i="1"/>
  <c r="M871" i="1"/>
  <c r="O871" i="1" s="1"/>
  <c r="L871" i="1"/>
  <c r="K871" i="1"/>
  <c r="M870" i="1"/>
  <c r="O870" i="1" s="1"/>
  <c r="L870" i="1"/>
  <c r="K870" i="1"/>
  <c r="M869" i="1"/>
  <c r="O869" i="1" s="1"/>
  <c r="L869" i="1"/>
  <c r="K869" i="1"/>
  <c r="M868" i="1"/>
  <c r="O868" i="1" s="1"/>
  <c r="L868" i="1"/>
  <c r="K868" i="1"/>
  <c r="M867" i="1"/>
  <c r="O867" i="1" s="1"/>
  <c r="L867" i="1"/>
  <c r="K867" i="1"/>
  <c r="M866" i="1"/>
  <c r="O866" i="1" s="1"/>
  <c r="L866" i="1"/>
  <c r="K866" i="1"/>
  <c r="M865" i="1"/>
  <c r="O865" i="1" s="1"/>
  <c r="L865" i="1"/>
  <c r="K865" i="1"/>
  <c r="M864" i="1"/>
  <c r="O864" i="1" s="1"/>
  <c r="L864" i="1"/>
  <c r="K864" i="1"/>
  <c r="M863" i="1"/>
  <c r="O863" i="1" s="1"/>
  <c r="L863" i="1"/>
  <c r="K863" i="1"/>
  <c r="M862" i="1"/>
  <c r="O862" i="1" s="1"/>
  <c r="L862" i="1"/>
  <c r="K862" i="1"/>
  <c r="M861" i="1"/>
  <c r="O861" i="1" s="1"/>
  <c r="L861" i="1"/>
  <c r="K861" i="1"/>
  <c r="M860" i="1"/>
  <c r="O860" i="1" s="1"/>
  <c r="L860" i="1"/>
  <c r="K860" i="1"/>
  <c r="M859" i="1"/>
  <c r="O859" i="1" s="1"/>
  <c r="L859" i="1"/>
  <c r="K859" i="1"/>
  <c r="M858" i="1"/>
  <c r="O858" i="1" s="1"/>
  <c r="L858" i="1"/>
  <c r="K858" i="1"/>
  <c r="M857" i="1"/>
  <c r="O857" i="1" s="1"/>
  <c r="L857" i="1"/>
  <c r="K857" i="1"/>
  <c r="M856" i="1"/>
  <c r="O856" i="1" s="1"/>
  <c r="L856" i="1"/>
  <c r="K856" i="1"/>
  <c r="M855" i="1"/>
  <c r="O855" i="1" s="1"/>
  <c r="L855" i="1"/>
  <c r="K855" i="1"/>
  <c r="M854" i="1"/>
  <c r="O854" i="1" s="1"/>
  <c r="L854" i="1"/>
  <c r="K854" i="1"/>
  <c r="M853" i="1"/>
  <c r="O853" i="1" s="1"/>
  <c r="L853" i="1"/>
  <c r="K853" i="1"/>
  <c r="M852" i="1"/>
  <c r="O852" i="1" s="1"/>
  <c r="L852" i="1"/>
  <c r="K852" i="1"/>
  <c r="M851" i="1"/>
  <c r="O851" i="1" s="1"/>
  <c r="L851" i="1"/>
  <c r="K851" i="1"/>
  <c r="M850" i="1"/>
  <c r="O850" i="1" s="1"/>
  <c r="L850" i="1"/>
  <c r="K850" i="1"/>
  <c r="M849" i="1"/>
  <c r="O849" i="1" s="1"/>
  <c r="L849" i="1"/>
  <c r="K849" i="1"/>
  <c r="M848" i="1"/>
  <c r="O848" i="1" s="1"/>
  <c r="L848" i="1"/>
  <c r="K848" i="1"/>
  <c r="M847" i="1"/>
  <c r="O847" i="1" s="1"/>
  <c r="L847" i="1"/>
  <c r="K847" i="1"/>
  <c r="M846" i="1"/>
  <c r="O846" i="1" s="1"/>
  <c r="L846" i="1"/>
  <c r="K846" i="1"/>
  <c r="M845" i="1"/>
  <c r="O845" i="1" s="1"/>
  <c r="L845" i="1"/>
  <c r="K845" i="1"/>
  <c r="M844" i="1"/>
  <c r="O844" i="1" s="1"/>
  <c r="L844" i="1"/>
  <c r="K844" i="1"/>
  <c r="M843" i="1"/>
  <c r="O843" i="1" s="1"/>
  <c r="L843" i="1"/>
  <c r="K843" i="1"/>
  <c r="M842" i="1"/>
  <c r="O842" i="1" s="1"/>
  <c r="L842" i="1"/>
  <c r="K842" i="1"/>
  <c r="M841" i="1"/>
  <c r="O841" i="1" s="1"/>
  <c r="L841" i="1"/>
  <c r="K841" i="1"/>
  <c r="M840" i="1"/>
  <c r="O840" i="1" s="1"/>
  <c r="L840" i="1"/>
  <c r="K840" i="1"/>
  <c r="M839" i="1"/>
  <c r="O839" i="1" s="1"/>
  <c r="L839" i="1"/>
  <c r="K839" i="1"/>
  <c r="M838" i="1"/>
  <c r="O838" i="1" s="1"/>
  <c r="L838" i="1"/>
  <c r="K838" i="1"/>
  <c r="M837" i="1"/>
  <c r="O837" i="1" s="1"/>
  <c r="L837" i="1"/>
  <c r="K837" i="1"/>
  <c r="M836" i="1"/>
  <c r="O836" i="1" s="1"/>
  <c r="L836" i="1"/>
  <c r="K836" i="1"/>
  <c r="M835" i="1"/>
  <c r="O835" i="1" s="1"/>
  <c r="L835" i="1"/>
  <c r="K835" i="1"/>
  <c r="M834" i="1"/>
  <c r="O834" i="1" s="1"/>
  <c r="L834" i="1"/>
  <c r="K834" i="1"/>
  <c r="M833" i="1"/>
  <c r="O833" i="1" s="1"/>
  <c r="L833" i="1"/>
  <c r="K833" i="1"/>
  <c r="M832" i="1"/>
  <c r="O832" i="1" s="1"/>
  <c r="L832" i="1"/>
  <c r="K832" i="1"/>
  <c r="M831" i="1"/>
  <c r="O831" i="1" s="1"/>
  <c r="L831" i="1"/>
  <c r="K831" i="1"/>
  <c r="M830" i="1"/>
  <c r="O830" i="1" s="1"/>
  <c r="L830" i="1"/>
  <c r="K830" i="1"/>
  <c r="M829" i="1"/>
  <c r="O829" i="1" s="1"/>
  <c r="L829" i="1"/>
  <c r="K829" i="1"/>
  <c r="M828" i="1"/>
  <c r="O828" i="1" s="1"/>
  <c r="L828" i="1"/>
  <c r="K828" i="1"/>
  <c r="M827" i="1"/>
  <c r="O827" i="1" s="1"/>
  <c r="L827" i="1"/>
  <c r="K827" i="1"/>
  <c r="M826" i="1"/>
  <c r="O826" i="1" s="1"/>
  <c r="L826" i="1"/>
  <c r="K826" i="1"/>
  <c r="M825" i="1"/>
  <c r="O825" i="1" s="1"/>
  <c r="L825" i="1"/>
  <c r="K825" i="1"/>
  <c r="M824" i="1"/>
  <c r="O824" i="1" s="1"/>
  <c r="L824" i="1"/>
  <c r="K824" i="1"/>
  <c r="M823" i="1"/>
  <c r="O823" i="1" s="1"/>
  <c r="L823" i="1"/>
  <c r="K823" i="1"/>
  <c r="M822" i="1"/>
  <c r="O822" i="1" s="1"/>
  <c r="L822" i="1"/>
  <c r="K822" i="1"/>
  <c r="M821" i="1"/>
  <c r="O821" i="1" s="1"/>
  <c r="L821" i="1"/>
  <c r="K821" i="1"/>
  <c r="M820" i="1"/>
  <c r="O820" i="1" s="1"/>
  <c r="L820" i="1"/>
  <c r="K820" i="1"/>
  <c r="M819" i="1"/>
  <c r="O819" i="1" s="1"/>
  <c r="L819" i="1"/>
  <c r="K819" i="1"/>
  <c r="M818" i="1"/>
  <c r="O818" i="1" s="1"/>
  <c r="L818" i="1"/>
  <c r="K818" i="1"/>
  <c r="M817" i="1"/>
  <c r="O817" i="1" s="1"/>
  <c r="L817" i="1"/>
  <c r="K817" i="1"/>
  <c r="M816" i="1"/>
  <c r="O816" i="1" s="1"/>
  <c r="L816" i="1"/>
  <c r="K816" i="1"/>
  <c r="M815" i="1"/>
  <c r="O815" i="1" s="1"/>
  <c r="L815" i="1"/>
  <c r="K815" i="1"/>
  <c r="M814" i="1"/>
  <c r="O814" i="1" s="1"/>
  <c r="L814" i="1"/>
  <c r="K814" i="1"/>
  <c r="M813" i="1"/>
  <c r="O813" i="1" s="1"/>
  <c r="L813" i="1"/>
  <c r="K813" i="1"/>
  <c r="M812" i="1"/>
  <c r="O812" i="1" s="1"/>
  <c r="L812" i="1"/>
  <c r="K812" i="1"/>
  <c r="M811" i="1"/>
  <c r="O811" i="1" s="1"/>
  <c r="L811" i="1"/>
  <c r="K811" i="1"/>
  <c r="M810" i="1"/>
  <c r="O810" i="1" s="1"/>
  <c r="L810" i="1"/>
  <c r="K810" i="1"/>
  <c r="M809" i="1"/>
  <c r="O809" i="1" s="1"/>
  <c r="L809" i="1"/>
  <c r="K809" i="1"/>
  <c r="M808" i="1"/>
  <c r="O808" i="1" s="1"/>
  <c r="L808" i="1"/>
  <c r="K808" i="1"/>
  <c r="M807" i="1"/>
  <c r="O807" i="1" s="1"/>
  <c r="L807" i="1"/>
  <c r="K807" i="1"/>
  <c r="M806" i="1"/>
  <c r="O806" i="1" s="1"/>
  <c r="L806" i="1"/>
  <c r="K806" i="1"/>
  <c r="M805" i="1"/>
  <c r="O805" i="1" s="1"/>
  <c r="L805" i="1"/>
  <c r="K805" i="1"/>
  <c r="M804" i="1"/>
  <c r="O804" i="1" s="1"/>
  <c r="L804" i="1"/>
  <c r="K804" i="1"/>
  <c r="M803" i="1"/>
  <c r="O803" i="1" s="1"/>
  <c r="L803" i="1"/>
  <c r="K803" i="1"/>
  <c r="M802" i="1"/>
  <c r="O802" i="1" s="1"/>
  <c r="L802" i="1"/>
  <c r="K802" i="1"/>
  <c r="M801" i="1"/>
  <c r="O801" i="1" s="1"/>
  <c r="L801" i="1"/>
  <c r="K801" i="1"/>
  <c r="M800" i="1"/>
  <c r="O800" i="1" s="1"/>
  <c r="L800" i="1"/>
  <c r="K800" i="1"/>
  <c r="M799" i="1"/>
  <c r="O799" i="1" s="1"/>
  <c r="L799" i="1"/>
  <c r="K799" i="1"/>
  <c r="M798" i="1"/>
  <c r="O798" i="1" s="1"/>
  <c r="L798" i="1"/>
  <c r="K798" i="1"/>
  <c r="M797" i="1"/>
  <c r="O797" i="1" s="1"/>
  <c r="L797" i="1"/>
  <c r="K797" i="1"/>
  <c r="M796" i="1"/>
  <c r="O796" i="1" s="1"/>
  <c r="L796" i="1"/>
  <c r="K796" i="1"/>
  <c r="M795" i="1"/>
  <c r="O795" i="1" s="1"/>
  <c r="L795" i="1"/>
  <c r="K795" i="1"/>
  <c r="M794" i="1"/>
  <c r="O794" i="1" s="1"/>
  <c r="L794" i="1"/>
  <c r="K794" i="1"/>
  <c r="M793" i="1"/>
  <c r="O793" i="1" s="1"/>
  <c r="L793" i="1"/>
  <c r="K793" i="1"/>
  <c r="M792" i="1"/>
  <c r="O792" i="1" s="1"/>
  <c r="L792" i="1"/>
  <c r="K792" i="1"/>
  <c r="M791" i="1"/>
  <c r="O791" i="1" s="1"/>
  <c r="L791" i="1"/>
  <c r="K791" i="1"/>
  <c r="M790" i="1"/>
  <c r="O790" i="1" s="1"/>
  <c r="L790" i="1"/>
  <c r="K790" i="1"/>
  <c r="M789" i="1"/>
  <c r="O789" i="1" s="1"/>
  <c r="L789" i="1"/>
  <c r="K789" i="1"/>
  <c r="M788" i="1"/>
  <c r="O788" i="1" s="1"/>
  <c r="L788" i="1"/>
  <c r="K788" i="1"/>
  <c r="M787" i="1"/>
  <c r="O787" i="1" s="1"/>
  <c r="L787" i="1"/>
  <c r="K787" i="1"/>
  <c r="M786" i="1"/>
  <c r="O786" i="1" s="1"/>
  <c r="L786" i="1"/>
  <c r="K786" i="1"/>
  <c r="M785" i="1"/>
  <c r="O785" i="1" s="1"/>
  <c r="L785" i="1"/>
  <c r="K785" i="1"/>
  <c r="M784" i="1"/>
  <c r="O784" i="1" s="1"/>
  <c r="L784" i="1"/>
  <c r="K784" i="1"/>
  <c r="M783" i="1"/>
  <c r="O783" i="1" s="1"/>
  <c r="L783" i="1"/>
  <c r="K783" i="1"/>
  <c r="M782" i="1"/>
  <c r="O782" i="1" s="1"/>
  <c r="L782" i="1"/>
  <c r="K782" i="1"/>
  <c r="M781" i="1"/>
  <c r="O781" i="1" s="1"/>
  <c r="L781" i="1"/>
  <c r="K781" i="1"/>
  <c r="M780" i="1"/>
  <c r="O780" i="1" s="1"/>
  <c r="L780" i="1"/>
  <c r="K780" i="1"/>
  <c r="M779" i="1"/>
  <c r="O779" i="1" s="1"/>
  <c r="L779" i="1"/>
  <c r="K779" i="1"/>
  <c r="M778" i="1"/>
  <c r="O778" i="1" s="1"/>
  <c r="L778" i="1"/>
  <c r="K778" i="1"/>
  <c r="M777" i="1"/>
  <c r="O777" i="1" s="1"/>
  <c r="L777" i="1"/>
  <c r="K777" i="1"/>
  <c r="M776" i="1"/>
  <c r="O776" i="1" s="1"/>
  <c r="L776" i="1"/>
  <c r="K776" i="1"/>
  <c r="M775" i="1"/>
  <c r="O775" i="1" s="1"/>
  <c r="L775" i="1"/>
  <c r="K775" i="1"/>
  <c r="M774" i="1"/>
  <c r="O774" i="1" s="1"/>
  <c r="L774" i="1"/>
  <c r="K774" i="1"/>
  <c r="M773" i="1"/>
  <c r="O773" i="1" s="1"/>
  <c r="L773" i="1"/>
  <c r="K773" i="1"/>
  <c r="M772" i="1"/>
  <c r="O772" i="1" s="1"/>
  <c r="L772" i="1"/>
  <c r="K772" i="1"/>
  <c r="M771" i="1"/>
  <c r="O771" i="1" s="1"/>
  <c r="L771" i="1"/>
  <c r="K771" i="1"/>
  <c r="M770" i="1"/>
  <c r="O770" i="1" s="1"/>
  <c r="L770" i="1"/>
  <c r="K770" i="1"/>
  <c r="M769" i="1"/>
  <c r="O769" i="1" s="1"/>
  <c r="L769" i="1"/>
  <c r="K769" i="1"/>
  <c r="M768" i="1"/>
  <c r="O768" i="1" s="1"/>
  <c r="L768" i="1"/>
  <c r="K768" i="1"/>
  <c r="M767" i="1"/>
  <c r="O767" i="1" s="1"/>
  <c r="L767" i="1"/>
  <c r="K767" i="1"/>
  <c r="M766" i="1"/>
  <c r="O766" i="1" s="1"/>
  <c r="L766" i="1"/>
  <c r="K766" i="1"/>
  <c r="M765" i="1"/>
  <c r="O765" i="1" s="1"/>
  <c r="L765" i="1"/>
  <c r="K765" i="1"/>
  <c r="M764" i="1"/>
  <c r="O764" i="1" s="1"/>
  <c r="L764" i="1"/>
  <c r="K764" i="1"/>
  <c r="M763" i="1"/>
  <c r="O763" i="1" s="1"/>
  <c r="L763" i="1"/>
  <c r="K763" i="1"/>
  <c r="M762" i="1"/>
  <c r="O762" i="1" s="1"/>
  <c r="L762" i="1"/>
  <c r="K762" i="1"/>
  <c r="M761" i="1"/>
  <c r="O761" i="1" s="1"/>
  <c r="L761" i="1"/>
  <c r="K761" i="1"/>
  <c r="M760" i="1"/>
  <c r="O760" i="1" s="1"/>
  <c r="L760" i="1"/>
  <c r="K760" i="1"/>
  <c r="M759" i="1"/>
  <c r="O759" i="1" s="1"/>
  <c r="L759" i="1"/>
  <c r="K759" i="1"/>
  <c r="M758" i="1"/>
  <c r="O758" i="1" s="1"/>
  <c r="L758" i="1"/>
  <c r="K758" i="1"/>
  <c r="M757" i="1"/>
  <c r="O757" i="1" s="1"/>
  <c r="L757" i="1"/>
  <c r="K757" i="1"/>
  <c r="M756" i="1"/>
  <c r="O756" i="1" s="1"/>
  <c r="L756" i="1"/>
  <c r="K756" i="1"/>
  <c r="M755" i="1"/>
  <c r="O755" i="1" s="1"/>
  <c r="L755" i="1"/>
  <c r="K755" i="1"/>
  <c r="M754" i="1"/>
  <c r="O754" i="1" s="1"/>
  <c r="L754" i="1"/>
  <c r="K754" i="1"/>
  <c r="M753" i="1"/>
  <c r="O753" i="1" s="1"/>
  <c r="L753" i="1"/>
  <c r="K753" i="1"/>
  <c r="M752" i="1"/>
  <c r="O752" i="1" s="1"/>
  <c r="L752" i="1"/>
  <c r="K752" i="1"/>
  <c r="M751" i="1"/>
  <c r="O751" i="1" s="1"/>
  <c r="L751" i="1"/>
  <c r="K751" i="1"/>
  <c r="M750" i="1"/>
  <c r="O750" i="1" s="1"/>
  <c r="L750" i="1"/>
  <c r="K750" i="1"/>
  <c r="M749" i="1"/>
  <c r="O749" i="1" s="1"/>
  <c r="L749" i="1"/>
  <c r="K749" i="1"/>
  <c r="M748" i="1"/>
  <c r="O748" i="1" s="1"/>
  <c r="L748" i="1"/>
  <c r="K748" i="1"/>
  <c r="M747" i="1"/>
  <c r="O747" i="1" s="1"/>
  <c r="L747" i="1"/>
  <c r="K747" i="1"/>
  <c r="M746" i="1"/>
  <c r="O746" i="1" s="1"/>
  <c r="L746" i="1"/>
  <c r="K746" i="1"/>
  <c r="M745" i="1"/>
  <c r="O745" i="1" s="1"/>
  <c r="L745" i="1"/>
  <c r="K745" i="1"/>
  <c r="M744" i="1"/>
  <c r="O744" i="1" s="1"/>
  <c r="L744" i="1"/>
  <c r="K744" i="1"/>
  <c r="M743" i="1"/>
  <c r="O743" i="1" s="1"/>
  <c r="L743" i="1"/>
  <c r="K743" i="1"/>
  <c r="M742" i="1"/>
  <c r="O742" i="1" s="1"/>
  <c r="L742" i="1"/>
  <c r="K742" i="1"/>
  <c r="M741" i="1"/>
  <c r="O741" i="1" s="1"/>
  <c r="L741" i="1"/>
  <c r="K741" i="1"/>
  <c r="M740" i="1"/>
  <c r="O740" i="1" s="1"/>
  <c r="L740" i="1"/>
  <c r="K740" i="1"/>
  <c r="M739" i="1"/>
  <c r="O739" i="1" s="1"/>
  <c r="L739" i="1"/>
  <c r="K739" i="1"/>
  <c r="M738" i="1"/>
  <c r="O738" i="1" s="1"/>
  <c r="L738" i="1"/>
  <c r="K738" i="1"/>
  <c r="M737" i="1"/>
  <c r="O737" i="1" s="1"/>
  <c r="L737" i="1"/>
  <c r="K737" i="1"/>
  <c r="M736" i="1"/>
  <c r="O736" i="1" s="1"/>
  <c r="L736" i="1"/>
  <c r="K736" i="1"/>
  <c r="M735" i="1"/>
  <c r="O735" i="1" s="1"/>
  <c r="L735" i="1"/>
  <c r="K735" i="1"/>
  <c r="M734" i="1"/>
  <c r="O734" i="1" s="1"/>
  <c r="L734" i="1"/>
  <c r="K734" i="1"/>
  <c r="M733" i="1"/>
  <c r="O733" i="1" s="1"/>
  <c r="L733" i="1"/>
  <c r="K733" i="1"/>
  <c r="M732" i="1"/>
  <c r="O732" i="1" s="1"/>
  <c r="L732" i="1"/>
  <c r="K732" i="1"/>
  <c r="M731" i="1"/>
  <c r="O731" i="1" s="1"/>
  <c r="L731" i="1"/>
  <c r="K731" i="1"/>
  <c r="M730" i="1"/>
  <c r="O730" i="1" s="1"/>
  <c r="L730" i="1"/>
  <c r="K730" i="1"/>
  <c r="M729" i="1"/>
  <c r="O729" i="1" s="1"/>
  <c r="L729" i="1"/>
  <c r="K729" i="1"/>
  <c r="M728" i="1"/>
  <c r="O728" i="1" s="1"/>
  <c r="L728" i="1"/>
  <c r="K728" i="1"/>
  <c r="M727" i="1"/>
  <c r="O727" i="1" s="1"/>
  <c r="L727" i="1"/>
  <c r="K727" i="1"/>
  <c r="M726" i="1"/>
  <c r="O726" i="1" s="1"/>
  <c r="L726" i="1"/>
  <c r="K726" i="1"/>
  <c r="M725" i="1"/>
  <c r="O725" i="1" s="1"/>
  <c r="L725" i="1"/>
  <c r="K725" i="1"/>
  <c r="M724" i="1"/>
  <c r="O724" i="1" s="1"/>
  <c r="L724" i="1"/>
  <c r="K724" i="1"/>
  <c r="M723" i="1"/>
  <c r="O723" i="1" s="1"/>
  <c r="L723" i="1"/>
  <c r="K723" i="1"/>
  <c r="M722" i="1"/>
  <c r="O722" i="1" s="1"/>
  <c r="L722" i="1"/>
  <c r="K722" i="1"/>
  <c r="M721" i="1"/>
  <c r="O721" i="1" s="1"/>
  <c r="L721" i="1"/>
  <c r="K721" i="1"/>
  <c r="M720" i="1"/>
  <c r="O720" i="1" s="1"/>
  <c r="L720" i="1"/>
  <c r="K720" i="1"/>
  <c r="M719" i="1"/>
  <c r="O719" i="1" s="1"/>
  <c r="L719" i="1"/>
  <c r="K719" i="1"/>
  <c r="M718" i="1"/>
  <c r="O718" i="1" s="1"/>
  <c r="L718" i="1"/>
  <c r="K718" i="1"/>
  <c r="M717" i="1"/>
  <c r="O717" i="1" s="1"/>
  <c r="L717" i="1"/>
  <c r="K717" i="1"/>
  <c r="M716" i="1"/>
  <c r="O716" i="1" s="1"/>
  <c r="L716" i="1"/>
  <c r="K716" i="1"/>
  <c r="M715" i="1"/>
  <c r="O715" i="1" s="1"/>
  <c r="L715" i="1"/>
  <c r="K715" i="1"/>
  <c r="M714" i="1"/>
  <c r="O714" i="1" s="1"/>
  <c r="L714" i="1"/>
  <c r="K714" i="1"/>
  <c r="M713" i="1"/>
  <c r="O713" i="1" s="1"/>
  <c r="L713" i="1"/>
  <c r="K713" i="1"/>
  <c r="M712" i="1"/>
  <c r="O712" i="1" s="1"/>
  <c r="L712" i="1"/>
  <c r="K712" i="1"/>
  <c r="M711" i="1"/>
  <c r="O711" i="1" s="1"/>
  <c r="L711" i="1"/>
  <c r="K711" i="1"/>
  <c r="M710" i="1"/>
  <c r="O710" i="1" s="1"/>
  <c r="L710" i="1"/>
  <c r="K710" i="1"/>
  <c r="M709" i="1"/>
  <c r="O709" i="1" s="1"/>
  <c r="L709" i="1"/>
  <c r="K709" i="1"/>
  <c r="M708" i="1"/>
  <c r="O708" i="1" s="1"/>
  <c r="L708" i="1"/>
  <c r="K708" i="1"/>
  <c r="M707" i="1"/>
  <c r="O707" i="1" s="1"/>
  <c r="L707" i="1"/>
  <c r="K707" i="1"/>
  <c r="M706" i="1"/>
  <c r="O706" i="1" s="1"/>
  <c r="L706" i="1"/>
  <c r="K706" i="1"/>
  <c r="M705" i="1"/>
  <c r="O705" i="1" s="1"/>
  <c r="L705" i="1"/>
  <c r="K705" i="1"/>
  <c r="M704" i="1"/>
  <c r="O704" i="1" s="1"/>
  <c r="L704" i="1"/>
  <c r="K704" i="1"/>
  <c r="M703" i="1"/>
  <c r="O703" i="1" s="1"/>
  <c r="L703" i="1"/>
  <c r="K703" i="1"/>
  <c r="M702" i="1"/>
  <c r="O702" i="1" s="1"/>
  <c r="L702" i="1"/>
  <c r="K702" i="1"/>
  <c r="M701" i="1"/>
  <c r="O701" i="1" s="1"/>
  <c r="L701" i="1"/>
  <c r="K701" i="1"/>
  <c r="M700" i="1"/>
  <c r="O700" i="1" s="1"/>
  <c r="L700" i="1"/>
  <c r="K700" i="1"/>
  <c r="M699" i="1"/>
  <c r="O699" i="1" s="1"/>
  <c r="L699" i="1"/>
  <c r="K699" i="1"/>
  <c r="M698" i="1"/>
  <c r="O698" i="1" s="1"/>
  <c r="L698" i="1"/>
  <c r="K698" i="1"/>
  <c r="M697" i="1"/>
  <c r="O697" i="1" s="1"/>
  <c r="L697" i="1"/>
  <c r="K697" i="1"/>
  <c r="M696" i="1"/>
  <c r="O696" i="1" s="1"/>
  <c r="L696" i="1"/>
  <c r="K696" i="1"/>
  <c r="M695" i="1"/>
  <c r="O695" i="1" s="1"/>
  <c r="L695" i="1"/>
  <c r="K695" i="1"/>
  <c r="M694" i="1"/>
  <c r="O694" i="1" s="1"/>
  <c r="L694" i="1"/>
  <c r="K694" i="1"/>
  <c r="M693" i="1"/>
  <c r="O693" i="1" s="1"/>
  <c r="L693" i="1"/>
  <c r="K693" i="1"/>
  <c r="M692" i="1"/>
  <c r="O692" i="1" s="1"/>
  <c r="L692" i="1"/>
  <c r="K692" i="1"/>
  <c r="M691" i="1"/>
  <c r="O691" i="1" s="1"/>
  <c r="L691" i="1"/>
  <c r="K691" i="1"/>
  <c r="M690" i="1"/>
  <c r="O690" i="1" s="1"/>
  <c r="L690" i="1"/>
  <c r="K690" i="1"/>
  <c r="M689" i="1"/>
  <c r="O689" i="1" s="1"/>
  <c r="L689" i="1"/>
  <c r="K689" i="1"/>
  <c r="M688" i="1"/>
  <c r="O688" i="1" s="1"/>
  <c r="L688" i="1"/>
  <c r="K688" i="1"/>
  <c r="M687" i="1"/>
  <c r="O687" i="1" s="1"/>
  <c r="L687" i="1"/>
  <c r="K687" i="1"/>
  <c r="M686" i="1"/>
  <c r="O686" i="1" s="1"/>
  <c r="L686" i="1"/>
  <c r="K686" i="1"/>
  <c r="M685" i="1"/>
  <c r="O685" i="1" s="1"/>
  <c r="L685" i="1"/>
  <c r="K685" i="1"/>
  <c r="M684" i="1"/>
  <c r="O684" i="1" s="1"/>
  <c r="L684" i="1"/>
  <c r="K684" i="1"/>
  <c r="M683" i="1"/>
  <c r="O683" i="1" s="1"/>
  <c r="L683" i="1"/>
  <c r="K683" i="1"/>
  <c r="M682" i="1"/>
  <c r="O682" i="1" s="1"/>
  <c r="L682" i="1"/>
  <c r="K682" i="1"/>
  <c r="M681" i="1"/>
  <c r="O681" i="1" s="1"/>
  <c r="L681" i="1"/>
  <c r="K681" i="1"/>
  <c r="M680" i="1"/>
  <c r="O680" i="1" s="1"/>
  <c r="L680" i="1"/>
  <c r="K680" i="1"/>
  <c r="M679" i="1"/>
  <c r="O679" i="1" s="1"/>
  <c r="L679" i="1"/>
  <c r="K679" i="1"/>
  <c r="M678" i="1"/>
  <c r="O678" i="1" s="1"/>
  <c r="L678" i="1"/>
  <c r="K678" i="1"/>
  <c r="M677" i="1"/>
  <c r="O677" i="1" s="1"/>
  <c r="L677" i="1"/>
  <c r="K677" i="1"/>
  <c r="M676" i="1"/>
  <c r="O676" i="1" s="1"/>
  <c r="L676" i="1"/>
  <c r="K676" i="1"/>
  <c r="M675" i="1"/>
  <c r="O675" i="1" s="1"/>
  <c r="L675" i="1"/>
  <c r="K675" i="1"/>
  <c r="M674" i="1"/>
  <c r="O674" i="1" s="1"/>
  <c r="L674" i="1"/>
  <c r="K674" i="1"/>
  <c r="M673" i="1"/>
  <c r="O673" i="1" s="1"/>
  <c r="L673" i="1"/>
  <c r="K673" i="1"/>
  <c r="M672" i="1"/>
  <c r="O672" i="1" s="1"/>
  <c r="L672" i="1"/>
  <c r="K672" i="1"/>
  <c r="M671" i="1"/>
  <c r="O671" i="1" s="1"/>
  <c r="L671" i="1"/>
  <c r="K671" i="1"/>
  <c r="M670" i="1"/>
  <c r="O670" i="1" s="1"/>
  <c r="L670" i="1"/>
  <c r="K670" i="1"/>
  <c r="M669" i="1"/>
  <c r="O669" i="1" s="1"/>
  <c r="L669" i="1"/>
  <c r="K669" i="1"/>
  <c r="M668" i="1"/>
  <c r="O668" i="1" s="1"/>
  <c r="L668" i="1"/>
  <c r="K668" i="1"/>
  <c r="M667" i="1"/>
  <c r="O667" i="1" s="1"/>
  <c r="L667" i="1"/>
  <c r="K667" i="1"/>
  <c r="M666" i="1"/>
  <c r="O666" i="1" s="1"/>
  <c r="L666" i="1"/>
  <c r="K666" i="1"/>
  <c r="M665" i="1"/>
  <c r="O665" i="1" s="1"/>
  <c r="L665" i="1"/>
  <c r="K665" i="1"/>
  <c r="M664" i="1"/>
  <c r="O664" i="1" s="1"/>
  <c r="L664" i="1"/>
  <c r="K664" i="1"/>
  <c r="M663" i="1"/>
  <c r="O663" i="1" s="1"/>
  <c r="L663" i="1"/>
  <c r="K663" i="1"/>
  <c r="M662" i="1"/>
  <c r="O662" i="1" s="1"/>
  <c r="L662" i="1"/>
  <c r="K662" i="1"/>
  <c r="M661" i="1"/>
  <c r="O661" i="1" s="1"/>
  <c r="L661" i="1"/>
  <c r="K661" i="1"/>
  <c r="M660" i="1"/>
  <c r="O660" i="1" s="1"/>
  <c r="L660" i="1"/>
  <c r="K660" i="1"/>
  <c r="M659" i="1"/>
  <c r="O659" i="1" s="1"/>
  <c r="L659" i="1"/>
  <c r="K659" i="1"/>
  <c r="M658" i="1"/>
  <c r="O658" i="1" s="1"/>
  <c r="L658" i="1"/>
  <c r="K658" i="1"/>
  <c r="M657" i="1"/>
  <c r="O657" i="1" s="1"/>
  <c r="L657" i="1"/>
  <c r="K657" i="1"/>
  <c r="M656" i="1"/>
  <c r="O656" i="1" s="1"/>
  <c r="L656" i="1"/>
  <c r="K656" i="1"/>
  <c r="M655" i="1"/>
  <c r="O655" i="1" s="1"/>
  <c r="L655" i="1"/>
  <c r="K655" i="1"/>
  <c r="M654" i="1"/>
  <c r="O654" i="1" s="1"/>
  <c r="L654" i="1"/>
  <c r="K654" i="1"/>
  <c r="M653" i="1"/>
  <c r="O653" i="1" s="1"/>
  <c r="L653" i="1"/>
  <c r="K653" i="1"/>
  <c r="M652" i="1"/>
  <c r="O652" i="1" s="1"/>
  <c r="L652" i="1"/>
  <c r="K652" i="1"/>
  <c r="M651" i="1"/>
  <c r="O651" i="1" s="1"/>
  <c r="L651" i="1"/>
  <c r="K651" i="1"/>
  <c r="M650" i="1"/>
  <c r="O650" i="1" s="1"/>
  <c r="L650" i="1"/>
  <c r="K650" i="1"/>
  <c r="M649" i="1"/>
  <c r="O649" i="1" s="1"/>
  <c r="L649" i="1"/>
  <c r="K649" i="1"/>
  <c r="M648" i="1"/>
  <c r="O648" i="1" s="1"/>
  <c r="L648" i="1"/>
  <c r="K648" i="1"/>
  <c r="M647" i="1"/>
  <c r="O647" i="1" s="1"/>
  <c r="L647" i="1"/>
  <c r="K647" i="1"/>
  <c r="M646" i="1"/>
  <c r="O646" i="1" s="1"/>
  <c r="L646" i="1"/>
  <c r="K646" i="1"/>
  <c r="M645" i="1"/>
  <c r="O645" i="1" s="1"/>
  <c r="L645" i="1"/>
  <c r="K645" i="1"/>
  <c r="M644" i="1"/>
  <c r="O644" i="1" s="1"/>
  <c r="L644" i="1"/>
  <c r="K644" i="1"/>
  <c r="M643" i="1"/>
  <c r="O643" i="1" s="1"/>
  <c r="L643" i="1"/>
  <c r="K643" i="1"/>
  <c r="M642" i="1"/>
  <c r="O642" i="1" s="1"/>
  <c r="L642" i="1"/>
  <c r="K642" i="1"/>
  <c r="M641" i="1"/>
  <c r="O641" i="1" s="1"/>
  <c r="L641" i="1"/>
  <c r="K641" i="1"/>
  <c r="M640" i="1"/>
  <c r="O640" i="1" s="1"/>
  <c r="L640" i="1"/>
  <c r="K640" i="1"/>
  <c r="M639" i="1"/>
  <c r="O639" i="1" s="1"/>
  <c r="L639" i="1"/>
  <c r="K639" i="1"/>
  <c r="M638" i="1"/>
  <c r="O638" i="1" s="1"/>
  <c r="L638" i="1"/>
  <c r="K638" i="1"/>
  <c r="M637" i="1"/>
  <c r="O637" i="1" s="1"/>
  <c r="L637" i="1"/>
  <c r="K637" i="1"/>
  <c r="M636" i="1"/>
  <c r="O636" i="1" s="1"/>
  <c r="L636" i="1"/>
  <c r="K636" i="1"/>
  <c r="M635" i="1"/>
  <c r="O635" i="1" s="1"/>
  <c r="L635" i="1"/>
  <c r="K635" i="1"/>
  <c r="M634" i="1"/>
  <c r="O634" i="1" s="1"/>
  <c r="L634" i="1"/>
  <c r="K634" i="1"/>
  <c r="M633" i="1"/>
  <c r="O633" i="1" s="1"/>
  <c r="L633" i="1"/>
  <c r="K633" i="1"/>
  <c r="M632" i="1"/>
  <c r="O632" i="1" s="1"/>
  <c r="L632" i="1"/>
  <c r="K632" i="1"/>
  <c r="M631" i="1"/>
  <c r="O631" i="1" s="1"/>
  <c r="L631" i="1"/>
  <c r="K631" i="1"/>
  <c r="M630" i="1"/>
  <c r="O630" i="1" s="1"/>
  <c r="L630" i="1"/>
  <c r="K630" i="1"/>
  <c r="M629" i="1"/>
  <c r="O629" i="1" s="1"/>
  <c r="L629" i="1"/>
  <c r="K629" i="1"/>
  <c r="M628" i="1"/>
  <c r="O628" i="1" s="1"/>
  <c r="L628" i="1"/>
  <c r="K628" i="1"/>
  <c r="M627" i="1"/>
  <c r="O627" i="1" s="1"/>
  <c r="L627" i="1"/>
  <c r="K627" i="1"/>
  <c r="M626" i="1"/>
  <c r="O626" i="1" s="1"/>
  <c r="L626" i="1"/>
  <c r="K626" i="1"/>
  <c r="M625" i="1"/>
  <c r="O625" i="1" s="1"/>
  <c r="L625" i="1"/>
  <c r="K625" i="1"/>
  <c r="M624" i="1"/>
  <c r="O624" i="1" s="1"/>
  <c r="L624" i="1"/>
  <c r="K624" i="1"/>
  <c r="M623" i="1"/>
  <c r="O623" i="1" s="1"/>
  <c r="L623" i="1"/>
  <c r="K623" i="1"/>
  <c r="M622" i="1"/>
  <c r="O622" i="1" s="1"/>
  <c r="L622" i="1"/>
  <c r="K622" i="1"/>
  <c r="M621" i="1"/>
  <c r="O621" i="1" s="1"/>
  <c r="L621" i="1"/>
  <c r="K621" i="1"/>
  <c r="M620" i="1"/>
  <c r="O620" i="1" s="1"/>
  <c r="L620" i="1"/>
  <c r="K620" i="1"/>
  <c r="M619" i="1"/>
  <c r="O619" i="1" s="1"/>
  <c r="L619" i="1"/>
  <c r="K619" i="1"/>
  <c r="M618" i="1"/>
  <c r="O618" i="1" s="1"/>
  <c r="L618" i="1"/>
  <c r="K618" i="1"/>
  <c r="M617" i="1"/>
  <c r="O617" i="1" s="1"/>
  <c r="L617" i="1"/>
  <c r="K617" i="1"/>
  <c r="M616" i="1"/>
  <c r="O616" i="1" s="1"/>
  <c r="L616" i="1"/>
  <c r="K616" i="1"/>
  <c r="M615" i="1"/>
  <c r="O615" i="1" s="1"/>
  <c r="L615" i="1"/>
  <c r="K615" i="1"/>
  <c r="M614" i="1"/>
  <c r="O614" i="1" s="1"/>
  <c r="L614" i="1"/>
  <c r="K614" i="1"/>
  <c r="M613" i="1"/>
  <c r="O613" i="1" s="1"/>
  <c r="L613" i="1"/>
  <c r="K613" i="1"/>
  <c r="M612" i="1"/>
  <c r="O612" i="1" s="1"/>
  <c r="L612" i="1"/>
  <c r="K612" i="1"/>
  <c r="M611" i="1"/>
  <c r="O611" i="1" s="1"/>
  <c r="L611" i="1"/>
  <c r="K611" i="1"/>
  <c r="M610" i="1"/>
  <c r="O610" i="1" s="1"/>
  <c r="L610" i="1"/>
  <c r="K610" i="1"/>
  <c r="M609" i="1"/>
  <c r="O609" i="1" s="1"/>
  <c r="L609" i="1"/>
  <c r="K609" i="1"/>
  <c r="M608" i="1"/>
  <c r="O608" i="1" s="1"/>
  <c r="L608" i="1"/>
  <c r="K608" i="1"/>
  <c r="M607" i="1"/>
  <c r="O607" i="1" s="1"/>
  <c r="L607" i="1"/>
  <c r="K607" i="1"/>
  <c r="M606" i="1"/>
  <c r="O606" i="1" s="1"/>
  <c r="L606" i="1"/>
  <c r="K606" i="1"/>
  <c r="M605" i="1"/>
  <c r="O605" i="1" s="1"/>
  <c r="L605" i="1"/>
  <c r="K605" i="1"/>
  <c r="M604" i="1"/>
  <c r="O604" i="1" s="1"/>
  <c r="L604" i="1"/>
  <c r="K604" i="1"/>
  <c r="M603" i="1"/>
  <c r="O603" i="1" s="1"/>
  <c r="L603" i="1"/>
  <c r="K603" i="1"/>
  <c r="M602" i="1"/>
  <c r="O602" i="1" s="1"/>
  <c r="L602" i="1"/>
  <c r="K602" i="1"/>
  <c r="M601" i="1"/>
  <c r="O601" i="1" s="1"/>
  <c r="L601" i="1"/>
  <c r="K601" i="1"/>
  <c r="M600" i="1"/>
  <c r="O600" i="1" s="1"/>
  <c r="L600" i="1"/>
  <c r="K600" i="1"/>
  <c r="M599" i="1"/>
  <c r="O599" i="1" s="1"/>
  <c r="L599" i="1"/>
  <c r="K599" i="1"/>
  <c r="M598" i="1"/>
  <c r="O598" i="1" s="1"/>
  <c r="L598" i="1"/>
  <c r="K598" i="1"/>
  <c r="M597" i="1"/>
  <c r="O597" i="1" s="1"/>
  <c r="L597" i="1"/>
  <c r="K597" i="1"/>
  <c r="M596" i="1"/>
  <c r="O596" i="1" s="1"/>
  <c r="L596" i="1"/>
  <c r="K596" i="1"/>
  <c r="M595" i="1"/>
  <c r="O595" i="1" s="1"/>
  <c r="L595" i="1"/>
  <c r="K595" i="1"/>
  <c r="M594" i="1"/>
  <c r="O594" i="1" s="1"/>
  <c r="L594" i="1"/>
  <c r="K594" i="1"/>
  <c r="M593" i="1"/>
  <c r="O593" i="1" s="1"/>
  <c r="L593" i="1"/>
  <c r="K593" i="1"/>
  <c r="M592" i="1"/>
  <c r="O592" i="1" s="1"/>
  <c r="L592" i="1"/>
  <c r="K592" i="1"/>
  <c r="M591" i="1"/>
  <c r="O591" i="1" s="1"/>
  <c r="L591" i="1"/>
  <c r="K591" i="1"/>
  <c r="M590" i="1"/>
  <c r="O590" i="1" s="1"/>
  <c r="L590" i="1"/>
  <c r="K590" i="1"/>
  <c r="M589" i="1"/>
  <c r="O589" i="1" s="1"/>
  <c r="L589" i="1"/>
  <c r="K589" i="1"/>
  <c r="M588" i="1"/>
  <c r="O588" i="1" s="1"/>
  <c r="L588" i="1"/>
  <c r="K588" i="1"/>
  <c r="M587" i="1"/>
  <c r="O587" i="1" s="1"/>
  <c r="L587" i="1"/>
  <c r="K587" i="1"/>
  <c r="M586" i="1"/>
  <c r="O586" i="1" s="1"/>
  <c r="L586" i="1"/>
  <c r="K586" i="1"/>
  <c r="M585" i="1"/>
  <c r="O585" i="1" s="1"/>
  <c r="L585" i="1"/>
  <c r="K585" i="1"/>
  <c r="M584" i="1"/>
  <c r="O584" i="1" s="1"/>
  <c r="L584" i="1"/>
  <c r="K584" i="1"/>
  <c r="M583" i="1"/>
  <c r="O583" i="1" s="1"/>
  <c r="L583" i="1"/>
  <c r="K583" i="1"/>
  <c r="M582" i="1"/>
  <c r="O582" i="1" s="1"/>
  <c r="L582" i="1"/>
  <c r="K582" i="1"/>
  <c r="M581" i="1"/>
  <c r="O581" i="1" s="1"/>
  <c r="L581" i="1"/>
  <c r="K581" i="1"/>
  <c r="M580" i="1"/>
  <c r="O580" i="1" s="1"/>
  <c r="L580" i="1"/>
  <c r="K580" i="1"/>
  <c r="M579" i="1"/>
  <c r="O579" i="1" s="1"/>
  <c r="L579" i="1"/>
  <c r="K579" i="1"/>
  <c r="M578" i="1"/>
  <c r="O578" i="1" s="1"/>
  <c r="L578" i="1"/>
  <c r="K578" i="1"/>
  <c r="M577" i="1"/>
  <c r="O577" i="1" s="1"/>
  <c r="L577" i="1"/>
  <c r="K577" i="1"/>
  <c r="M576" i="1"/>
  <c r="O576" i="1" s="1"/>
  <c r="L576" i="1"/>
  <c r="K576" i="1"/>
  <c r="M575" i="1"/>
  <c r="O575" i="1" s="1"/>
  <c r="L575" i="1"/>
  <c r="K575" i="1"/>
  <c r="M574" i="1"/>
  <c r="O574" i="1" s="1"/>
  <c r="L574" i="1"/>
  <c r="K574" i="1"/>
  <c r="M573" i="1"/>
  <c r="O573" i="1" s="1"/>
  <c r="L573" i="1"/>
  <c r="K573" i="1"/>
  <c r="M572" i="1"/>
  <c r="O572" i="1" s="1"/>
  <c r="L572" i="1"/>
  <c r="K572" i="1"/>
  <c r="M571" i="1"/>
  <c r="O571" i="1" s="1"/>
  <c r="L571" i="1"/>
  <c r="K571" i="1"/>
  <c r="M570" i="1"/>
  <c r="O570" i="1" s="1"/>
  <c r="L570" i="1"/>
  <c r="K570" i="1"/>
  <c r="M569" i="1"/>
  <c r="O569" i="1" s="1"/>
  <c r="L569" i="1"/>
  <c r="K569" i="1"/>
  <c r="M568" i="1"/>
  <c r="O568" i="1" s="1"/>
  <c r="L568" i="1"/>
  <c r="K568" i="1"/>
  <c r="M567" i="1"/>
  <c r="O567" i="1" s="1"/>
  <c r="L567" i="1"/>
  <c r="K567" i="1"/>
  <c r="M566" i="1"/>
  <c r="O566" i="1" s="1"/>
  <c r="L566" i="1"/>
  <c r="K566" i="1"/>
  <c r="M565" i="1"/>
  <c r="O565" i="1" s="1"/>
  <c r="L565" i="1"/>
  <c r="K565" i="1"/>
  <c r="M564" i="1"/>
  <c r="O564" i="1" s="1"/>
  <c r="L564" i="1"/>
  <c r="K564" i="1"/>
  <c r="M563" i="1"/>
  <c r="O563" i="1" s="1"/>
  <c r="L563" i="1"/>
  <c r="K563" i="1"/>
  <c r="M562" i="1"/>
  <c r="O562" i="1" s="1"/>
  <c r="L562" i="1"/>
  <c r="K562" i="1"/>
  <c r="M561" i="1"/>
  <c r="O561" i="1" s="1"/>
  <c r="L561" i="1"/>
  <c r="K561" i="1"/>
  <c r="M560" i="1"/>
  <c r="O560" i="1" s="1"/>
  <c r="L560" i="1"/>
  <c r="K560" i="1"/>
  <c r="M559" i="1"/>
  <c r="O559" i="1" s="1"/>
  <c r="L559" i="1"/>
  <c r="K559" i="1"/>
  <c r="M558" i="1"/>
  <c r="O558" i="1" s="1"/>
  <c r="L558" i="1"/>
  <c r="K558" i="1"/>
  <c r="M557" i="1"/>
  <c r="O557" i="1" s="1"/>
  <c r="L557" i="1"/>
  <c r="K557" i="1"/>
  <c r="M556" i="1"/>
  <c r="O556" i="1" s="1"/>
  <c r="L556" i="1"/>
  <c r="K556" i="1"/>
  <c r="M555" i="1"/>
  <c r="O555" i="1" s="1"/>
  <c r="L555" i="1"/>
  <c r="K555" i="1"/>
  <c r="M554" i="1"/>
  <c r="O554" i="1" s="1"/>
  <c r="L554" i="1"/>
  <c r="K554" i="1"/>
  <c r="M553" i="1"/>
  <c r="O553" i="1" s="1"/>
  <c r="L553" i="1"/>
  <c r="K553" i="1"/>
  <c r="M552" i="1"/>
  <c r="O552" i="1" s="1"/>
  <c r="L552" i="1"/>
  <c r="K552" i="1"/>
  <c r="M551" i="1"/>
  <c r="O551" i="1" s="1"/>
  <c r="L551" i="1"/>
  <c r="K551" i="1"/>
  <c r="M550" i="1"/>
  <c r="O550" i="1" s="1"/>
  <c r="L550" i="1"/>
  <c r="K550" i="1"/>
  <c r="M549" i="1"/>
  <c r="O549" i="1" s="1"/>
  <c r="L549" i="1"/>
  <c r="K549" i="1"/>
  <c r="M548" i="1"/>
  <c r="O548" i="1" s="1"/>
  <c r="L548" i="1"/>
  <c r="K548" i="1"/>
  <c r="M547" i="1"/>
  <c r="O547" i="1" s="1"/>
  <c r="L547" i="1"/>
  <c r="K547" i="1"/>
  <c r="M546" i="1"/>
  <c r="O546" i="1" s="1"/>
  <c r="L546" i="1"/>
  <c r="K546" i="1"/>
  <c r="M545" i="1"/>
  <c r="O545" i="1" s="1"/>
  <c r="L545" i="1"/>
  <c r="K545" i="1"/>
  <c r="M544" i="1"/>
  <c r="O544" i="1" s="1"/>
  <c r="L544" i="1"/>
  <c r="K544" i="1"/>
  <c r="M543" i="1"/>
  <c r="O543" i="1" s="1"/>
  <c r="L543" i="1"/>
  <c r="K543" i="1"/>
  <c r="M542" i="1"/>
  <c r="O542" i="1" s="1"/>
  <c r="L542" i="1"/>
  <c r="K542" i="1"/>
  <c r="M541" i="1"/>
  <c r="O541" i="1" s="1"/>
  <c r="L541" i="1"/>
  <c r="K541" i="1"/>
  <c r="M540" i="1"/>
  <c r="O540" i="1" s="1"/>
  <c r="L540" i="1"/>
  <c r="K540" i="1"/>
  <c r="M539" i="1"/>
  <c r="O539" i="1" s="1"/>
  <c r="L539" i="1"/>
  <c r="K539" i="1"/>
  <c r="M538" i="1"/>
  <c r="O538" i="1" s="1"/>
  <c r="L538" i="1"/>
  <c r="K538" i="1"/>
  <c r="M537" i="1"/>
  <c r="O537" i="1" s="1"/>
  <c r="L537" i="1"/>
  <c r="K537" i="1"/>
  <c r="M536" i="1"/>
  <c r="O536" i="1" s="1"/>
  <c r="L536" i="1"/>
  <c r="K536" i="1"/>
  <c r="M535" i="1"/>
  <c r="O535" i="1" s="1"/>
  <c r="L535" i="1"/>
  <c r="K535" i="1"/>
  <c r="M534" i="1"/>
  <c r="O534" i="1" s="1"/>
  <c r="L534" i="1"/>
  <c r="K534" i="1"/>
  <c r="M533" i="1"/>
  <c r="O533" i="1" s="1"/>
  <c r="L533" i="1"/>
  <c r="K533" i="1"/>
  <c r="M532" i="1"/>
  <c r="O532" i="1" s="1"/>
  <c r="L532" i="1"/>
  <c r="K532" i="1"/>
  <c r="M531" i="1"/>
  <c r="O531" i="1" s="1"/>
  <c r="L531" i="1"/>
  <c r="K531" i="1"/>
  <c r="M530" i="1"/>
  <c r="O530" i="1" s="1"/>
  <c r="L530" i="1"/>
  <c r="K530" i="1"/>
  <c r="M529" i="1"/>
  <c r="O529" i="1" s="1"/>
  <c r="L529" i="1"/>
  <c r="K529" i="1"/>
  <c r="M528" i="1"/>
  <c r="O528" i="1" s="1"/>
  <c r="L528" i="1"/>
  <c r="K528" i="1"/>
  <c r="M527" i="1"/>
  <c r="O527" i="1" s="1"/>
  <c r="L527" i="1"/>
  <c r="K527" i="1"/>
  <c r="M526" i="1"/>
  <c r="O526" i="1" s="1"/>
  <c r="L526" i="1"/>
  <c r="K526" i="1"/>
  <c r="M525" i="1"/>
  <c r="O525" i="1" s="1"/>
  <c r="L525" i="1"/>
  <c r="K525" i="1"/>
  <c r="M524" i="1"/>
  <c r="O524" i="1" s="1"/>
  <c r="L524" i="1"/>
  <c r="K524" i="1"/>
  <c r="M523" i="1"/>
  <c r="O523" i="1" s="1"/>
  <c r="L523" i="1"/>
  <c r="K523" i="1"/>
  <c r="M522" i="1"/>
  <c r="O522" i="1" s="1"/>
  <c r="L522" i="1"/>
  <c r="K522" i="1"/>
  <c r="M521" i="1"/>
  <c r="O521" i="1" s="1"/>
  <c r="L521" i="1"/>
  <c r="K521" i="1"/>
  <c r="M520" i="1"/>
  <c r="O520" i="1" s="1"/>
  <c r="L520" i="1"/>
  <c r="K520" i="1"/>
  <c r="M519" i="1"/>
  <c r="O519" i="1" s="1"/>
  <c r="L519" i="1"/>
  <c r="K519" i="1"/>
  <c r="M518" i="1"/>
  <c r="O518" i="1" s="1"/>
  <c r="L518" i="1"/>
  <c r="K518" i="1"/>
  <c r="M517" i="1"/>
  <c r="O517" i="1" s="1"/>
  <c r="L517" i="1"/>
  <c r="K517" i="1"/>
  <c r="M516" i="1"/>
  <c r="O516" i="1" s="1"/>
  <c r="L516" i="1"/>
  <c r="K516" i="1"/>
  <c r="M515" i="1"/>
  <c r="O515" i="1" s="1"/>
  <c r="L515" i="1"/>
  <c r="K515" i="1"/>
  <c r="M514" i="1"/>
  <c r="O514" i="1" s="1"/>
  <c r="L514" i="1"/>
  <c r="K514" i="1"/>
  <c r="M513" i="1"/>
  <c r="O513" i="1" s="1"/>
  <c r="L513" i="1"/>
  <c r="K513" i="1"/>
  <c r="M512" i="1"/>
  <c r="O512" i="1" s="1"/>
  <c r="L512" i="1"/>
  <c r="K512" i="1"/>
  <c r="M511" i="1"/>
  <c r="O511" i="1" s="1"/>
  <c r="L511" i="1"/>
  <c r="K511" i="1"/>
  <c r="M510" i="1"/>
  <c r="O510" i="1" s="1"/>
  <c r="L510" i="1"/>
  <c r="K510" i="1"/>
  <c r="M509" i="1"/>
  <c r="O509" i="1" s="1"/>
  <c r="L509" i="1"/>
  <c r="K509" i="1"/>
  <c r="M508" i="1"/>
  <c r="O508" i="1" s="1"/>
  <c r="L508" i="1"/>
  <c r="K508" i="1"/>
  <c r="M507" i="1"/>
  <c r="O507" i="1" s="1"/>
  <c r="L507" i="1"/>
  <c r="K507" i="1"/>
  <c r="M506" i="1"/>
  <c r="O506" i="1" s="1"/>
  <c r="L506" i="1"/>
  <c r="K506" i="1"/>
  <c r="M505" i="1"/>
  <c r="O505" i="1" s="1"/>
  <c r="L505" i="1"/>
  <c r="K505" i="1"/>
  <c r="M504" i="1"/>
  <c r="O504" i="1" s="1"/>
  <c r="L504" i="1"/>
  <c r="K504" i="1"/>
  <c r="M503" i="1"/>
  <c r="O503" i="1" s="1"/>
  <c r="L503" i="1"/>
  <c r="K503" i="1"/>
  <c r="M502" i="1"/>
  <c r="O502" i="1" s="1"/>
  <c r="L502" i="1"/>
  <c r="K502" i="1"/>
  <c r="M501" i="1"/>
  <c r="O501" i="1" s="1"/>
  <c r="L501" i="1"/>
  <c r="K501" i="1"/>
  <c r="M500" i="1"/>
  <c r="O500" i="1" s="1"/>
  <c r="L500" i="1"/>
  <c r="K500" i="1"/>
  <c r="M499" i="1"/>
  <c r="O499" i="1" s="1"/>
  <c r="L499" i="1"/>
  <c r="K499" i="1"/>
  <c r="M498" i="1"/>
  <c r="O498" i="1" s="1"/>
  <c r="L498" i="1"/>
  <c r="K498" i="1"/>
  <c r="M497" i="1"/>
  <c r="O497" i="1" s="1"/>
  <c r="L497" i="1"/>
  <c r="K497" i="1"/>
  <c r="M496" i="1"/>
  <c r="O496" i="1" s="1"/>
  <c r="L496" i="1"/>
  <c r="K496" i="1"/>
  <c r="M495" i="1"/>
  <c r="O495" i="1" s="1"/>
  <c r="L495" i="1"/>
  <c r="K495" i="1"/>
  <c r="M494" i="1"/>
  <c r="O494" i="1" s="1"/>
  <c r="L494" i="1"/>
  <c r="K494" i="1"/>
  <c r="M493" i="1"/>
  <c r="O493" i="1" s="1"/>
  <c r="L493" i="1"/>
  <c r="K493" i="1"/>
  <c r="M492" i="1"/>
  <c r="O492" i="1" s="1"/>
  <c r="L492" i="1"/>
  <c r="K492" i="1"/>
  <c r="M491" i="1"/>
  <c r="O491" i="1" s="1"/>
  <c r="L491" i="1"/>
  <c r="K491" i="1"/>
  <c r="M490" i="1"/>
  <c r="O490" i="1" s="1"/>
  <c r="L490" i="1"/>
  <c r="K490" i="1"/>
  <c r="M489" i="1"/>
  <c r="O489" i="1" s="1"/>
  <c r="L489" i="1"/>
  <c r="K489" i="1"/>
  <c r="M488" i="1"/>
  <c r="O488" i="1" s="1"/>
  <c r="L488" i="1"/>
  <c r="K488" i="1"/>
  <c r="M487" i="1"/>
  <c r="O487" i="1" s="1"/>
  <c r="L487" i="1"/>
  <c r="K487" i="1"/>
  <c r="M486" i="1"/>
  <c r="O486" i="1" s="1"/>
  <c r="L486" i="1"/>
  <c r="K486" i="1"/>
  <c r="M485" i="1"/>
  <c r="O485" i="1" s="1"/>
  <c r="L485" i="1"/>
  <c r="K485" i="1"/>
  <c r="M484" i="1"/>
  <c r="O484" i="1" s="1"/>
  <c r="L484" i="1"/>
  <c r="K484" i="1"/>
  <c r="M483" i="1"/>
  <c r="O483" i="1" s="1"/>
  <c r="L483" i="1"/>
  <c r="K483" i="1"/>
  <c r="M482" i="1"/>
  <c r="O482" i="1" s="1"/>
  <c r="L482" i="1"/>
  <c r="K482" i="1"/>
  <c r="M481" i="1"/>
  <c r="O481" i="1" s="1"/>
  <c r="L481" i="1"/>
  <c r="K481" i="1"/>
  <c r="M480" i="1"/>
  <c r="O480" i="1" s="1"/>
  <c r="L480" i="1"/>
  <c r="K480" i="1"/>
  <c r="M479" i="1"/>
  <c r="O479" i="1" s="1"/>
  <c r="L479" i="1"/>
  <c r="K479" i="1"/>
  <c r="M478" i="1"/>
  <c r="O478" i="1" s="1"/>
  <c r="L478" i="1"/>
  <c r="K478" i="1"/>
  <c r="M477" i="1"/>
  <c r="O477" i="1" s="1"/>
  <c r="L477" i="1"/>
  <c r="K477" i="1"/>
  <c r="M476" i="1"/>
  <c r="O476" i="1" s="1"/>
  <c r="L476" i="1"/>
  <c r="K476" i="1"/>
  <c r="M475" i="1"/>
  <c r="O475" i="1" s="1"/>
  <c r="L475" i="1"/>
  <c r="K475" i="1"/>
  <c r="M474" i="1"/>
  <c r="O474" i="1" s="1"/>
  <c r="L474" i="1"/>
  <c r="K474" i="1"/>
  <c r="M473" i="1"/>
  <c r="O473" i="1" s="1"/>
  <c r="L473" i="1"/>
  <c r="K473" i="1"/>
  <c r="M472" i="1"/>
  <c r="O472" i="1" s="1"/>
  <c r="L472" i="1"/>
  <c r="K472" i="1"/>
  <c r="M471" i="1"/>
  <c r="O471" i="1" s="1"/>
  <c r="L471" i="1"/>
  <c r="K471" i="1"/>
  <c r="M470" i="1"/>
  <c r="O470" i="1" s="1"/>
  <c r="L470" i="1"/>
  <c r="K470" i="1"/>
  <c r="M469" i="1"/>
  <c r="O469" i="1" s="1"/>
  <c r="L469" i="1"/>
  <c r="K469" i="1"/>
  <c r="M468" i="1"/>
  <c r="O468" i="1" s="1"/>
  <c r="L468" i="1"/>
  <c r="K468" i="1"/>
  <c r="M467" i="1"/>
  <c r="O467" i="1" s="1"/>
  <c r="L467" i="1"/>
  <c r="K467" i="1"/>
  <c r="M466" i="1"/>
  <c r="O466" i="1" s="1"/>
  <c r="L466" i="1"/>
  <c r="K466" i="1"/>
  <c r="M465" i="1"/>
  <c r="O465" i="1" s="1"/>
  <c r="L465" i="1"/>
  <c r="K465" i="1"/>
  <c r="M464" i="1"/>
  <c r="O464" i="1" s="1"/>
  <c r="L464" i="1"/>
  <c r="K464" i="1"/>
  <c r="M463" i="1"/>
  <c r="O463" i="1" s="1"/>
  <c r="L463" i="1"/>
  <c r="K463" i="1"/>
  <c r="M462" i="1"/>
  <c r="O462" i="1" s="1"/>
  <c r="L462" i="1"/>
  <c r="K462" i="1"/>
  <c r="M461" i="1"/>
  <c r="O461" i="1" s="1"/>
  <c r="L461" i="1"/>
  <c r="K461" i="1"/>
  <c r="M460" i="1"/>
  <c r="O460" i="1" s="1"/>
  <c r="L460" i="1"/>
  <c r="K460" i="1"/>
  <c r="M459" i="1"/>
  <c r="O459" i="1" s="1"/>
  <c r="L459" i="1"/>
  <c r="K459" i="1"/>
  <c r="M458" i="1"/>
  <c r="O458" i="1" s="1"/>
  <c r="L458" i="1"/>
  <c r="K458" i="1"/>
  <c r="M457" i="1"/>
  <c r="O457" i="1" s="1"/>
  <c r="L457" i="1"/>
  <c r="K457" i="1"/>
  <c r="M456" i="1"/>
  <c r="O456" i="1" s="1"/>
  <c r="L456" i="1"/>
  <c r="K456" i="1"/>
  <c r="M455" i="1"/>
  <c r="O455" i="1" s="1"/>
  <c r="L455" i="1"/>
  <c r="K455" i="1"/>
  <c r="M454" i="1"/>
  <c r="O454" i="1" s="1"/>
  <c r="L454" i="1"/>
  <c r="K454" i="1"/>
  <c r="M453" i="1"/>
  <c r="O453" i="1" s="1"/>
  <c r="L453" i="1"/>
  <c r="K453" i="1"/>
  <c r="M452" i="1"/>
  <c r="O452" i="1" s="1"/>
  <c r="L452" i="1"/>
  <c r="K452" i="1"/>
  <c r="M451" i="1"/>
  <c r="O451" i="1" s="1"/>
  <c r="L451" i="1"/>
  <c r="K451" i="1"/>
  <c r="M450" i="1"/>
  <c r="O450" i="1" s="1"/>
  <c r="L450" i="1"/>
  <c r="K450" i="1"/>
  <c r="M449" i="1"/>
  <c r="O449" i="1" s="1"/>
  <c r="L449" i="1"/>
  <c r="K449" i="1"/>
  <c r="M448" i="1"/>
  <c r="O448" i="1" s="1"/>
  <c r="L448" i="1"/>
  <c r="K448" i="1"/>
  <c r="M447" i="1"/>
  <c r="O447" i="1" s="1"/>
  <c r="L447" i="1"/>
  <c r="K447" i="1"/>
  <c r="M446" i="1"/>
  <c r="O446" i="1" s="1"/>
  <c r="L446" i="1"/>
  <c r="K446" i="1"/>
  <c r="M445" i="1"/>
  <c r="O445" i="1" s="1"/>
  <c r="L445" i="1"/>
  <c r="K445" i="1"/>
  <c r="M444" i="1"/>
  <c r="O444" i="1" s="1"/>
  <c r="L444" i="1"/>
  <c r="K444" i="1"/>
  <c r="M443" i="1"/>
  <c r="O443" i="1" s="1"/>
  <c r="L443" i="1"/>
  <c r="K443" i="1"/>
  <c r="M442" i="1"/>
  <c r="O442" i="1" s="1"/>
  <c r="L442" i="1"/>
  <c r="K442" i="1"/>
  <c r="M441" i="1"/>
  <c r="O441" i="1" s="1"/>
  <c r="L441" i="1"/>
  <c r="K441" i="1"/>
  <c r="M440" i="1"/>
  <c r="O440" i="1" s="1"/>
  <c r="L440" i="1"/>
  <c r="K440" i="1"/>
  <c r="M439" i="1"/>
  <c r="O439" i="1" s="1"/>
  <c r="L439" i="1"/>
  <c r="K439" i="1"/>
  <c r="M438" i="1"/>
  <c r="O438" i="1" s="1"/>
  <c r="L438" i="1"/>
  <c r="K438" i="1"/>
  <c r="M437" i="1"/>
  <c r="O437" i="1" s="1"/>
  <c r="L437" i="1"/>
  <c r="K437" i="1"/>
  <c r="M436" i="1"/>
  <c r="O436" i="1" s="1"/>
  <c r="L436" i="1"/>
  <c r="K436" i="1"/>
  <c r="M435" i="1"/>
  <c r="O435" i="1" s="1"/>
  <c r="L435" i="1"/>
  <c r="K435" i="1"/>
  <c r="M434" i="1"/>
  <c r="O434" i="1" s="1"/>
  <c r="L434" i="1"/>
  <c r="K434" i="1"/>
  <c r="M433" i="1"/>
  <c r="O433" i="1" s="1"/>
  <c r="L433" i="1"/>
  <c r="K433" i="1"/>
  <c r="M432" i="1"/>
  <c r="O432" i="1" s="1"/>
  <c r="L432" i="1"/>
  <c r="K432" i="1"/>
  <c r="M431" i="1"/>
  <c r="O431" i="1" s="1"/>
  <c r="L431" i="1"/>
  <c r="K431" i="1"/>
  <c r="M430" i="1"/>
  <c r="O430" i="1" s="1"/>
  <c r="L430" i="1"/>
  <c r="K430" i="1"/>
  <c r="M429" i="1"/>
  <c r="O429" i="1" s="1"/>
  <c r="L429" i="1"/>
  <c r="K429" i="1"/>
  <c r="M428" i="1"/>
  <c r="O428" i="1" s="1"/>
  <c r="L428" i="1"/>
  <c r="K428" i="1"/>
  <c r="M427" i="1"/>
  <c r="O427" i="1" s="1"/>
  <c r="L427" i="1"/>
  <c r="K427" i="1"/>
  <c r="M426" i="1"/>
  <c r="O426" i="1" s="1"/>
  <c r="L426" i="1"/>
  <c r="K426" i="1"/>
  <c r="M425" i="1"/>
  <c r="O425" i="1" s="1"/>
  <c r="L425" i="1"/>
  <c r="K425" i="1"/>
  <c r="M424" i="1"/>
  <c r="O424" i="1" s="1"/>
  <c r="L424" i="1"/>
  <c r="K424" i="1"/>
  <c r="M423" i="1"/>
  <c r="O423" i="1" s="1"/>
  <c r="L423" i="1"/>
  <c r="K423" i="1"/>
  <c r="M422" i="1"/>
  <c r="O422" i="1" s="1"/>
  <c r="L422" i="1"/>
  <c r="K422" i="1"/>
  <c r="M421" i="1"/>
  <c r="O421" i="1" s="1"/>
  <c r="L421" i="1"/>
  <c r="K421" i="1"/>
  <c r="M420" i="1"/>
  <c r="O420" i="1" s="1"/>
  <c r="L420" i="1"/>
  <c r="K420" i="1"/>
  <c r="M419" i="1"/>
  <c r="O419" i="1" s="1"/>
  <c r="L419" i="1"/>
  <c r="K419" i="1"/>
  <c r="M418" i="1"/>
  <c r="O418" i="1" s="1"/>
  <c r="L418" i="1"/>
  <c r="K418" i="1"/>
  <c r="M417" i="1"/>
  <c r="O417" i="1" s="1"/>
  <c r="L417" i="1"/>
  <c r="K417" i="1"/>
  <c r="M416" i="1"/>
  <c r="O416" i="1" s="1"/>
  <c r="L416" i="1"/>
  <c r="K416" i="1"/>
  <c r="M415" i="1"/>
  <c r="O415" i="1" s="1"/>
  <c r="L415" i="1"/>
  <c r="K415" i="1"/>
  <c r="M414" i="1"/>
  <c r="O414" i="1" s="1"/>
  <c r="L414" i="1"/>
  <c r="K414" i="1"/>
  <c r="M413" i="1"/>
  <c r="O413" i="1" s="1"/>
  <c r="L413" i="1"/>
  <c r="K413" i="1"/>
  <c r="M412" i="1"/>
  <c r="O412" i="1" s="1"/>
  <c r="L412" i="1"/>
  <c r="K412" i="1"/>
  <c r="M411" i="1"/>
  <c r="O411" i="1" s="1"/>
  <c r="L411" i="1"/>
  <c r="K411" i="1"/>
  <c r="M410" i="1"/>
  <c r="O410" i="1" s="1"/>
  <c r="L410" i="1"/>
  <c r="K410" i="1"/>
  <c r="M409" i="1"/>
  <c r="O409" i="1" s="1"/>
  <c r="L409" i="1"/>
  <c r="K409" i="1"/>
  <c r="M408" i="1"/>
  <c r="O408" i="1" s="1"/>
  <c r="L408" i="1"/>
  <c r="K408" i="1"/>
  <c r="M407" i="1"/>
  <c r="O407" i="1" s="1"/>
  <c r="L407" i="1"/>
  <c r="K407" i="1"/>
  <c r="M406" i="1"/>
  <c r="O406" i="1" s="1"/>
  <c r="L406" i="1"/>
  <c r="K406" i="1"/>
  <c r="M405" i="1"/>
  <c r="O405" i="1" s="1"/>
  <c r="L405" i="1"/>
  <c r="K405" i="1"/>
  <c r="M404" i="1"/>
  <c r="O404" i="1" s="1"/>
  <c r="L404" i="1"/>
  <c r="K404" i="1"/>
  <c r="M403" i="1"/>
  <c r="O403" i="1" s="1"/>
  <c r="L403" i="1"/>
  <c r="K403" i="1"/>
  <c r="M402" i="1"/>
  <c r="O402" i="1" s="1"/>
  <c r="L402" i="1"/>
  <c r="K402" i="1"/>
  <c r="M401" i="1"/>
  <c r="O401" i="1" s="1"/>
  <c r="L401" i="1"/>
  <c r="K401" i="1"/>
  <c r="M400" i="1"/>
  <c r="O400" i="1" s="1"/>
  <c r="L400" i="1"/>
  <c r="K400" i="1"/>
  <c r="M399" i="1"/>
  <c r="O399" i="1" s="1"/>
  <c r="L399" i="1"/>
  <c r="K399" i="1"/>
  <c r="M398" i="1"/>
  <c r="O398" i="1" s="1"/>
  <c r="L398" i="1"/>
  <c r="K398" i="1"/>
  <c r="M397" i="1"/>
  <c r="O397" i="1" s="1"/>
  <c r="L397" i="1"/>
  <c r="K397" i="1"/>
  <c r="M396" i="1"/>
  <c r="O396" i="1" s="1"/>
  <c r="L396" i="1"/>
  <c r="K396" i="1"/>
  <c r="M395" i="1"/>
  <c r="O395" i="1" s="1"/>
  <c r="L395" i="1"/>
  <c r="K395" i="1"/>
  <c r="M394" i="1"/>
  <c r="O394" i="1" s="1"/>
  <c r="L394" i="1"/>
  <c r="K394" i="1"/>
  <c r="M393" i="1"/>
  <c r="O393" i="1" s="1"/>
  <c r="L393" i="1"/>
  <c r="K393" i="1"/>
  <c r="M392" i="1"/>
  <c r="O392" i="1" s="1"/>
  <c r="L392" i="1"/>
  <c r="K392" i="1"/>
  <c r="M391" i="1"/>
  <c r="O391" i="1" s="1"/>
  <c r="L391" i="1"/>
  <c r="K391" i="1"/>
  <c r="M390" i="1"/>
  <c r="O390" i="1" s="1"/>
  <c r="L390" i="1"/>
  <c r="K390" i="1"/>
  <c r="M389" i="1"/>
  <c r="O389" i="1" s="1"/>
  <c r="L389" i="1"/>
  <c r="K389" i="1"/>
  <c r="M388" i="1"/>
  <c r="O388" i="1" s="1"/>
  <c r="L388" i="1"/>
  <c r="K388" i="1"/>
  <c r="M387" i="1"/>
  <c r="O387" i="1" s="1"/>
  <c r="L387" i="1"/>
  <c r="K387" i="1"/>
  <c r="M386" i="1"/>
  <c r="O386" i="1" s="1"/>
  <c r="L386" i="1"/>
  <c r="K386" i="1"/>
  <c r="M385" i="1"/>
  <c r="O385" i="1" s="1"/>
  <c r="L385" i="1"/>
  <c r="K385" i="1"/>
  <c r="M384" i="1"/>
  <c r="O384" i="1" s="1"/>
  <c r="L384" i="1"/>
  <c r="K384" i="1"/>
  <c r="M383" i="1"/>
  <c r="O383" i="1" s="1"/>
  <c r="L383" i="1"/>
  <c r="K383" i="1"/>
  <c r="M382" i="1"/>
  <c r="O382" i="1" s="1"/>
  <c r="L382" i="1"/>
  <c r="K382" i="1"/>
  <c r="M381" i="1"/>
  <c r="O381" i="1" s="1"/>
  <c r="L381" i="1"/>
  <c r="K381" i="1"/>
  <c r="M380" i="1"/>
  <c r="O380" i="1" s="1"/>
  <c r="L380" i="1"/>
  <c r="K380" i="1"/>
  <c r="M379" i="1"/>
  <c r="O379" i="1" s="1"/>
  <c r="L379" i="1"/>
  <c r="K379" i="1"/>
  <c r="M378" i="1"/>
  <c r="O378" i="1" s="1"/>
  <c r="L378" i="1"/>
  <c r="K378" i="1"/>
  <c r="M377" i="1"/>
  <c r="O377" i="1" s="1"/>
  <c r="L377" i="1"/>
  <c r="K377" i="1"/>
  <c r="M376" i="1"/>
  <c r="O376" i="1" s="1"/>
  <c r="L376" i="1"/>
  <c r="K376" i="1"/>
  <c r="M375" i="1"/>
  <c r="O375" i="1" s="1"/>
  <c r="L375" i="1"/>
  <c r="K375" i="1"/>
  <c r="M374" i="1"/>
  <c r="O374" i="1" s="1"/>
  <c r="L374" i="1"/>
  <c r="K374" i="1"/>
  <c r="M373" i="1"/>
  <c r="O373" i="1" s="1"/>
  <c r="L373" i="1"/>
  <c r="K373" i="1"/>
  <c r="M372" i="1"/>
  <c r="O372" i="1" s="1"/>
  <c r="L372" i="1"/>
  <c r="K372" i="1"/>
  <c r="M371" i="1"/>
  <c r="O371" i="1" s="1"/>
  <c r="L371" i="1"/>
  <c r="K371" i="1"/>
  <c r="M370" i="1"/>
  <c r="O370" i="1" s="1"/>
  <c r="L370" i="1"/>
  <c r="K370" i="1"/>
  <c r="M369" i="1"/>
  <c r="O369" i="1" s="1"/>
  <c r="L369" i="1"/>
  <c r="K369" i="1"/>
  <c r="M368" i="1"/>
  <c r="O368" i="1" s="1"/>
  <c r="L368" i="1"/>
  <c r="K368" i="1"/>
  <c r="M367" i="1"/>
  <c r="O367" i="1" s="1"/>
  <c r="L367" i="1"/>
  <c r="K367" i="1"/>
  <c r="M366" i="1"/>
  <c r="O366" i="1" s="1"/>
  <c r="L366" i="1"/>
  <c r="K366" i="1"/>
  <c r="M365" i="1"/>
  <c r="O365" i="1" s="1"/>
  <c r="L365" i="1"/>
  <c r="K365" i="1"/>
  <c r="M364" i="1"/>
  <c r="O364" i="1" s="1"/>
  <c r="L364" i="1"/>
  <c r="K364" i="1"/>
  <c r="M363" i="1"/>
  <c r="O363" i="1" s="1"/>
  <c r="L363" i="1"/>
  <c r="K363" i="1"/>
  <c r="M362" i="1"/>
  <c r="O362" i="1" s="1"/>
  <c r="L362" i="1"/>
  <c r="K362" i="1"/>
  <c r="M361" i="1"/>
  <c r="O361" i="1" s="1"/>
  <c r="L361" i="1"/>
  <c r="K361" i="1"/>
  <c r="M360" i="1"/>
  <c r="O360" i="1" s="1"/>
  <c r="L360" i="1"/>
  <c r="K360" i="1"/>
  <c r="M359" i="1"/>
  <c r="O359" i="1" s="1"/>
  <c r="L359" i="1"/>
  <c r="K359" i="1"/>
  <c r="M358" i="1"/>
  <c r="O358" i="1" s="1"/>
  <c r="L358" i="1"/>
  <c r="K358" i="1"/>
  <c r="M357" i="1"/>
  <c r="O357" i="1" s="1"/>
  <c r="L357" i="1"/>
  <c r="K357" i="1"/>
  <c r="M356" i="1"/>
  <c r="O356" i="1" s="1"/>
  <c r="L356" i="1"/>
  <c r="K356" i="1"/>
  <c r="M355" i="1"/>
  <c r="O355" i="1" s="1"/>
  <c r="L355" i="1"/>
  <c r="K355" i="1"/>
  <c r="M354" i="1"/>
  <c r="O354" i="1" s="1"/>
  <c r="L354" i="1"/>
  <c r="K354" i="1"/>
  <c r="M353" i="1"/>
  <c r="O353" i="1" s="1"/>
  <c r="L353" i="1"/>
  <c r="K353" i="1"/>
  <c r="M352" i="1"/>
  <c r="O352" i="1" s="1"/>
  <c r="L352" i="1"/>
  <c r="K352" i="1"/>
  <c r="M351" i="1"/>
  <c r="O351" i="1" s="1"/>
  <c r="L351" i="1"/>
  <c r="K351" i="1"/>
  <c r="M350" i="1"/>
  <c r="O350" i="1" s="1"/>
  <c r="L350" i="1"/>
  <c r="K350" i="1"/>
  <c r="M349" i="1"/>
  <c r="O349" i="1" s="1"/>
  <c r="L349" i="1"/>
  <c r="K349" i="1"/>
  <c r="M348" i="1"/>
  <c r="O348" i="1" s="1"/>
  <c r="L348" i="1"/>
  <c r="K348" i="1"/>
  <c r="M347" i="1"/>
  <c r="O347" i="1" s="1"/>
  <c r="L347" i="1"/>
  <c r="K347" i="1"/>
  <c r="M346" i="1"/>
  <c r="O346" i="1" s="1"/>
  <c r="L346" i="1"/>
  <c r="K346" i="1"/>
  <c r="M345" i="1"/>
  <c r="O345" i="1" s="1"/>
  <c r="L345" i="1"/>
  <c r="K345" i="1"/>
  <c r="M344" i="1"/>
  <c r="O344" i="1" s="1"/>
  <c r="L344" i="1"/>
  <c r="K344" i="1"/>
  <c r="M343" i="1"/>
  <c r="O343" i="1" s="1"/>
  <c r="L343" i="1"/>
  <c r="K343" i="1"/>
  <c r="M342" i="1"/>
  <c r="O342" i="1" s="1"/>
  <c r="L342" i="1"/>
  <c r="K342" i="1"/>
  <c r="M341" i="1"/>
  <c r="O341" i="1" s="1"/>
  <c r="L341" i="1"/>
  <c r="K341" i="1"/>
  <c r="M340" i="1"/>
  <c r="O340" i="1" s="1"/>
  <c r="L340" i="1"/>
  <c r="K340" i="1"/>
  <c r="M339" i="1"/>
  <c r="O339" i="1" s="1"/>
  <c r="L339" i="1"/>
  <c r="K339" i="1"/>
  <c r="M338" i="1"/>
  <c r="O338" i="1" s="1"/>
  <c r="L338" i="1"/>
  <c r="K338" i="1"/>
  <c r="M337" i="1"/>
  <c r="O337" i="1" s="1"/>
  <c r="L337" i="1"/>
  <c r="K337" i="1"/>
  <c r="M336" i="1"/>
  <c r="O336" i="1" s="1"/>
  <c r="L336" i="1"/>
  <c r="K336" i="1"/>
  <c r="M335" i="1"/>
  <c r="O335" i="1" s="1"/>
  <c r="L335" i="1"/>
  <c r="K335" i="1"/>
  <c r="M334" i="1"/>
  <c r="O334" i="1" s="1"/>
  <c r="L334" i="1"/>
  <c r="K334" i="1"/>
  <c r="M333" i="1"/>
  <c r="O333" i="1" s="1"/>
  <c r="L333" i="1"/>
  <c r="K333" i="1"/>
  <c r="M332" i="1"/>
  <c r="O332" i="1" s="1"/>
  <c r="L332" i="1"/>
  <c r="K332" i="1"/>
  <c r="M331" i="1"/>
  <c r="O331" i="1" s="1"/>
  <c r="L331" i="1"/>
  <c r="K331" i="1"/>
  <c r="M330" i="1"/>
  <c r="O330" i="1" s="1"/>
  <c r="L330" i="1"/>
  <c r="K330" i="1"/>
  <c r="M329" i="1"/>
  <c r="O329" i="1" s="1"/>
  <c r="L329" i="1"/>
  <c r="K329" i="1"/>
  <c r="M328" i="1"/>
  <c r="O328" i="1" s="1"/>
  <c r="L328" i="1"/>
  <c r="K328" i="1"/>
  <c r="M327" i="1"/>
  <c r="O327" i="1" s="1"/>
  <c r="L327" i="1"/>
  <c r="K327" i="1"/>
  <c r="M326" i="1"/>
  <c r="O326" i="1" s="1"/>
  <c r="L326" i="1"/>
  <c r="K326" i="1"/>
  <c r="M325" i="1"/>
  <c r="O325" i="1" s="1"/>
  <c r="L325" i="1"/>
  <c r="K325" i="1"/>
  <c r="M324" i="1"/>
  <c r="O324" i="1" s="1"/>
  <c r="L324" i="1"/>
  <c r="K324" i="1"/>
  <c r="M323" i="1"/>
  <c r="O323" i="1" s="1"/>
  <c r="L323" i="1"/>
  <c r="K323" i="1"/>
  <c r="M322" i="1"/>
  <c r="O322" i="1" s="1"/>
  <c r="L322" i="1"/>
  <c r="K322" i="1"/>
  <c r="M321" i="1"/>
  <c r="O321" i="1" s="1"/>
  <c r="L321" i="1"/>
  <c r="K321" i="1"/>
  <c r="M320" i="1"/>
  <c r="O320" i="1" s="1"/>
  <c r="L320" i="1"/>
  <c r="K320" i="1"/>
  <c r="M319" i="1"/>
  <c r="O319" i="1" s="1"/>
  <c r="L319" i="1"/>
  <c r="K319" i="1"/>
  <c r="M318" i="1"/>
  <c r="O318" i="1" s="1"/>
  <c r="L318" i="1"/>
  <c r="K318" i="1"/>
  <c r="M317" i="1"/>
  <c r="O317" i="1" s="1"/>
  <c r="L317" i="1"/>
  <c r="K317" i="1"/>
  <c r="M316" i="1"/>
  <c r="O316" i="1" s="1"/>
  <c r="L316" i="1"/>
  <c r="K316" i="1"/>
  <c r="M315" i="1"/>
  <c r="O315" i="1" s="1"/>
  <c r="L315" i="1"/>
  <c r="K315" i="1"/>
  <c r="M314" i="1"/>
  <c r="O314" i="1" s="1"/>
  <c r="L314" i="1"/>
  <c r="K314" i="1"/>
  <c r="M313" i="1"/>
  <c r="O313" i="1" s="1"/>
  <c r="L313" i="1"/>
  <c r="K313" i="1"/>
  <c r="M312" i="1"/>
  <c r="O312" i="1" s="1"/>
  <c r="L312" i="1"/>
  <c r="K312" i="1"/>
  <c r="M311" i="1"/>
  <c r="O311" i="1" s="1"/>
  <c r="L311" i="1"/>
  <c r="K311" i="1"/>
  <c r="M310" i="1"/>
  <c r="O310" i="1" s="1"/>
  <c r="L310" i="1"/>
  <c r="K310" i="1"/>
  <c r="M309" i="1"/>
  <c r="O309" i="1" s="1"/>
  <c r="L309" i="1"/>
  <c r="K309" i="1"/>
  <c r="M308" i="1"/>
  <c r="O308" i="1" s="1"/>
  <c r="L308" i="1"/>
  <c r="K308" i="1"/>
  <c r="M307" i="1"/>
  <c r="O307" i="1" s="1"/>
  <c r="L307" i="1"/>
  <c r="K307" i="1"/>
  <c r="M306" i="1"/>
  <c r="O306" i="1" s="1"/>
  <c r="L306" i="1"/>
  <c r="K306" i="1"/>
  <c r="M305" i="1"/>
  <c r="O305" i="1" s="1"/>
  <c r="L305" i="1"/>
  <c r="K305" i="1"/>
  <c r="M304" i="1"/>
  <c r="O304" i="1" s="1"/>
  <c r="L304" i="1"/>
  <c r="K304" i="1"/>
  <c r="M303" i="1"/>
  <c r="O303" i="1" s="1"/>
  <c r="L303" i="1"/>
  <c r="K303" i="1"/>
  <c r="M302" i="1"/>
  <c r="O302" i="1" s="1"/>
  <c r="L302" i="1"/>
  <c r="K302" i="1"/>
  <c r="M301" i="1"/>
  <c r="O301" i="1" s="1"/>
  <c r="L301" i="1"/>
  <c r="K301" i="1"/>
  <c r="M300" i="1"/>
  <c r="O300" i="1" s="1"/>
  <c r="L300" i="1"/>
  <c r="K300" i="1"/>
  <c r="M299" i="1"/>
  <c r="O299" i="1" s="1"/>
  <c r="L299" i="1"/>
  <c r="K299" i="1"/>
  <c r="M298" i="1"/>
  <c r="O298" i="1" s="1"/>
  <c r="L298" i="1"/>
  <c r="K298" i="1"/>
  <c r="M297" i="1"/>
  <c r="O297" i="1" s="1"/>
  <c r="L297" i="1"/>
  <c r="K297" i="1"/>
  <c r="M296" i="1"/>
  <c r="O296" i="1" s="1"/>
  <c r="L296" i="1"/>
  <c r="K296" i="1"/>
  <c r="M295" i="1"/>
  <c r="O295" i="1" s="1"/>
  <c r="L295" i="1"/>
  <c r="K295" i="1"/>
  <c r="M294" i="1"/>
  <c r="O294" i="1" s="1"/>
  <c r="L294" i="1"/>
  <c r="K294" i="1"/>
  <c r="M293" i="1"/>
  <c r="O293" i="1" s="1"/>
  <c r="L293" i="1"/>
  <c r="K293" i="1"/>
  <c r="M292" i="1"/>
  <c r="O292" i="1" s="1"/>
  <c r="L292" i="1"/>
  <c r="K292" i="1"/>
  <c r="M291" i="1"/>
  <c r="O291" i="1" s="1"/>
  <c r="L291" i="1"/>
  <c r="K291" i="1"/>
  <c r="M290" i="1"/>
  <c r="O290" i="1" s="1"/>
  <c r="L290" i="1"/>
  <c r="K290" i="1"/>
  <c r="M289" i="1"/>
  <c r="O289" i="1" s="1"/>
  <c r="L289" i="1"/>
  <c r="K289" i="1"/>
  <c r="M288" i="1"/>
  <c r="O288" i="1" s="1"/>
  <c r="L288" i="1"/>
  <c r="K288" i="1"/>
  <c r="M287" i="1"/>
  <c r="O287" i="1" s="1"/>
  <c r="L287" i="1"/>
  <c r="K287" i="1"/>
  <c r="M286" i="1"/>
  <c r="O286" i="1" s="1"/>
  <c r="L286" i="1"/>
  <c r="K286" i="1"/>
  <c r="M285" i="1"/>
  <c r="O285" i="1" s="1"/>
  <c r="L285" i="1"/>
  <c r="K285" i="1"/>
  <c r="M284" i="1"/>
  <c r="O284" i="1" s="1"/>
  <c r="L284" i="1"/>
  <c r="K284" i="1"/>
  <c r="M283" i="1"/>
  <c r="O283" i="1" s="1"/>
  <c r="L283" i="1"/>
  <c r="K283" i="1"/>
  <c r="M282" i="1"/>
  <c r="O282" i="1" s="1"/>
  <c r="L282" i="1"/>
  <c r="K282" i="1"/>
  <c r="M281" i="1"/>
  <c r="O281" i="1" s="1"/>
  <c r="L281" i="1"/>
  <c r="K281" i="1"/>
  <c r="M280" i="1"/>
  <c r="O280" i="1" s="1"/>
  <c r="L280" i="1"/>
  <c r="K280" i="1"/>
  <c r="M279" i="1"/>
  <c r="O279" i="1" s="1"/>
  <c r="L279" i="1"/>
  <c r="K279" i="1"/>
  <c r="M278" i="1"/>
  <c r="O278" i="1" s="1"/>
  <c r="L278" i="1"/>
  <c r="K278" i="1"/>
  <c r="M277" i="1"/>
  <c r="O277" i="1" s="1"/>
  <c r="L277" i="1"/>
  <c r="K277" i="1"/>
  <c r="M276" i="1"/>
  <c r="O276" i="1" s="1"/>
  <c r="L276" i="1"/>
  <c r="K276" i="1"/>
  <c r="M275" i="1"/>
  <c r="O275" i="1" s="1"/>
  <c r="L275" i="1"/>
  <c r="K275" i="1"/>
  <c r="M274" i="1"/>
  <c r="O274" i="1" s="1"/>
  <c r="L274" i="1"/>
  <c r="K274" i="1"/>
  <c r="M273" i="1"/>
  <c r="O273" i="1" s="1"/>
  <c r="L273" i="1"/>
  <c r="K273" i="1"/>
  <c r="M272" i="1"/>
  <c r="O272" i="1" s="1"/>
  <c r="L272" i="1"/>
  <c r="K272" i="1"/>
  <c r="M271" i="1"/>
  <c r="O271" i="1" s="1"/>
  <c r="L271" i="1"/>
  <c r="K271" i="1"/>
  <c r="M270" i="1"/>
  <c r="O270" i="1" s="1"/>
  <c r="L270" i="1"/>
  <c r="K270" i="1"/>
  <c r="M269" i="1"/>
  <c r="O269" i="1" s="1"/>
  <c r="L269" i="1"/>
  <c r="K269" i="1"/>
  <c r="M268" i="1"/>
  <c r="O268" i="1" s="1"/>
  <c r="L268" i="1"/>
  <c r="K268" i="1"/>
  <c r="M267" i="1"/>
  <c r="O267" i="1" s="1"/>
  <c r="L267" i="1"/>
  <c r="K267" i="1"/>
  <c r="M266" i="1"/>
  <c r="O266" i="1" s="1"/>
  <c r="L266" i="1"/>
  <c r="K266" i="1"/>
  <c r="M265" i="1"/>
  <c r="O265" i="1" s="1"/>
  <c r="L265" i="1"/>
  <c r="K265" i="1"/>
  <c r="M264" i="1"/>
  <c r="O264" i="1" s="1"/>
  <c r="L264" i="1"/>
  <c r="K264" i="1"/>
  <c r="M263" i="1"/>
  <c r="O263" i="1" s="1"/>
  <c r="L263" i="1"/>
  <c r="K263" i="1"/>
  <c r="M262" i="1"/>
  <c r="O262" i="1" s="1"/>
  <c r="L262" i="1"/>
  <c r="K262" i="1"/>
  <c r="M261" i="1"/>
  <c r="O261" i="1" s="1"/>
  <c r="L261" i="1"/>
  <c r="K261" i="1"/>
  <c r="M260" i="1"/>
  <c r="O260" i="1" s="1"/>
  <c r="L260" i="1"/>
  <c r="K260" i="1"/>
  <c r="M259" i="1"/>
  <c r="O259" i="1" s="1"/>
  <c r="L259" i="1"/>
  <c r="K259" i="1"/>
  <c r="M258" i="1"/>
  <c r="O258" i="1" s="1"/>
  <c r="L258" i="1"/>
  <c r="K258" i="1"/>
  <c r="M257" i="1"/>
  <c r="O257" i="1" s="1"/>
  <c r="L257" i="1"/>
  <c r="K257" i="1"/>
  <c r="M256" i="1"/>
  <c r="O256" i="1" s="1"/>
  <c r="L256" i="1"/>
  <c r="K256" i="1"/>
  <c r="M255" i="1"/>
  <c r="O255" i="1" s="1"/>
  <c r="L255" i="1"/>
  <c r="K255" i="1"/>
  <c r="M254" i="1"/>
  <c r="O254" i="1" s="1"/>
  <c r="L254" i="1"/>
  <c r="K254" i="1"/>
  <c r="M253" i="1"/>
  <c r="O253" i="1" s="1"/>
  <c r="L253" i="1"/>
  <c r="K253" i="1"/>
  <c r="M252" i="1"/>
  <c r="O252" i="1" s="1"/>
  <c r="L252" i="1"/>
  <c r="K252" i="1"/>
  <c r="M251" i="1"/>
  <c r="O251" i="1" s="1"/>
  <c r="L251" i="1"/>
  <c r="K251" i="1"/>
  <c r="M250" i="1"/>
  <c r="O250" i="1" s="1"/>
  <c r="L250" i="1"/>
  <c r="K250" i="1"/>
  <c r="M249" i="1"/>
  <c r="O249" i="1" s="1"/>
  <c r="L249" i="1"/>
  <c r="K249" i="1"/>
  <c r="M248" i="1"/>
  <c r="O248" i="1" s="1"/>
  <c r="L248" i="1"/>
  <c r="K248" i="1"/>
  <c r="M247" i="1"/>
  <c r="O247" i="1" s="1"/>
  <c r="L247" i="1"/>
  <c r="K247" i="1"/>
  <c r="M246" i="1"/>
  <c r="O246" i="1" s="1"/>
  <c r="L246" i="1"/>
  <c r="K246" i="1"/>
  <c r="M245" i="1"/>
  <c r="O245" i="1" s="1"/>
  <c r="L245" i="1"/>
  <c r="K245" i="1"/>
  <c r="M244" i="1"/>
  <c r="O244" i="1" s="1"/>
  <c r="L244" i="1"/>
  <c r="K244" i="1"/>
  <c r="M243" i="1"/>
  <c r="O243" i="1" s="1"/>
  <c r="L243" i="1"/>
  <c r="K243" i="1"/>
  <c r="M242" i="1"/>
  <c r="O242" i="1" s="1"/>
  <c r="L242" i="1"/>
  <c r="K242" i="1"/>
  <c r="M241" i="1"/>
  <c r="O241" i="1" s="1"/>
  <c r="L241" i="1"/>
  <c r="K241" i="1"/>
  <c r="M240" i="1"/>
  <c r="O240" i="1" s="1"/>
  <c r="L240" i="1"/>
  <c r="K240" i="1"/>
  <c r="M239" i="1"/>
  <c r="O239" i="1" s="1"/>
  <c r="L239" i="1"/>
  <c r="K239" i="1"/>
  <c r="M238" i="1"/>
  <c r="O238" i="1" s="1"/>
  <c r="L238" i="1"/>
  <c r="K238" i="1"/>
  <c r="M237" i="1"/>
  <c r="O237" i="1" s="1"/>
  <c r="L237" i="1"/>
  <c r="K237" i="1"/>
  <c r="M236" i="1"/>
  <c r="O236" i="1" s="1"/>
  <c r="L236" i="1"/>
  <c r="K236" i="1"/>
  <c r="M235" i="1"/>
  <c r="O235" i="1" s="1"/>
  <c r="L235" i="1"/>
  <c r="K235" i="1"/>
  <c r="M234" i="1"/>
  <c r="O234" i="1" s="1"/>
  <c r="L234" i="1"/>
  <c r="K234" i="1"/>
  <c r="M233" i="1"/>
  <c r="O233" i="1" s="1"/>
  <c r="L233" i="1"/>
  <c r="K233" i="1"/>
  <c r="M232" i="1"/>
  <c r="O232" i="1" s="1"/>
  <c r="L232" i="1"/>
  <c r="K232" i="1"/>
  <c r="M231" i="1"/>
  <c r="O231" i="1" s="1"/>
  <c r="L231" i="1"/>
  <c r="K231" i="1"/>
  <c r="M230" i="1"/>
  <c r="O230" i="1" s="1"/>
  <c r="L230" i="1"/>
  <c r="K230" i="1"/>
  <c r="M229" i="1"/>
  <c r="O229" i="1" s="1"/>
  <c r="L229" i="1"/>
  <c r="K229" i="1"/>
  <c r="M228" i="1"/>
  <c r="O228" i="1" s="1"/>
  <c r="L228" i="1"/>
  <c r="K228" i="1"/>
  <c r="M227" i="1"/>
  <c r="O227" i="1" s="1"/>
  <c r="L227" i="1"/>
  <c r="K227" i="1"/>
  <c r="M226" i="1"/>
  <c r="O226" i="1" s="1"/>
  <c r="L226" i="1"/>
  <c r="K226" i="1"/>
  <c r="M225" i="1"/>
  <c r="O225" i="1" s="1"/>
  <c r="L225" i="1"/>
  <c r="K225" i="1"/>
  <c r="M224" i="1"/>
  <c r="O224" i="1" s="1"/>
  <c r="L224" i="1"/>
  <c r="K224" i="1"/>
  <c r="M223" i="1"/>
  <c r="O223" i="1" s="1"/>
  <c r="L223" i="1"/>
  <c r="K223" i="1"/>
  <c r="M222" i="1"/>
  <c r="O222" i="1" s="1"/>
  <c r="L222" i="1"/>
  <c r="K222" i="1"/>
  <c r="M221" i="1"/>
  <c r="O221" i="1" s="1"/>
  <c r="L221" i="1"/>
  <c r="K221" i="1"/>
  <c r="M220" i="1"/>
  <c r="O220" i="1" s="1"/>
  <c r="L220" i="1"/>
  <c r="K220" i="1"/>
  <c r="M219" i="1"/>
  <c r="O219" i="1" s="1"/>
  <c r="L219" i="1"/>
  <c r="K219" i="1"/>
  <c r="M218" i="1"/>
  <c r="O218" i="1" s="1"/>
  <c r="L218" i="1"/>
  <c r="K218" i="1"/>
  <c r="M217" i="1"/>
  <c r="O217" i="1" s="1"/>
  <c r="L217" i="1"/>
  <c r="K217" i="1"/>
  <c r="M216" i="1"/>
  <c r="O216" i="1" s="1"/>
  <c r="L216" i="1"/>
  <c r="K216" i="1"/>
  <c r="M215" i="1"/>
  <c r="O215" i="1" s="1"/>
  <c r="L215" i="1"/>
  <c r="K215" i="1"/>
  <c r="M214" i="1"/>
  <c r="O214" i="1" s="1"/>
  <c r="L214" i="1"/>
  <c r="K214" i="1"/>
  <c r="M213" i="1"/>
  <c r="O213" i="1" s="1"/>
  <c r="L213" i="1"/>
  <c r="K213" i="1"/>
  <c r="M212" i="1"/>
  <c r="O212" i="1" s="1"/>
  <c r="L212" i="1"/>
  <c r="K212" i="1"/>
  <c r="M211" i="1"/>
  <c r="O211" i="1" s="1"/>
  <c r="L211" i="1"/>
  <c r="K211" i="1"/>
  <c r="M210" i="1"/>
  <c r="O210" i="1" s="1"/>
  <c r="L210" i="1"/>
  <c r="K210" i="1"/>
  <c r="M209" i="1"/>
  <c r="O209" i="1" s="1"/>
  <c r="L209" i="1"/>
  <c r="K209" i="1"/>
  <c r="M208" i="1"/>
  <c r="O208" i="1" s="1"/>
  <c r="L208" i="1"/>
  <c r="K208" i="1"/>
  <c r="M207" i="1"/>
  <c r="O207" i="1" s="1"/>
  <c r="L207" i="1"/>
  <c r="K207" i="1"/>
  <c r="M206" i="1"/>
  <c r="O206" i="1" s="1"/>
  <c r="L206" i="1"/>
  <c r="K206" i="1"/>
  <c r="M205" i="1"/>
  <c r="O205" i="1" s="1"/>
  <c r="L205" i="1"/>
  <c r="K205" i="1"/>
  <c r="M204" i="1"/>
  <c r="O204" i="1" s="1"/>
  <c r="L204" i="1"/>
  <c r="K204" i="1"/>
  <c r="M203" i="1"/>
  <c r="O203" i="1" s="1"/>
  <c r="L203" i="1"/>
  <c r="K203" i="1"/>
  <c r="M202" i="1"/>
  <c r="O202" i="1" s="1"/>
  <c r="L202" i="1"/>
  <c r="K202" i="1"/>
  <c r="M201" i="1"/>
  <c r="O201" i="1" s="1"/>
  <c r="L201" i="1"/>
  <c r="K201" i="1"/>
  <c r="M200" i="1"/>
  <c r="O200" i="1" s="1"/>
  <c r="L200" i="1"/>
  <c r="K200" i="1"/>
  <c r="M199" i="1"/>
  <c r="O199" i="1" s="1"/>
  <c r="L199" i="1"/>
  <c r="K199" i="1"/>
  <c r="M198" i="1"/>
  <c r="O198" i="1" s="1"/>
  <c r="L198" i="1"/>
  <c r="K198" i="1"/>
  <c r="M197" i="1"/>
  <c r="O197" i="1" s="1"/>
  <c r="L197" i="1"/>
  <c r="K197" i="1"/>
  <c r="M196" i="1"/>
  <c r="O196" i="1" s="1"/>
  <c r="L196" i="1"/>
  <c r="K196" i="1"/>
  <c r="M195" i="1"/>
  <c r="O195" i="1" s="1"/>
  <c r="L195" i="1"/>
  <c r="K195" i="1"/>
  <c r="M194" i="1"/>
  <c r="O194" i="1" s="1"/>
  <c r="L194" i="1"/>
  <c r="K194" i="1"/>
  <c r="M193" i="1"/>
  <c r="O193" i="1" s="1"/>
  <c r="L193" i="1"/>
  <c r="K193" i="1"/>
  <c r="M192" i="1"/>
  <c r="O192" i="1" s="1"/>
  <c r="L192" i="1"/>
  <c r="K192" i="1"/>
  <c r="M191" i="1"/>
  <c r="O191" i="1" s="1"/>
  <c r="L191" i="1"/>
  <c r="K191" i="1"/>
  <c r="M190" i="1"/>
  <c r="O190" i="1" s="1"/>
  <c r="L190" i="1"/>
  <c r="K190" i="1"/>
  <c r="M189" i="1"/>
  <c r="O189" i="1" s="1"/>
  <c r="L189" i="1"/>
  <c r="K189" i="1"/>
  <c r="M188" i="1"/>
  <c r="O188" i="1" s="1"/>
  <c r="L188" i="1"/>
  <c r="K188" i="1"/>
  <c r="M187" i="1"/>
  <c r="O187" i="1" s="1"/>
  <c r="L187" i="1"/>
  <c r="K187" i="1"/>
  <c r="M186" i="1"/>
  <c r="O186" i="1" s="1"/>
  <c r="L186" i="1"/>
  <c r="K186" i="1"/>
  <c r="M185" i="1"/>
  <c r="O185" i="1" s="1"/>
  <c r="L185" i="1"/>
  <c r="K185" i="1"/>
  <c r="M184" i="1"/>
  <c r="O184" i="1" s="1"/>
  <c r="L184" i="1"/>
  <c r="K184" i="1"/>
  <c r="M183" i="1"/>
  <c r="O183" i="1" s="1"/>
  <c r="L183" i="1"/>
  <c r="K183" i="1"/>
  <c r="M182" i="1"/>
  <c r="O182" i="1" s="1"/>
  <c r="L182" i="1"/>
  <c r="K182" i="1"/>
  <c r="M181" i="1"/>
  <c r="O181" i="1" s="1"/>
  <c r="L181" i="1"/>
  <c r="K181" i="1"/>
  <c r="M180" i="1"/>
  <c r="O180" i="1" s="1"/>
  <c r="L180" i="1"/>
  <c r="K180" i="1"/>
  <c r="M179" i="1"/>
  <c r="O179" i="1" s="1"/>
  <c r="L179" i="1"/>
  <c r="K179" i="1"/>
  <c r="M178" i="1"/>
  <c r="O178" i="1" s="1"/>
  <c r="L178" i="1"/>
  <c r="K178" i="1"/>
  <c r="M177" i="1"/>
  <c r="O177" i="1" s="1"/>
  <c r="L177" i="1"/>
  <c r="K177" i="1"/>
  <c r="M176" i="1"/>
  <c r="O176" i="1" s="1"/>
  <c r="L176" i="1"/>
  <c r="K176" i="1"/>
  <c r="M175" i="1"/>
  <c r="O175" i="1" s="1"/>
  <c r="L175" i="1"/>
  <c r="K175" i="1"/>
  <c r="M174" i="1"/>
  <c r="O174" i="1" s="1"/>
  <c r="L174" i="1"/>
  <c r="K174" i="1"/>
  <c r="M173" i="1"/>
  <c r="O173" i="1" s="1"/>
  <c r="L173" i="1"/>
  <c r="K173" i="1"/>
  <c r="M172" i="1"/>
  <c r="O172" i="1" s="1"/>
  <c r="L172" i="1"/>
  <c r="K172" i="1"/>
  <c r="M171" i="1"/>
  <c r="O171" i="1" s="1"/>
  <c r="L171" i="1"/>
  <c r="K171" i="1"/>
  <c r="M170" i="1"/>
  <c r="O170" i="1" s="1"/>
  <c r="L170" i="1"/>
  <c r="K170" i="1"/>
  <c r="M169" i="1"/>
  <c r="O169" i="1" s="1"/>
  <c r="L169" i="1"/>
  <c r="K169" i="1"/>
  <c r="M168" i="1"/>
  <c r="O168" i="1" s="1"/>
  <c r="L168" i="1"/>
  <c r="K168" i="1"/>
  <c r="M167" i="1"/>
  <c r="O167" i="1" s="1"/>
  <c r="L167" i="1"/>
  <c r="K167" i="1"/>
  <c r="M166" i="1"/>
  <c r="O166" i="1" s="1"/>
  <c r="L166" i="1"/>
  <c r="K166" i="1"/>
  <c r="M165" i="1"/>
  <c r="O165" i="1" s="1"/>
  <c r="L165" i="1"/>
  <c r="K165" i="1"/>
  <c r="M164" i="1"/>
  <c r="O164" i="1" s="1"/>
  <c r="L164" i="1"/>
  <c r="K164" i="1"/>
  <c r="M163" i="1"/>
  <c r="O163" i="1" s="1"/>
  <c r="L163" i="1"/>
  <c r="K163" i="1"/>
  <c r="M162" i="1"/>
  <c r="O162" i="1" s="1"/>
  <c r="L162" i="1"/>
  <c r="K162" i="1"/>
  <c r="M161" i="1"/>
  <c r="O161" i="1" s="1"/>
  <c r="L161" i="1"/>
  <c r="K161" i="1"/>
  <c r="M160" i="1"/>
  <c r="O160" i="1" s="1"/>
  <c r="L160" i="1"/>
  <c r="K160" i="1"/>
  <c r="M159" i="1"/>
  <c r="O159" i="1" s="1"/>
  <c r="L159" i="1"/>
  <c r="K159" i="1"/>
  <c r="M158" i="1"/>
  <c r="O158" i="1" s="1"/>
  <c r="L158" i="1"/>
  <c r="K158" i="1"/>
  <c r="M157" i="1"/>
  <c r="O157" i="1" s="1"/>
  <c r="L157" i="1"/>
  <c r="K157" i="1"/>
  <c r="M156" i="1"/>
  <c r="O156" i="1" s="1"/>
  <c r="L156" i="1"/>
  <c r="K156" i="1"/>
  <c r="M155" i="1"/>
  <c r="O155" i="1" s="1"/>
  <c r="L155" i="1"/>
  <c r="K155" i="1"/>
  <c r="M154" i="1"/>
  <c r="O154" i="1" s="1"/>
  <c r="L154" i="1"/>
  <c r="K154" i="1"/>
  <c r="M153" i="1"/>
  <c r="O153" i="1" s="1"/>
  <c r="L153" i="1"/>
  <c r="K153" i="1"/>
  <c r="M152" i="1"/>
  <c r="O152" i="1" s="1"/>
  <c r="L152" i="1"/>
  <c r="K152" i="1"/>
  <c r="M151" i="1"/>
  <c r="O151" i="1" s="1"/>
  <c r="L151" i="1"/>
  <c r="K151" i="1"/>
  <c r="M150" i="1"/>
  <c r="O150" i="1" s="1"/>
  <c r="L150" i="1"/>
  <c r="K150" i="1"/>
  <c r="M149" i="1"/>
  <c r="O149" i="1" s="1"/>
  <c r="L149" i="1"/>
  <c r="K149" i="1"/>
  <c r="M148" i="1"/>
  <c r="O148" i="1" s="1"/>
  <c r="L148" i="1"/>
  <c r="K148" i="1"/>
  <c r="M147" i="1"/>
  <c r="O147" i="1" s="1"/>
  <c r="L147" i="1"/>
  <c r="K147" i="1"/>
  <c r="M146" i="1"/>
  <c r="O146" i="1" s="1"/>
  <c r="L146" i="1"/>
  <c r="K146" i="1"/>
  <c r="M145" i="1"/>
  <c r="O145" i="1" s="1"/>
  <c r="L145" i="1"/>
  <c r="K145" i="1"/>
  <c r="M144" i="1"/>
  <c r="O144" i="1" s="1"/>
  <c r="L144" i="1"/>
  <c r="K144" i="1"/>
  <c r="M143" i="1"/>
  <c r="O143" i="1" s="1"/>
  <c r="L143" i="1"/>
  <c r="K143" i="1"/>
  <c r="M142" i="1"/>
  <c r="O142" i="1" s="1"/>
  <c r="L142" i="1"/>
  <c r="K142" i="1"/>
  <c r="M141" i="1"/>
  <c r="O141" i="1" s="1"/>
  <c r="L141" i="1"/>
  <c r="K141" i="1"/>
  <c r="M140" i="1"/>
  <c r="O140" i="1" s="1"/>
  <c r="L140" i="1"/>
  <c r="K140" i="1"/>
  <c r="M139" i="1"/>
  <c r="O139" i="1" s="1"/>
  <c r="L139" i="1"/>
  <c r="K139" i="1"/>
  <c r="M138" i="1"/>
  <c r="O138" i="1" s="1"/>
  <c r="L138" i="1"/>
  <c r="K138" i="1"/>
  <c r="M137" i="1"/>
  <c r="O137" i="1" s="1"/>
  <c r="L137" i="1"/>
  <c r="K137" i="1"/>
  <c r="M136" i="1"/>
  <c r="O136" i="1" s="1"/>
  <c r="L136" i="1"/>
  <c r="K136" i="1"/>
  <c r="M135" i="1"/>
  <c r="O135" i="1" s="1"/>
  <c r="L135" i="1"/>
  <c r="K135" i="1"/>
  <c r="M134" i="1"/>
  <c r="O134" i="1" s="1"/>
  <c r="L134" i="1"/>
  <c r="K134" i="1"/>
  <c r="M133" i="1"/>
  <c r="O133" i="1" s="1"/>
  <c r="L133" i="1"/>
  <c r="K133" i="1"/>
  <c r="M132" i="1"/>
  <c r="O132" i="1" s="1"/>
  <c r="L132" i="1"/>
  <c r="K132" i="1"/>
  <c r="M131" i="1"/>
  <c r="O131" i="1" s="1"/>
  <c r="L131" i="1"/>
  <c r="K131" i="1"/>
  <c r="M130" i="1"/>
  <c r="O130" i="1" s="1"/>
  <c r="L130" i="1"/>
  <c r="K130" i="1"/>
  <c r="M129" i="1"/>
  <c r="O129" i="1" s="1"/>
  <c r="L129" i="1"/>
  <c r="K129" i="1"/>
  <c r="M128" i="1"/>
  <c r="O128" i="1" s="1"/>
  <c r="L128" i="1"/>
  <c r="K128" i="1"/>
  <c r="M127" i="1"/>
  <c r="O127" i="1" s="1"/>
  <c r="L127" i="1"/>
  <c r="K127" i="1"/>
  <c r="M126" i="1"/>
  <c r="O126" i="1" s="1"/>
  <c r="L126" i="1"/>
  <c r="K126" i="1"/>
  <c r="M125" i="1"/>
  <c r="O125" i="1" s="1"/>
  <c r="L125" i="1"/>
  <c r="K125" i="1"/>
  <c r="M124" i="1"/>
  <c r="O124" i="1" s="1"/>
  <c r="L124" i="1"/>
  <c r="K124" i="1"/>
  <c r="M123" i="1"/>
  <c r="O123" i="1" s="1"/>
  <c r="L123" i="1"/>
  <c r="K123" i="1"/>
  <c r="M122" i="1"/>
  <c r="O122" i="1" s="1"/>
  <c r="L122" i="1"/>
  <c r="K122" i="1"/>
  <c r="M121" i="1"/>
  <c r="O121" i="1" s="1"/>
  <c r="L121" i="1"/>
  <c r="K121" i="1"/>
  <c r="M120" i="1"/>
  <c r="O120" i="1" s="1"/>
  <c r="L120" i="1"/>
  <c r="K120" i="1"/>
  <c r="M119" i="1"/>
  <c r="O119" i="1" s="1"/>
  <c r="L119" i="1"/>
  <c r="K119" i="1"/>
  <c r="M118" i="1"/>
  <c r="O118" i="1" s="1"/>
  <c r="L118" i="1"/>
  <c r="K118" i="1"/>
  <c r="M117" i="1"/>
  <c r="O117" i="1" s="1"/>
  <c r="L117" i="1"/>
  <c r="K117" i="1"/>
  <c r="M116" i="1"/>
  <c r="O116" i="1" s="1"/>
  <c r="L116" i="1"/>
  <c r="K116" i="1"/>
  <c r="M115" i="1"/>
  <c r="O115" i="1" s="1"/>
  <c r="L115" i="1"/>
  <c r="K115" i="1"/>
  <c r="M114" i="1"/>
  <c r="O114" i="1" s="1"/>
  <c r="L114" i="1"/>
  <c r="K114" i="1"/>
  <c r="M113" i="1"/>
  <c r="O113" i="1" s="1"/>
  <c r="L113" i="1"/>
  <c r="K113" i="1"/>
  <c r="M112" i="1"/>
  <c r="O112" i="1" s="1"/>
  <c r="L112" i="1"/>
  <c r="K112" i="1"/>
  <c r="M111" i="1"/>
  <c r="O111" i="1" s="1"/>
  <c r="L111" i="1"/>
  <c r="K111" i="1"/>
  <c r="M110" i="1"/>
  <c r="O110" i="1" s="1"/>
  <c r="L110" i="1"/>
  <c r="K110" i="1"/>
  <c r="M109" i="1"/>
  <c r="O109" i="1" s="1"/>
  <c r="L109" i="1"/>
  <c r="K109" i="1"/>
  <c r="M108" i="1"/>
  <c r="O108" i="1" s="1"/>
  <c r="L108" i="1"/>
  <c r="K108" i="1"/>
  <c r="M107" i="1"/>
  <c r="O107" i="1" s="1"/>
  <c r="L107" i="1"/>
  <c r="K107" i="1"/>
  <c r="M106" i="1"/>
  <c r="O106" i="1" s="1"/>
  <c r="L106" i="1"/>
  <c r="K106" i="1"/>
  <c r="M105" i="1"/>
  <c r="O105" i="1" s="1"/>
  <c r="L105" i="1"/>
  <c r="K105" i="1"/>
  <c r="M104" i="1"/>
  <c r="O104" i="1" s="1"/>
  <c r="L104" i="1"/>
  <c r="K104" i="1"/>
  <c r="M103" i="1"/>
  <c r="O103" i="1" s="1"/>
  <c r="L103" i="1"/>
  <c r="K103" i="1"/>
  <c r="M102" i="1"/>
  <c r="O102" i="1" s="1"/>
  <c r="L102" i="1"/>
  <c r="K102" i="1"/>
  <c r="M101" i="1"/>
  <c r="O101" i="1" s="1"/>
  <c r="L101" i="1"/>
  <c r="K101" i="1"/>
  <c r="M100" i="1"/>
  <c r="O100" i="1" s="1"/>
  <c r="L100" i="1"/>
  <c r="K100" i="1"/>
  <c r="M99" i="1"/>
  <c r="O99" i="1" s="1"/>
  <c r="L99" i="1"/>
  <c r="K99" i="1"/>
  <c r="M98" i="1"/>
  <c r="O98" i="1" s="1"/>
  <c r="L98" i="1"/>
  <c r="K98" i="1"/>
  <c r="M97" i="1"/>
  <c r="O97" i="1" s="1"/>
  <c r="L97" i="1"/>
  <c r="K97" i="1"/>
  <c r="M96" i="1"/>
  <c r="O96" i="1" s="1"/>
  <c r="L96" i="1"/>
  <c r="K96" i="1"/>
  <c r="M95" i="1"/>
  <c r="O95" i="1" s="1"/>
  <c r="L95" i="1"/>
  <c r="K95" i="1"/>
  <c r="M94" i="1"/>
  <c r="O94" i="1" s="1"/>
  <c r="L94" i="1"/>
  <c r="K94" i="1"/>
  <c r="M93" i="1"/>
  <c r="O93" i="1" s="1"/>
  <c r="L93" i="1"/>
  <c r="K93" i="1"/>
  <c r="M92" i="1"/>
  <c r="O92" i="1" s="1"/>
  <c r="L92" i="1"/>
  <c r="K92" i="1"/>
  <c r="M91" i="1"/>
  <c r="O91" i="1" s="1"/>
  <c r="L91" i="1"/>
  <c r="K91" i="1"/>
  <c r="M90" i="1"/>
  <c r="O90" i="1" s="1"/>
  <c r="L90" i="1"/>
  <c r="K90" i="1"/>
  <c r="M89" i="1"/>
  <c r="O89" i="1" s="1"/>
  <c r="L89" i="1"/>
  <c r="K89" i="1"/>
  <c r="M88" i="1"/>
  <c r="O88" i="1" s="1"/>
  <c r="L88" i="1"/>
  <c r="K88" i="1"/>
  <c r="M87" i="1"/>
  <c r="O87" i="1" s="1"/>
  <c r="L87" i="1"/>
  <c r="K87" i="1"/>
  <c r="M86" i="1"/>
  <c r="O86" i="1" s="1"/>
  <c r="L86" i="1"/>
  <c r="K86" i="1"/>
  <c r="M85" i="1"/>
  <c r="O85" i="1" s="1"/>
  <c r="L85" i="1"/>
  <c r="K85" i="1"/>
  <c r="M84" i="1"/>
  <c r="O84" i="1" s="1"/>
  <c r="L84" i="1"/>
  <c r="K84" i="1"/>
  <c r="M83" i="1"/>
  <c r="O83" i="1" s="1"/>
  <c r="L83" i="1"/>
  <c r="K83" i="1"/>
  <c r="M82" i="1"/>
  <c r="O82" i="1" s="1"/>
  <c r="L82" i="1"/>
  <c r="K82" i="1"/>
  <c r="M81" i="1"/>
  <c r="O81" i="1" s="1"/>
  <c r="L81" i="1"/>
  <c r="K81" i="1"/>
  <c r="M80" i="1"/>
  <c r="O80" i="1" s="1"/>
  <c r="L80" i="1"/>
  <c r="K80" i="1"/>
  <c r="M79" i="1"/>
  <c r="O79" i="1" s="1"/>
  <c r="L79" i="1"/>
  <c r="K79" i="1"/>
  <c r="M78" i="1"/>
  <c r="O78" i="1" s="1"/>
  <c r="L78" i="1"/>
  <c r="K78" i="1"/>
  <c r="M77" i="1"/>
  <c r="O77" i="1" s="1"/>
  <c r="L77" i="1"/>
  <c r="K77" i="1"/>
  <c r="M76" i="1"/>
  <c r="O76" i="1" s="1"/>
  <c r="L76" i="1"/>
  <c r="K76" i="1"/>
  <c r="M75" i="1"/>
  <c r="O75" i="1" s="1"/>
  <c r="L75" i="1"/>
  <c r="K75" i="1"/>
  <c r="M74" i="1"/>
  <c r="O74" i="1" s="1"/>
  <c r="L74" i="1"/>
  <c r="K74" i="1"/>
  <c r="M73" i="1"/>
  <c r="O73" i="1" s="1"/>
  <c r="L73" i="1"/>
  <c r="K73" i="1"/>
  <c r="M72" i="1"/>
  <c r="O72" i="1" s="1"/>
  <c r="L72" i="1"/>
  <c r="K72" i="1"/>
  <c r="M71" i="1"/>
  <c r="O71" i="1" s="1"/>
  <c r="L71" i="1"/>
  <c r="K71" i="1"/>
  <c r="M70" i="1"/>
  <c r="O70" i="1" s="1"/>
  <c r="L70" i="1"/>
  <c r="K70" i="1"/>
  <c r="M69" i="1"/>
  <c r="O69" i="1" s="1"/>
  <c r="L69" i="1"/>
  <c r="K69" i="1"/>
  <c r="M68" i="1"/>
  <c r="O68" i="1" s="1"/>
  <c r="L68" i="1"/>
  <c r="K68" i="1"/>
  <c r="M67" i="1"/>
  <c r="O67" i="1" s="1"/>
  <c r="L67" i="1"/>
  <c r="K67" i="1"/>
  <c r="M66" i="1"/>
  <c r="O66" i="1" s="1"/>
  <c r="L66" i="1"/>
  <c r="K66" i="1"/>
  <c r="M65" i="1"/>
  <c r="O65" i="1" s="1"/>
  <c r="L65" i="1"/>
  <c r="K65" i="1"/>
  <c r="M64" i="1"/>
  <c r="O64" i="1" s="1"/>
  <c r="L64" i="1"/>
  <c r="K64" i="1"/>
  <c r="M63" i="1"/>
  <c r="O63" i="1" s="1"/>
  <c r="L63" i="1"/>
  <c r="K63" i="1"/>
  <c r="M62" i="1"/>
  <c r="O62" i="1" s="1"/>
  <c r="L62" i="1"/>
  <c r="K62" i="1"/>
  <c r="M61" i="1"/>
  <c r="O61" i="1" s="1"/>
  <c r="L61" i="1"/>
  <c r="K61" i="1"/>
  <c r="M60" i="1"/>
  <c r="O60" i="1" s="1"/>
  <c r="L60" i="1"/>
  <c r="K60" i="1"/>
  <c r="M59" i="1"/>
  <c r="O59" i="1" s="1"/>
  <c r="L59" i="1"/>
  <c r="K59" i="1"/>
  <c r="M58" i="1"/>
  <c r="O58" i="1" s="1"/>
  <c r="L58" i="1"/>
  <c r="K58" i="1"/>
  <c r="M57" i="1"/>
  <c r="O57" i="1" s="1"/>
  <c r="L57" i="1"/>
  <c r="K57" i="1"/>
  <c r="M56" i="1"/>
  <c r="O56" i="1" s="1"/>
  <c r="L56" i="1"/>
  <c r="K56" i="1"/>
  <c r="M55" i="1"/>
  <c r="O55" i="1" s="1"/>
  <c r="L55" i="1"/>
  <c r="K55" i="1"/>
  <c r="M54" i="1"/>
  <c r="O54" i="1" s="1"/>
  <c r="L54" i="1"/>
  <c r="K54" i="1"/>
  <c r="M53" i="1"/>
  <c r="O53" i="1" s="1"/>
  <c r="L53" i="1"/>
  <c r="K53" i="1"/>
  <c r="M52" i="1"/>
  <c r="O52" i="1" s="1"/>
  <c r="L52" i="1"/>
  <c r="K52" i="1"/>
  <c r="M51" i="1"/>
  <c r="O51" i="1" s="1"/>
  <c r="L51" i="1"/>
  <c r="K51" i="1"/>
  <c r="M50" i="1"/>
  <c r="O50" i="1" s="1"/>
  <c r="L50" i="1"/>
  <c r="K50" i="1"/>
  <c r="M49" i="1"/>
  <c r="O49" i="1" s="1"/>
  <c r="L49" i="1"/>
  <c r="K49" i="1"/>
  <c r="M48" i="1"/>
  <c r="O48" i="1" s="1"/>
  <c r="L48" i="1"/>
  <c r="K48" i="1"/>
  <c r="M47" i="1"/>
  <c r="O47" i="1" s="1"/>
  <c r="L47" i="1"/>
  <c r="K47" i="1"/>
  <c r="M46" i="1"/>
  <c r="O46" i="1" s="1"/>
  <c r="L46" i="1"/>
  <c r="K46" i="1"/>
  <c r="M45" i="1"/>
  <c r="O45" i="1" s="1"/>
  <c r="L45" i="1"/>
  <c r="K45" i="1"/>
  <c r="M44" i="1"/>
  <c r="O44" i="1" s="1"/>
  <c r="L44" i="1"/>
  <c r="K44" i="1"/>
  <c r="M43" i="1"/>
  <c r="O43" i="1" s="1"/>
  <c r="L43" i="1"/>
  <c r="K43" i="1"/>
  <c r="M42" i="1"/>
  <c r="O42" i="1" s="1"/>
  <c r="L42" i="1"/>
  <c r="K42" i="1"/>
  <c r="M41" i="1"/>
  <c r="O41" i="1" s="1"/>
  <c r="L41" i="1"/>
  <c r="K41" i="1"/>
  <c r="M40" i="1"/>
  <c r="O40" i="1" s="1"/>
  <c r="L40" i="1"/>
  <c r="K40" i="1"/>
  <c r="M39" i="1"/>
  <c r="O39" i="1" s="1"/>
  <c r="L39" i="1"/>
  <c r="K39" i="1"/>
  <c r="M38" i="1"/>
  <c r="O38" i="1" s="1"/>
  <c r="L38" i="1"/>
  <c r="K38" i="1"/>
  <c r="M37" i="1"/>
  <c r="O37" i="1" s="1"/>
  <c r="L37" i="1"/>
  <c r="K37" i="1"/>
  <c r="M36" i="1"/>
  <c r="O36" i="1" s="1"/>
  <c r="L36" i="1"/>
  <c r="K36" i="1"/>
  <c r="M35" i="1"/>
  <c r="O35" i="1" s="1"/>
  <c r="L35" i="1"/>
  <c r="K35" i="1"/>
  <c r="M34" i="1"/>
  <c r="O34" i="1" s="1"/>
  <c r="L34" i="1"/>
  <c r="K34" i="1"/>
  <c r="M33" i="1"/>
  <c r="O33" i="1" s="1"/>
  <c r="L33" i="1"/>
  <c r="K33" i="1"/>
  <c r="M32" i="1"/>
  <c r="O32" i="1" s="1"/>
  <c r="L32" i="1"/>
  <c r="K32" i="1"/>
  <c r="M31" i="1"/>
  <c r="O31" i="1" s="1"/>
  <c r="L31" i="1"/>
  <c r="K31" i="1"/>
  <c r="M30" i="1"/>
  <c r="O30" i="1" s="1"/>
  <c r="L30" i="1"/>
  <c r="K30" i="1"/>
  <c r="M29" i="1"/>
  <c r="O29" i="1" s="1"/>
  <c r="L29" i="1"/>
  <c r="K29" i="1"/>
  <c r="M28" i="1"/>
  <c r="O28" i="1" s="1"/>
  <c r="L28" i="1"/>
  <c r="K28" i="1"/>
  <c r="M27" i="1"/>
  <c r="O27" i="1" s="1"/>
  <c r="L27" i="1"/>
  <c r="K27" i="1"/>
  <c r="M26" i="1"/>
  <c r="O26" i="1" s="1"/>
  <c r="L26" i="1"/>
  <c r="K26" i="1"/>
  <c r="M25" i="1"/>
  <c r="O25" i="1" s="1"/>
  <c r="L25" i="1"/>
  <c r="K25" i="1"/>
  <c r="M24" i="1"/>
  <c r="O24" i="1" s="1"/>
  <c r="L24" i="1"/>
  <c r="K24" i="1"/>
  <c r="M23" i="1"/>
  <c r="O23" i="1" s="1"/>
  <c r="L23" i="1"/>
  <c r="K23" i="1"/>
  <c r="M22" i="1"/>
  <c r="O22" i="1" s="1"/>
  <c r="L22" i="1"/>
  <c r="K22" i="1"/>
  <c r="M21" i="1"/>
  <c r="O21" i="1" s="1"/>
  <c r="L21" i="1"/>
  <c r="K21" i="1"/>
  <c r="M20" i="1"/>
  <c r="O20" i="1" s="1"/>
  <c r="L20" i="1"/>
  <c r="K20" i="1"/>
  <c r="M19" i="1"/>
  <c r="O19" i="1" s="1"/>
  <c r="L19" i="1"/>
  <c r="K19" i="1"/>
  <c r="M18" i="1"/>
  <c r="O18" i="1" s="1"/>
  <c r="L18" i="1"/>
  <c r="K18" i="1"/>
  <c r="M17" i="1"/>
  <c r="O17" i="1" s="1"/>
  <c r="L17" i="1"/>
  <c r="K17" i="1"/>
  <c r="M16" i="1"/>
  <c r="O16" i="1" s="1"/>
  <c r="L16" i="1"/>
  <c r="K16" i="1"/>
  <c r="M15" i="1"/>
  <c r="O15" i="1" s="1"/>
  <c r="L15" i="1"/>
  <c r="K15" i="1"/>
  <c r="M14" i="1"/>
  <c r="O14" i="1" s="1"/>
  <c r="L14" i="1"/>
  <c r="K14" i="1"/>
  <c r="M13" i="1"/>
  <c r="O13" i="1" s="1"/>
  <c r="L13" i="1"/>
  <c r="K13" i="1"/>
  <c r="M12" i="1"/>
  <c r="O12" i="1" s="1"/>
  <c r="L12" i="1"/>
  <c r="K12" i="1"/>
  <c r="M11" i="1"/>
  <c r="O11" i="1" s="1"/>
  <c r="L11" i="1"/>
  <c r="K11" i="1"/>
  <c r="M10" i="1"/>
  <c r="O10" i="1" s="1"/>
  <c r="L10" i="1"/>
  <c r="K10" i="1"/>
  <c r="M9" i="1"/>
  <c r="O9" i="1" s="1"/>
  <c r="L9" i="1"/>
  <c r="K9" i="1"/>
  <c r="M8" i="1"/>
  <c r="O8" i="1" s="1"/>
  <c r="L8" i="1"/>
  <c r="K8" i="1"/>
  <c r="M7" i="1"/>
  <c r="O7" i="1" s="1"/>
  <c r="L7" i="1"/>
  <c r="K7" i="1"/>
  <c r="M6" i="1"/>
  <c r="O6" i="1" s="1"/>
  <c r="L6" i="1"/>
  <c r="K6" i="1"/>
  <c r="M5" i="1"/>
  <c r="O5" i="1" s="1"/>
  <c r="L5" i="1"/>
  <c r="K5" i="1"/>
  <c r="M4" i="1"/>
  <c r="O4" i="1" s="1"/>
  <c r="L4" i="1"/>
  <c r="K4" i="1"/>
  <c r="M3" i="1"/>
  <c r="O3" i="1" s="1"/>
  <c r="L3" i="1"/>
  <c r="K3" i="1"/>
  <c r="M2" i="1"/>
  <c r="O2" i="1" s="1"/>
  <c r="L2" i="1"/>
  <c r="K2" i="1"/>
</calcChain>
</file>

<file path=xl/sharedStrings.xml><?xml version="1.0" encoding="utf-8"?>
<sst xmlns="http://schemas.openxmlformats.org/spreadsheetml/2006/main" count="18145" uniqueCount="3196">
  <si>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</si>
  <si>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</si>
  <si>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</si>
  <si>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</si>
  <si>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</si>
  <si>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</si>
  <si>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</si>
  <si>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</si>
  <si>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</si>
  <si>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Store Location</t>
  </si>
  <si>
    <t>Specific Product (Item)</t>
  </si>
  <si>
    <t>Supplier</t>
  </si>
  <si>
    <t>Store Manager</t>
  </si>
  <si>
    <t>Store ID</t>
  </si>
  <si>
    <t>Store Manager ID</t>
  </si>
  <si>
    <t>CUST001</t>
  </si>
  <si>
    <t>Male</t>
  </si>
  <si>
    <t>Beauty</t>
  </si>
  <si>
    <t>Sydney</t>
  </si>
  <si>
    <t>STR001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</si>
  <si>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</si>
  <si>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</si>
  <si>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</si>
  <si>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</si>
  <si>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</si>
  <si>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</si>
  <si>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</si>
  <si>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</si>
  <si>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</si>
  <si>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</si>
  <si>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</si>
  <si>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</si>
  <si>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</si>
  <si>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</si>
  <si>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</si>
  <si>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</si>
  <si>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</si>
  <si>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</si>
  <si>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</si>
  <si>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</si>
  <si>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</si>
  <si>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</si>
  <si>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</si>
  <si>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</si>
  <si>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</si>
  <si>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</si>
  <si>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</si>
  <si>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</si>
  <si>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</si>
  <si>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</si>
  <si>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</si>
  <si>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</si>
  <si>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</si>
  <si>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</si>
  <si>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</si>
  <si>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</si>
  <si>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</si>
  <si>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</si>
  <si>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</si>
  <si>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</si>
  <si>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</si>
  <si>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</si>
  <si>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</si>
  <si>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</si>
  <si>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</si>
  <si>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</si>
  <si>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</si>
  <si>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</si>
  <si>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</si>
  <si>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</si>
  <si>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</si>
  <si>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</si>
  <si>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</si>
  <si>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</si>
  <si>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</si>
  <si>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</si>
  <si>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</si>
  <si>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</si>
  <si>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</si>
  <si>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</si>
  <si>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</si>
  <si>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</si>
  <si>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</si>
  <si>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</si>
  <si>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</si>
  <si>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</si>
  <si>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</si>
  <si>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</si>
  <si>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</si>
  <si>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</si>
  <si>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</si>
  <si>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</si>
  <si>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</si>
  <si>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</si>
  <si>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</si>
  <si>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</si>
  <si>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</si>
  <si>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</si>
  <si>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</si>
  <si>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</si>
  <si>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</si>
  <si>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</si>
  <si>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</si>
  <si>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</si>
  <si>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</si>
  <si>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</si>
  <si>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</si>
  <si>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</si>
  <si>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</si>
  <si>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</si>
  <si>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</si>
  <si>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</si>
  <si>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</si>
  <si>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</si>
  <si>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</si>
  <si>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</si>
  <si>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</si>
  <si>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</si>
  <si>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</si>
  <si>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</si>
  <si>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</si>
  <si>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</si>
  <si>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</si>
  <si>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</si>
  <si>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</si>
  <si>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</si>
  <si>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</si>
  <si>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</si>
  <si>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</si>
  <si>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</si>
  <si>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</si>
  <si>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</si>
  <si>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</si>
  <si>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</si>
  <si>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</si>
  <si>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</si>
  <si>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</si>
  <si>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</si>
  <si>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</si>
  <si>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</si>
  <si>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</si>
  <si>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</si>
  <si>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</si>
  <si>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</si>
  <si>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</si>
  <si>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</si>
  <si>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</si>
  <si>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</si>
  <si>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</si>
  <si>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</si>
  <si>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</si>
  <si>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</si>
  <si>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</si>
  <si>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</si>
  <si>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</si>
  <si>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</si>
  <si>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</si>
  <si>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</si>
  <si>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</si>
  <si>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</si>
  <si>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</si>
  <si>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</si>
  <si>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</si>
  <si>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</si>
  <si>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</si>
  <si>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</si>
  <si>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</si>
  <si>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</si>
  <si>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</si>
  <si>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</si>
  <si>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</si>
  <si>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</si>
  <si>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</si>
  <si>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</si>
  <si>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</si>
  <si>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</si>
  <si>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</si>
  <si>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</si>
  <si>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</si>
  <si>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</si>
  <si>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</si>
  <si>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</si>
  <si>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</si>
  <si>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</si>
  <si>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</si>
  <si>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</si>
  <si>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</si>
  <si>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</si>
  <si>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</si>
  <si>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</si>
  <si>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</si>
  <si>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</si>
  <si>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</si>
  <si>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</si>
  <si>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</si>
  <si>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</si>
  <si>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</si>
  <si>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</si>
  <si>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</si>
  <si>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</si>
  <si>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</si>
  <si>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</si>
  <si>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</si>
  <si>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</si>
  <si>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</si>
  <si>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</si>
  <si>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</si>
  <si>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</si>
  <si>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</si>
  <si>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</si>
  <si>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</si>
  <si>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</si>
  <si>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</si>
  <si>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</si>
  <si>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</si>
  <si>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</si>
  <si>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</si>
  <si>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</si>
  <si>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</si>
  <si>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</si>
  <si>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</si>
  <si>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</si>
  <si>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</si>
  <si>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</si>
  <si>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</si>
  <si>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</si>
  <si>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</si>
  <si>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</si>
  <si>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</si>
  <si>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</si>
  <si>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</si>
  <si>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</si>
  <si>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</si>
  <si>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</si>
  <si>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</si>
  <si>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</si>
  <si>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</si>
  <si>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</si>
  <si>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</si>
  <si>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</si>
  <si>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</si>
  <si>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</si>
  <si>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</si>
  <si>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</si>
  <si>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</si>
  <si>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</si>
  <si>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</si>
  <si>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</si>
  <si>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</si>
  <si>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</si>
  <si>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</si>
  <si>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</si>
  <si>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</si>
  <si>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</si>
  <si>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</si>
  <si>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</si>
  <si>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</si>
  <si>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</si>
  <si>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</si>
  <si>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</si>
  <si>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</si>
  <si>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</si>
  <si>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</si>
  <si>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</si>
  <si>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</si>
  <si>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</si>
  <si>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</si>
  <si>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</si>
  <si>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</si>
  <si>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</si>
  <si>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</si>
  <si>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</si>
  <si>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</si>
  <si>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Melbourne</t>
  </si>
  <si>
    <t>STR002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</si>
  <si>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</si>
  <si>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</si>
  <si>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</si>
  <si>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</si>
  <si>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</si>
  <si>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</si>
  <si>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</si>
  <si>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</si>
  <si>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</si>
  <si>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</si>
  <si>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</si>
  <si>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</si>
  <si>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</si>
  <si>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</si>
  <si>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</si>
  <si>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</si>
  <si>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</si>
  <si>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</si>
  <si>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</si>
  <si>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</si>
  <si>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</si>
  <si>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</si>
  <si>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</si>
  <si>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</si>
  <si>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</si>
  <si>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</si>
  <si>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</si>
  <si>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</si>
  <si>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</si>
  <si>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</si>
  <si>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</si>
  <si>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</si>
  <si>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</si>
  <si>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</si>
  <si>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</si>
  <si>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</si>
  <si>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</si>
  <si>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</si>
  <si>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</si>
  <si>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</si>
  <si>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</si>
  <si>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</si>
  <si>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</si>
  <si>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</si>
  <si>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</si>
  <si>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</si>
  <si>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</si>
  <si>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</si>
  <si>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</si>
  <si>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</si>
  <si>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</si>
  <si>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</si>
  <si>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</si>
  <si>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</si>
  <si>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</si>
  <si>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</si>
  <si>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</si>
  <si>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</si>
  <si>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</si>
  <si>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</si>
  <si>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</si>
  <si>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</si>
  <si>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</si>
  <si>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</si>
  <si>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</si>
  <si>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</si>
  <si>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</si>
  <si>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</si>
  <si>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</si>
  <si>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</si>
  <si>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</si>
  <si>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</si>
  <si>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</si>
  <si>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</si>
  <si>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</si>
  <si>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</si>
  <si>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</si>
  <si>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</si>
  <si>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</si>
  <si>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</si>
  <si>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</si>
  <si>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</si>
  <si>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</si>
  <si>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</si>
  <si>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</si>
  <si>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</si>
  <si>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</si>
  <si>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</si>
  <si>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</si>
  <si>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</si>
  <si>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</si>
  <si>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</si>
  <si>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</si>
  <si>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</si>
  <si>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</si>
  <si>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</si>
  <si>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</si>
  <si>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</si>
  <si>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</si>
  <si>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</si>
  <si>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</si>
  <si>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</si>
  <si>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</si>
  <si>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</si>
  <si>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</si>
  <si>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</si>
  <si>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</si>
  <si>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</si>
  <si>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</si>
  <si>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</si>
  <si>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</si>
  <si>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</si>
  <si>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</si>
  <si>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</si>
  <si>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</si>
  <si>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</si>
  <si>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</si>
  <si>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</si>
  <si>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</si>
  <si>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</si>
  <si>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</si>
  <si>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</si>
  <si>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</si>
  <si>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</si>
  <si>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</si>
  <si>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</si>
  <si>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</si>
  <si>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</si>
  <si>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</si>
  <si>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</si>
  <si>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</si>
  <si>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</si>
  <si>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</si>
  <si>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</si>
  <si>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</si>
  <si>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</si>
  <si>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</si>
  <si>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</si>
  <si>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</si>
  <si>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</si>
  <si>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</si>
  <si>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</si>
  <si>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</si>
  <si>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</si>
  <si>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</si>
  <si>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</si>
  <si>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</si>
  <si>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</si>
  <si>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</si>
  <si>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</si>
  <si>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</si>
  <si>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</si>
  <si>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</si>
  <si>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</si>
  <si>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</si>
  <si>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</si>
  <si>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</si>
  <si>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</si>
  <si>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</si>
  <si>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</si>
  <si>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</si>
  <si>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</si>
  <si>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</si>
  <si>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</si>
  <si>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</si>
  <si>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</si>
  <si>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</si>
  <si>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</si>
  <si>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</si>
  <si>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</si>
  <si>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</si>
  <si>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</si>
  <si>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</si>
  <si>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</si>
  <si>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</si>
  <si>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</si>
  <si>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</si>
  <si>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</si>
  <si>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</si>
  <si>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</si>
  <si>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</si>
  <si>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</si>
  <si>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</si>
  <si>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</si>
  <si>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</si>
  <si>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</si>
  <si>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</si>
  <si>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</si>
  <si>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</si>
  <si>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</si>
  <si>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</si>
  <si>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</si>
  <si>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</si>
  <si>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</si>
  <si>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</si>
  <si>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</si>
  <si>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</si>
  <si>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</si>
  <si>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</si>
  <si>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</si>
  <si>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</si>
  <si>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</si>
  <si>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</si>
  <si>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</si>
  <si>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</si>
  <si>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</si>
  <si>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</si>
  <si>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</si>
  <si>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</si>
  <si>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</si>
  <si>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</si>
  <si>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</si>
  <si>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</si>
  <si>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</si>
  <si>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</si>
  <si>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</si>
  <si>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</si>
  <si>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</si>
  <si>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</si>
  <si>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</si>
  <si>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</si>
  <si>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</si>
  <si>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</si>
  <si>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</si>
  <si>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</si>
  <si>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</si>
  <si>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</si>
  <si>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</si>
  <si>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</si>
  <si>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</si>
  <si>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</si>
  <si>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</si>
  <si>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</si>
  <si>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</si>
  <si>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</si>
  <si>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</si>
  <si>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</si>
  <si>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</si>
  <si>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</si>
  <si>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</si>
  <si>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</si>
  <si>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</si>
  <si>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</si>
  <si>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</si>
  <si>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</si>
  <si>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</si>
  <si>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</si>
  <si>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</si>
  <si>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</si>
  <si>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</si>
  <si>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Brisbane</t>
  </si>
  <si>
    <t>STR003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</si>
  <si>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</si>
  <si>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</si>
  <si>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</si>
  <si>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</si>
  <si>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</si>
  <si>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</si>
  <si>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</si>
  <si>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</si>
  <si>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</si>
  <si>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</si>
  <si>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</si>
  <si>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</si>
  <si>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</si>
  <si>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</si>
  <si>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</si>
  <si>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</si>
  <si>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</si>
  <si>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</si>
  <si>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</si>
  <si>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</si>
  <si>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</si>
  <si>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</si>
  <si>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</si>
  <si>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</si>
  <si>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</si>
  <si>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</si>
  <si>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</si>
  <si>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</si>
  <si>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</si>
  <si>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</si>
  <si>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</si>
  <si>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</si>
  <si>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</si>
  <si>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</si>
  <si>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</si>
  <si>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</si>
  <si>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</si>
  <si>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</si>
  <si>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</si>
  <si>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</si>
  <si>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</si>
  <si>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</si>
  <si>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</si>
  <si>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</si>
  <si>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</si>
  <si>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</si>
  <si>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</si>
  <si>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</si>
  <si>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</si>
  <si>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</si>
  <si>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</si>
  <si>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</si>
  <si>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</si>
  <si>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</si>
  <si>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</si>
  <si>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</si>
  <si>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</si>
  <si>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</si>
  <si>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</si>
  <si>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</si>
  <si>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</si>
  <si>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</si>
  <si>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</si>
  <si>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</si>
  <si>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</si>
  <si>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</si>
  <si>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</si>
  <si>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</si>
  <si>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</si>
  <si>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</si>
  <si>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</si>
  <si>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</si>
  <si>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</si>
  <si>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</si>
  <si>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</si>
  <si>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</si>
  <si>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</si>
  <si>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</si>
  <si>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</si>
  <si>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</si>
  <si>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</si>
  <si>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</si>
  <si>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</si>
  <si>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</si>
  <si>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</si>
  <si>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</si>
  <si>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</si>
  <si>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</si>
  <si>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</si>
  <si>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</si>
  <si>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</si>
  <si>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</si>
  <si>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</si>
  <si>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</si>
  <si>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</si>
  <si>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</si>
  <si>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</si>
  <si>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</si>
  <si>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</si>
  <si>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</si>
  <si>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</si>
  <si>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</si>
  <si>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</si>
  <si>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</si>
  <si>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</si>
  <si>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</si>
  <si>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</si>
  <si>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</si>
  <si>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</si>
  <si>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</si>
  <si>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</si>
  <si>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</si>
  <si>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</si>
  <si>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</si>
  <si>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</si>
  <si>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</si>
  <si>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</si>
  <si>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</si>
  <si>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</si>
  <si>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</si>
  <si>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</si>
  <si>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</si>
  <si>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</si>
  <si>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</si>
  <si>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</si>
  <si>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</si>
  <si>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</si>
  <si>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</si>
  <si>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</si>
  <si>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</si>
  <si>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</si>
  <si>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</si>
  <si>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</si>
  <si>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</si>
  <si>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</si>
  <si>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</si>
  <si>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</si>
  <si>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</si>
  <si>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</si>
  <si>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</si>
  <si>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</si>
  <si>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</si>
  <si>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</si>
  <si>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</si>
  <si>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</si>
  <si>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</si>
  <si>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</si>
  <si>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</si>
  <si>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</si>
  <si>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</si>
  <si>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</si>
  <si>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</si>
  <si>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</si>
  <si>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</si>
  <si>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</si>
  <si>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</si>
  <si>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</si>
  <si>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</si>
  <si>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</si>
  <si>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</si>
  <si>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</si>
  <si>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</si>
  <si>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</si>
  <si>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</si>
  <si>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</si>
  <si>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</si>
  <si>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</si>
  <si>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</si>
  <si>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</si>
  <si>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</si>
  <si>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</si>
  <si>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</si>
  <si>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</si>
  <si>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</si>
  <si>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</si>
  <si>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</si>
  <si>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</si>
  <si>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</si>
  <si>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</si>
  <si>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</si>
  <si>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</si>
  <si>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</si>
  <si>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</si>
  <si>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</si>
  <si>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</si>
  <si>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</si>
  <si>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</si>
  <si>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</si>
  <si>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</si>
  <si>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</si>
  <si>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</si>
  <si>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</si>
  <si>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</si>
  <si>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</si>
  <si>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</si>
  <si>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</si>
  <si>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</si>
  <si>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</si>
  <si>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</si>
  <si>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</si>
  <si>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</si>
  <si>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</si>
  <si>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</si>
  <si>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</si>
  <si>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</si>
  <si>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</si>
  <si>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</si>
  <si>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</si>
  <si>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</si>
  <si>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</si>
  <si>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</si>
  <si>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</si>
  <si>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</si>
  <si>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</si>
  <si>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</si>
  <si>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</si>
  <si>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</si>
  <si>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</si>
  <si>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</si>
  <si>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</si>
  <si>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</si>
  <si>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</si>
  <si>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</si>
  <si>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</si>
  <si>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</si>
  <si>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</si>
  <si>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</si>
  <si>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</si>
  <si>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</si>
  <si>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</si>
  <si>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</si>
  <si>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</si>
  <si>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</si>
  <si>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</si>
  <si>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</si>
  <si>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</si>
  <si>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</si>
  <si>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</si>
  <si>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</si>
  <si>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</si>
  <si>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</si>
  <si>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</si>
  <si>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</si>
  <si>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</si>
  <si>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</si>
  <si>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</si>
  <si>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</si>
  <si>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</si>
  <si>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</si>
  <si>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</si>
  <si>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Perth</t>
  </si>
  <si>
    <t>STR004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</si>
  <si>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</si>
  <si>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</si>
  <si>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</si>
  <si>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</si>
  <si>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</si>
  <si>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</si>
  <si>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</si>
  <si>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</si>
  <si>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</si>
  <si>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</si>
  <si>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</si>
  <si>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</si>
  <si>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</si>
  <si>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</si>
  <si>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</si>
  <si>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</si>
  <si>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</si>
  <si>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</si>
  <si>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</si>
  <si>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</si>
  <si>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</si>
  <si>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</si>
  <si>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</si>
  <si>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</si>
  <si>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</si>
  <si>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</si>
  <si>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</si>
  <si>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</si>
  <si>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</si>
  <si>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</si>
  <si>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</si>
  <si>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</si>
  <si>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</si>
  <si>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</si>
  <si>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</si>
  <si>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</si>
  <si>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</si>
  <si>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</si>
  <si>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</si>
  <si>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</si>
  <si>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</si>
  <si>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</si>
  <si>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</si>
  <si>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</si>
  <si>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</si>
  <si>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</si>
  <si>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</si>
  <si>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</si>
  <si>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</si>
  <si>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</si>
  <si>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</si>
  <si>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</si>
  <si>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</si>
  <si>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</si>
  <si>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</si>
  <si>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</si>
  <si>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</si>
  <si>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</si>
  <si>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</si>
  <si>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</si>
  <si>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</si>
  <si>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</si>
  <si>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</si>
  <si>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</si>
  <si>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</si>
  <si>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</si>
  <si>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</si>
  <si>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</si>
  <si>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</si>
  <si>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</si>
  <si>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</si>
  <si>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</si>
  <si>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</si>
  <si>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</si>
  <si>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</si>
  <si>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</si>
  <si>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</si>
  <si>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</si>
  <si>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</si>
  <si>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</si>
  <si>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</si>
  <si>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</si>
  <si>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</si>
  <si>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</si>
  <si>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</si>
  <si>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</si>
  <si>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</si>
  <si>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</si>
  <si>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</si>
  <si>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</si>
  <si>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</si>
  <si>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</si>
  <si>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</si>
  <si>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</si>
  <si>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</si>
  <si>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</si>
  <si>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</si>
  <si>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</si>
  <si>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</si>
  <si>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</si>
  <si>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</si>
  <si>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</si>
  <si>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</si>
  <si>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</si>
  <si>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</si>
  <si>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</si>
  <si>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</si>
  <si>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</si>
  <si>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</si>
  <si>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</si>
  <si>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</si>
  <si>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</si>
  <si>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</si>
  <si>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</si>
  <si>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</si>
  <si>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</si>
  <si>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</si>
  <si>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</si>
  <si>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</si>
  <si>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</si>
  <si>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</si>
  <si>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</si>
  <si>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</si>
  <si>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</si>
  <si>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</si>
  <si>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</si>
  <si>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</si>
  <si>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</si>
  <si>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</si>
  <si>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</si>
  <si>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</si>
  <si>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</si>
  <si>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</si>
  <si>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</si>
  <si>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</si>
  <si>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</si>
  <si>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</si>
  <si>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</si>
  <si>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</si>
  <si>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</si>
  <si>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</si>
  <si>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</si>
  <si>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</si>
  <si>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</si>
  <si>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</si>
  <si>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</si>
  <si>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</si>
  <si>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</si>
  <si>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</si>
  <si>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</si>
  <si>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</si>
  <si>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</si>
  <si>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</si>
  <si>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</si>
  <si>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</si>
  <si>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</si>
  <si>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</si>
  <si>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</si>
  <si>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</si>
  <si>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</si>
  <si>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</si>
  <si>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</si>
  <si>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</si>
  <si>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</si>
  <si>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</si>
  <si>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</si>
  <si>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</si>
  <si>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</si>
  <si>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</si>
  <si>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</si>
  <si>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</si>
  <si>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</si>
  <si>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</si>
  <si>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</si>
  <si>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</si>
  <si>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</si>
  <si>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</si>
  <si>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</si>
  <si>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</si>
  <si>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</si>
  <si>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</si>
  <si>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</si>
  <si>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</si>
  <si>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</si>
  <si>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</si>
  <si>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</si>
  <si>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</si>
  <si>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</si>
  <si>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</si>
  <si>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</si>
  <si>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</si>
  <si>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</si>
  <si>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</si>
  <si>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</si>
  <si>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</si>
  <si>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</si>
  <si>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</si>
  <si>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</si>
  <si>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</si>
  <si>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</si>
  <si>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</si>
  <si>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</si>
  <si>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</si>
  <si>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</si>
  <si>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</si>
  <si>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</si>
  <si>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</si>
  <si>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</si>
  <si>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</si>
  <si>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</si>
  <si>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</si>
  <si>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</si>
  <si>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</si>
  <si>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</si>
  <si>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</si>
  <si>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</si>
  <si>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</si>
  <si>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</si>
  <si>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</si>
  <si>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</si>
  <si>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</si>
  <si>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</si>
  <si>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</si>
  <si>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</si>
  <si>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</si>
  <si>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</si>
  <si>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</si>
  <si>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</si>
  <si>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</si>
  <si>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</si>
  <si>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</si>
  <si>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</si>
  <si>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</si>
  <si>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</si>
  <si>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</si>
  <si>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</si>
  <si>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</si>
  <si>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</si>
  <si>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</si>
  <si>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</si>
  <si>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</si>
  <si>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</si>
  <si>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</si>
  <si>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</si>
  <si>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</si>
  <si>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</si>
  <si>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</si>
  <si>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</si>
  <si>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</si>
  <si>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Category_Price_Key</t>
  </si>
  <si>
    <t>Beauty|25</t>
  </si>
  <si>
    <t>Lip Balm</t>
  </si>
  <si>
    <t>GlowSource Cosmetics</t>
  </si>
  <si>
    <t>Olivia Bennett</t>
  </si>
  <si>
    <t>Beauty|30</t>
  </si>
  <si>
    <t>Facial Cleanser</t>
  </si>
  <si>
    <t>PureDerma Supplies</t>
  </si>
  <si>
    <t>Liam Carter</t>
  </si>
  <si>
    <t>Beauty|50</t>
  </si>
  <si>
    <t>Eau de Parfum</t>
  </si>
  <si>
    <t>Luxe Aroma Labs</t>
  </si>
  <si>
    <t>Sophie Nguyen</t>
  </si>
  <si>
    <t>Beauty|300</t>
  </si>
  <si>
    <t>Skincare Gift Set</t>
  </si>
  <si>
    <t>Radiant Beauty Wholesale</t>
  </si>
  <si>
    <t>Ethan Parker</t>
  </si>
  <si>
    <t>Beauty|500</t>
  </si>
  <si>
    <t>LED Beauty Device</t>
  </si>
  <si>
    <t>BeautyTech Pro</t>
  </si>
  <si>
    <t>Clothing|25</t>
  </si>
  <si>
    <t>Cotton Socks</t>
  </si>
  <si>
    <t>Urban Basics Co.</t>
  </si>
  <si>
    <t>Clothing|30</t>
  </si>
  <si>
    <t>Graphic T-Shirt</t>
  </si>
  <si>
    <t>ThreadWorks Apparel</t>
  </si>
  <si>
    <t>Clothing|50</t>
  </si>
  <si>
    <t>Denim Jeans</t>
  </si>
  <si>
    <t>BlueFit Garments</t>
  </si>
  <si>
    <t>Clothing|300</t>
  </si>
  <si>
    <t>Leather Jacket</t>
  </si>
  <si>
    <t>Metro Style Manufacturing</t>
  </si>
  <si>
    <t>Clothing|500</t>
  </si>
  <si>
    <t>Designer Coat</t>
  </si>
  <si>
    <t>Prestige Fashion House</t>
  </si>
  <si>
    <t>Electronics|25</t>
  </si>
  <si>
    <t>USB-C Charger</t>
  </si>
  <si>
    <t>VoltEdge Electronics</t>
  </si>
  <si>
    <t>Electronics|30</t>
  </si>
  <si>
    <t>Wireless Mouse</t>
  </si>
  <si>
    <t>ByteWave Distributors</t>
  </si>
  <si>
    <t>Electronics|50</t>
  </si>
  <si>
    <t>Bluetooth Speaker</t>
  </si>
  <si>
    <t>SoundSphere Supply</t>
  </si>
  <si>
    <t>Electronics|300</t>
  </si>
  <si>
    <t>Tablet</t>
  </si>
  <si>
    <t>NextGen Devices</t>
  </si>
  <si>
    <t>Electronics|500</t>
  </si>
  <si>
    <t>Smartphone</t>
  </si>
  <si>
    <t>NovaTech Wholesale</t>
  </si>
  <si>
    <t>Full Name</t>
  </si>
  <si>
    <t>Email</t>
  </si>
  <si>
    <t>Phone</t>
  </si>
  <si>
    <t>Hire Date</t>
  </si>
  <si>
    <t>Leadership Level</t>
  </si>
  <si>
    <t>MGR001</t>
  </si>
  <si>
    <t>olivia.bennett@retailco.example</t>
  </si>
  <si>
    <t>0400 111 201</t>
  </si>
  <si>
    <t>Senior Manager</t>
  </si>
  <si>
    <t>MGR002</t>
  </si>
  <si>
    <t>liam.carter@retailco.example</t>
  </si>
  <si>
    <t>0400 111 202</t>
  </si>
  <si>
    <t>MGR003</t>
  </si>
  <si>
    <t>sophie.nguyen@retailco.example</t>
  </si>
  <si>
    <t>0400 111 203</t>
  </si>
  <si>
    <t>MGR004</t>
  </si>
  <si>
    <t>ethan.parker@retailco.example</t>
  </si>
  <si>
    <t>0400 111 204</t>
  </si>
  <si>
    <t>Store Name</t>
  </si>
  <si>
    <t>Open Date</t>
  </si>
  <si>
    <t>Harbour City Flagship</t>
  </si>
  <si>
    <t>Sydney, NSW</t>
  </si>
  <si>
    <t>Yarra Central</t>
  </si>
  <si>
    <t>Melbourne, VIC</t>
  </si>
  <si>
    <t>River City Plaza</t>
  </si>
  <si>
    <t>Brisbane, QLD</t>
  </si>
  <si>
    <t>Kings Square Outlet</t>
  </si>
  <si>
    <t>Perth, WA</t>
  </si>
  <si>
    <t>First Name</t>
  </si>
  <si>
    <t>Last Name</t>
  </si>
  <si>
    <t>Age Group</t>
  </si>
  <si>
    <t>Join Date</t>
  </si>
  <si>
    <t>Loyalty Tier</t>
  </si>
  <si>
    <t>Home Store ID</t>
  </si>
  <si>
    <t>Home Store Location</t>
  </si>
  <si>
    <t>Suburb</t>
  </si>
  <si>
    <t>State</t>
  </si>
  <si>
    <t>Postcode</t>
  </si>
  <si>
    <t>James</t>
  </si>
  <si>
    <t>Smith</t>
  </si>
  <si>
    <t>26-35</t>
  </si>
  <si>
    <t>james.smith001@example.com</t>
  </si>
  <si>
    <t>0401 037 073</t>
  </si>
  <si>
    <t>Bronze</t>
  </si>
  <si>
    <t>Parramatta</t>
  </si>
  <si>
    <t>NSW</t>
  </si>
  <si>
    <t>2150</t>
  </si>
  <si>
    <t>Amelia</t>
  </si>
  <si>
    <t>amelia.smith002@example.com</t>
  </si>
  <si>
    <t>0402 074 146</t>
  </si>
  <si>
    <t>Silver</t>
  </si>
  <si>
    <t>Chatswood</t>
  </si>
  <si>
    <t>2067</t>
  </si>
  <si>
    <t>Oliver</t>
  </si>
  <si>
    <t>46-60</t>
  </si>
  <si>
    <t>oliver.smith003@example.com</t>
  </si>
  <si>
    <t>0403 111 219</t>
  </si>
  <si>
    <t>Gold</t>
  </si>
  <si>
    <t>Bondi</t>
  </si>
  <si>
    <t>2026</t>
  </si>
  <si>
    <t>Lucas</t>
  </si>
  <si>
    <t>36-45</t>
  </si>
  <si>
    <t>lucas.smith004@example.com</t>
  </si>
  <si>
    <t>0404 148 292</t>
  </si>
  <si>
    <t>Platinum</t>
  </si>
  <si>
    <t>Newtown</t>
  </si>
  <si>
    <t>2042</t>
  </si>
  <si>
    <t>Henry</t>
  </si>
  <si>
    <t>henry.smith005@example.com</t>
  </si>
  <si>
    <t>0405 185 365</t>
  </si>
  <si>
    <t>Sophie</t>
  </si>
  <si>
    <t>sophie.smith006@example.com</t>
  </si>
  <si>
    <t>0406 222 438</t>
  </si>
  <si>
    <t>Leo</t>
  </si>
  <si>
    <t>leo.smith007@example.com</t>
  </si>
  <si>
    <t>0407 259 511</t>
  </si>
  <si>
    <t>Jack</t>
  </si>
  <si>
    <t>jack.smith008@example.com</t>
  </si>
  <si>
    <t>0408 296 584</t>
  </si>
  <si>
    <t>Mason</t>
  </si>
  <si>
    <t>mason.smith009@example.com</t>
  </si>
  <si>
    <t>0409 333 657</t>
  </si>
  <si>
    <t>Emily</t>
  </si>
  <si>
    <t>emily.smith010@example.com</t>
  </si>
  <si>
    <t>0410 370 730</t>
  </si>
  <si>
    <t>Samuel</t>
  </si>
  <si>
    <t>18-25</t>
  </si>
  <si>
    <t>samuel.smith011@example.com</t>
  </si>
  <si>
    <t>0411 407 803</t>
  </si>
  <si>
    <t>Daniel</t>
  </si>
  <si>
    <t>daniel.smith012@example.com</t>
  </si>
  <si>
    <t>0412 444 876</t>
  </si>
  <si>
    <t>Nguyen</t>
  </si>
  <si>
    <t>james.nguyen013@example.com</t>
  </si>
  <si>
    <t>0413 481 949</t>
  </si>
  <si>
    <t>Noah</t>
  </si>
  <si>
    <t>noah.nguyen014@example.com</t>
  </si>
  <si>
    <t>0414 518 022</t>
  </si>
  <si>
    <t>Olivia</t>
  </si>
  <si>
    <t>olivia.nguyen015@example.com</t>
  </si>
  <si>
    <t>0415 555 095</t>
  </si>
  <si>
    <t>lucas.nguyen016@example.com</t>
  </si>
  <si>
    <t>0416 592 168</t>
  </si>
  <si>
    <t>Mia</t>
  </si>
  <si>
    <t>mia.nguyen017@example.com</t>
  </si>
  <si>
    <t>0417 629 241</t>
  </si>
  <si>
    <t>sophie.nguyen018@example.com</t>
  </si>
  <si>
    <t>0418 666 314</t>
  </si>
  <si>
    <t>Grace</t>
  </si>
  <si>
    <t>grace.nguyen019@example.com</t>
  </si>
  <si>
    <t>0419 703 387</t>
  </si>
  <si>
    <t>jack.nguyen020@example.com</t>
  </si>
  <si>
    <t>0420 740 460</t>
  </si>
  <si>
    <t>Chloe</t>
  </si>
  <si>
    <t>chloe.nguyen021@example.com</t>
  </si>
  <si>
    <t>0421 777 533</t>
  </si>
  <si>
    <t>William</t>
  </si>
  <si>
    <t>william.nguyen022@example.com</t>
  </si>
  <si>
    <t>0422 814 606</t>
  </si>
  <si>
    <t>Ava</t>
  </si>
  <si>
    <t>ava.nguyen023@example.com</t>
  </si>
  <si>
    <t>0423 851 679</t>
  </si>
  <si>
    <t>Zoe</t>
  </si>
  <si>
    <t>zoe.nguyen024@example.com</t>
  </si>
  <si>
    <t>0424 888 752</t>
  </si>
  <si>
    <t>Charlotte</t>
  </si>
  <si>
    <t>Patel</t>
  </si>
  <si>
    <t>charlotte.patel025@example.com</t>
  </si>
  <si>
    <t>0425 925 825</t>
  </si>
  <si>
    <t>amelia.patel026@example.com</t>
  </si>
  <si>
    <t>0426 962 898</t>
  </si>
  <si>
    <t>olivia.patel027@example.com</t>
  </si>
  <si>
    <t>0427 999 971</t>
  </si>
  <si>
    <t>Isla</t>
  </si>
  <si>
    <t>isla.patel028@example.com</t>
  </si>
  <si>
    <t>0428 036 044</t>
  </si>
  <si>
    <t>mia.patel029@example.com</t>
  </si>
  <si>
    <t>0429 073 117</t>
  </si>
  <si>
    <t>sophie.patel030@example.com</t>
  </si>
  <si>
    <t>0430 110 190</t>
  </si>
  <si>
    <t>leo.patel031@example.com</t>
  </si>
  <si>
    <t>0431 147 263</t>
  </si>
  <si>
    <t>jack.patel032@example.com</t>
  </si>
  <si>
    <t>0432 184 336</t>
  </si>
  <si>
    <t>chloe.patel033@example.com</t>
  </si>
  <si>
    <t>0433 221 409</t>
  </si>
  <si>
    <t>emily.patel034@example.com</t>
  </si>
  <si>
    <t>0434 258 482</t>
  </si>
  <si>
    <t>ava.patel035@example.com</t>
  </si>
  <si>
    <t>0435 295 555</t>
  </si>
  <si>
    <t>daniel.patel036@example.com</t>
  </si>
  <si>
    <t>0436 332 628</t>
  </si>
  <si>
    <t>Brown</t>
  </si>
  <si>
    <t>charlotte.brown037@example.com</t>
  </si>
  <si>
    <t>0437 369 701</t>
  </si>
  <si>
    <t>noah.brown038@example.com</t>
  </si>
  <si>
    <t>0438 406 774</t>
  </si>
  <si>
    <t>oliver.brown039@example.com</t>
  </si>
  <si>
    <t>0439 443 847</t>
  </si>
  <si>
    <t>lucas.brown040@example.com</t>
  </si>
  <si>
    <t>0440 480 920</t>
  </si>
  <si>
    <t>henry.brown041@example.com</t>
  </si>
  <si>
    <t>0441 517 993</t>
  </si>
  <si>
    <t>Ethan</t>
  </si>
  <si>
    <t>ethan.brown042@example.com</t>
  </si>
  <si>
    <t>0442 554 066</t>
  </si>
  <si>
    <t>grace.brown043@example.com</t>
  </si>
  <si>
    <t>0443 591 139</t>
  </si>
  <si>
    <t>Ella</t>
  </si>
  <si>
    <t>ella.brown044@example.com</t>
  </si>
  <si>
    <t>0444 628 212</t>
  </si>
  <si>
    <t>chloe.brown045@example.com</t>
  </si>
  <si>
    <t>0445 665 285</t>
  </si>
  <si>
    <t>emily.brown046@example.com</t>
  </si>
  <si>
    <t>0446 702 358</t>
  </si>
  <si>
    <t>ava.brown047@example.com</t>
  </si>
  <si>
    <t>0447 739 431</t>
  </si>
  <si>
    <t>daniel.brown048@example.com</t>
  </si>
  <si>
    <t>0448 776 504</t>
  </si>
  <si>
    <t>Wilson</t>
  </si>
  <si>
    <t>charlotte.wilson049@example.com</t>
  </si>
  <si>
    <t>0449 813 577</t>
  </si>
  <si>
    <t>amelia.wilson050@example.com</t>
  </si>
  <si>
    <t>0450 850 650</t>
  </si>
  <si>
    <t>oliver.wilson051@example.com</t>
  </si>
  <si>
    <t>0451 887 723</t>
  </si>
  <si>
    <t>isla.wilson052@example.com</t>
  </si>
  <si>
    <t>0452 924 796</t>
  </si>
  <si>
    <t>henry.wilson053@example.com</t>
  </si>
  <si>
    <t>0453 961 869</t>
  </si>
  <si>
    <t>sophie.wilson054@example.com</t>
  </si>
  <si>
    <t>0454 998 942</t>
  </si>
  <si>
    <t>leo.wilson055@example.com</t>
  </si>
  <si>
    <t>0455 035 015</t>
  </si>
  <si>
    <t>ella.wilson056@example.com</t>
  </si>
  <si>
    <t>0456 072 088</t>
  </si>
  <si>
    <t>chloe.wilson057@example.com</t>
  </si>
  <si>
    <t>0457 109 161</t>
  </si>
  <si>
    <t>william.wilson058@example.com</t>
  </si>
  <si>
    <t>0458 146 234</t>
  </si>
  <si>
    <t>samuel.wilson059@example.com</t>
  </si>
  <si>
    <t>0459 183 307</t>
  </si>
  <si>
    <t>daniel.wilson060@example.com</t>
  </si>
  <si>
    <t>0460 220 380</t>
  </si>
  <si>
    <t>Taylor</t>
  </si>
  <si>
    <t>james.taylor061@example.com</t>
  </si>
  <si>
    <t>0461 257 453</t>
  </si>
  <si>
    <t>noah.taylor062@example.com</t>
  </si>
  <si>
    <t>0462 294 526</t>
  </si>
  <si>
    <t>oliver.taylor063@example.com</t>
  </si>
  <si>
    <t>0463 331 599</t>
  </si>
  <si>
    <t>lucas.taylor064@example.com</t>
  </si>
  <si>
    <t>0464 368 672</t>
  </si>
  <si>
    <t>henry.taylor065@example.com</t>
  </si>
  <si>
    <t>0465 405 745</t>
  </si>
  <si>
    <t>sophie.taylor066@example.com</t>
  </si>
  <si>
    <t>0466 442 818</t>
  </si>
  <si>
    <t>grace.taylor067@example.com</t>
  </si>
  <si>
    <t>0467 479 891</t>
  </si>
  <si>
    <t>jack.taylor068@example.com</t>
  </si>
  <si>
    <t>0468 516 964</t>
  </si>
  <si>
    <t>chloe.taylor069@example.com</t>
  </si>
  <si>
    <t>0469 553 037</t>
  </si>
  <si>
    <t>emily.taylor070@example.com</t>
  </si>
  <si>
    <t>0470 590 110</t>
  </si>
  <si>
    <t>ava.taylor071@example.com</t>
  </si>
  <si>
    <t>0471 627 183</t>
  </si>
  <si>
    <t>zoe.taylor072@example.com</t>
  </si>
  <si>
    <t>0472 664 256</t>
  </si>
  <si>
    <t>Johnson</t>
  </si>
  <si>
    <t>james.johnson073@example.com</t>
  </si>
  <si>
    <t>0473 701 329</t>
  </si>
  <si>
    <t>amelia.johnson074@example.com</t>
  </si>
  <si>
    <t>0474 738 402</t>
  </si>
  <si>
    <t>oliver.johnson075@example.com</t>
  </si>
  <si>
    <t>0475 775 475</t>
  </si>
  <si>
    <t>isla.johnson076@example.com</t>
  </si>
  <si>
    <t>0476 812 548</t>
  </si>
  <si>
    <t>mia.johnson077@example.com</t>
  </si>
  <si>
    <t>0477 849 621</t>
  </si>
  <si>
    <t>sophie.johnson078@example.com</t>
  </si>
  <si>
    <t>0478 886 694</t>
  </si>
  <si>
    <t>leo.johnson079@example.com</t>
  </si>
  <si>
    <t>0479 923 767</t>
  </si>
  <si>
    <t>ella.johnson080@example.com</t>
  </si>
  <si>
    <t>0480 960 840</t>
  </si>
  <si>
    <t>mason.johnson081@example.com</t>
  </si>
  <si>
    <t>0481 997 913</t>
  </si>
  <si>
    <t>emily.johnson082@example.com</t>
  </si>
  <si>
    <t>0482 034 986</t>
  </si>
  <si>
    <t>samuel.johnson083@example.com</t>
  </si>
  <si>
    <t>0483 071 059</t>
  </si>
  <si>
    <t>zoe.johnson084@example.com</t>
  </si>
  <si>
    <t>0484 108 132</t>
  </si>
  <si>
    <t>Lee</t>
  </si>
  <si>
    <t>james.lee085@example.com</t>
  </si>
  <si>
    <t>0485 145 205</t>
  </si>
  <si>
    <t>noah.lee086@example.com</t>
  </si>
  <si>
    <t>0486 182 278</t>
  </si>
  <si>
    <t>olivia.lee087@example.com</t>
  </si>
  <si>
    <t>0487 219 351</t>
  </si>
  <si>
    <t>lucas.lee088@example.com</t>
  </si>
  <si>
    <t>0488 256 424</t>
  </si>
  <si>
    <t>mia.lee089@example.com</t>
  </si>
  <si>
    <t>0489 293 497</t>
  </si>
  <si>
    <t>sophie.lee090@example.com</t>
  </si>
  <si>
    <t>0490 330 570</t>
  </si>
  <si>
    <t>grace.lee091@example.com</t>
  </si>
  <si>
    <t>0491 367 643</t>
  </si>
  <si>
    <t>ella.lee092@example.com</t>
  </si>
  <si>
    <t>0492 404 716</t>
  </si>
  <si>
    <t>chloe.lee093@example.com</t>
  </si>
  <si>
    <t>0493 441 789</t>
  </si>
  <si>
    <t>emily.lee094@example.com</t>
  </si>
  <si>
    <t>0494 478 862</t>
  </si>
  <si>
    <t>ava.lee095@example.com</t>
  </si>
  <si>
    <t>0495 515 935</t>
  </si>
  <si>
    <t>zoe.lee096@example.com</t>
  </si>
  <si>
    <t>0496 552 008</t>
  </si>
  <si>
    <t>Martin</t>
  </si>
  <si>
    <t>charlotte.martin097@example.com</t>
  </si>
  <si>
    <t>0497 589 081</t>
  </si>
  <si>
    <t>amelia.martin098@example.com</t>
  </si>
  <si>
    <t>0498 626 154</t>
  </si>
  <si>
    <t>olivia.martin099@example.com</t>
  </si>
  <si>
    <t>0499 663 227</t>
  </si>
  <si>
    <t>lucas.martin100@example.com</t>
  </si>
  <si>
    <t>0400 700 300</t>
  </si>
  <si>
    <t>henry.martin101@example.com</t>
  </si>
  <si>
    <t>0401 737 373</t>
  </si>
  <si>
    <t>sophie.martin102@example.com</t>
  </si>
  <si>
    <t>0402 774 446</t>
  </si>
  <si>
    <t>grace.martin103@example.com</t>
  </si>
  <si>
    <t>0403 811 519</t>
  </si>
  <si>
    <t>ella.martin104@example.com</t>
  </si>
  <si>
    <t>0404 848 592</t>
  </si>
  <si>
    <t>chloe.martin105@example.com</t>
  </si>
  <si>
    <t>0405 885 665</t>
  </si>
  <si>
    <t>emily.martin106@example.com</t>
  </si>
  <si>
    <t>0406 922 738</t>
  </si>
  <si>
    <t>ava.martin107@example.com</t>
  </si>
  <si>
    <t>0407 959 811</t>
  </si>
  <si>
    <t>zoe.martin108@example.com</t>
  </si>
  <si>
    <t>0408 996 884</t>
  </si>
  <si>
    <t>White</t>
  </si>
  <si>
    <t>charlotte.white109@example.com</t>
  </si>
  <si>
    <t>0409 033 957</t>
  </si>
  <si>
    <t>noah.white110@example.com</t>
  </si>
  <si>
    <t>0410 070 030</t>
  </si>
  <si>
    <t>olivia.white111@example.com</t>
  </si>
  <si>
    <t>0411 107 103</t>
  </si>
  <si>
    <t>lucas.white112@example.com</t>
  </si>
  <si>
    <t>0412 144 176</t>
  </si>
  <si>
    <t>mia.white113@example.com</t>
  </si>
  <si>
    <t>0413 181 249</t>
  </si>
  <si>
    <t>sophie.white114@example.com</t>
  </si>
  <si>
    <t>0414 218 322</t>
  </si>
  <si>
    <t>leo.white115@example.com</t>
  </si>
  <si>
    <t>0415 255 395</t>
  </si>
  <si>
    <t>ella.white116@example.com</t>
  </si>
  <si>
    <t>0416 292 468</t>
  </si>
  <si>
    <t>mason.white117@example.com</t>
  </si>
  <si>
    <t>0417 329 541</t>
  </si>
  <si>
    <t>emily.white118@example.com</t>
  </si>
  <si>
    <t>0418 366 614</t>
  </si>
  <si>
    <t>ava.white119@example.com</t>
  </si>
  <si>
    <t>0419 403 687</t>
  </si>
  <si>
    <t>daniel.white120@example.com</t>
  </si>
  <si>
    <t>0420 440 760</t>
  </si>
  <si>
    <t>Anderson</t>
  </si>
  <si>
    <t>charlotte.anderson121@example.com</t>
  </si>
  <si>
    <t>0421 477 833</t>
  </si>
  <si>
    <t>noah.anderson122@example.com</t>
  </si>
  <si>
    <t>0422 514 906</t>
  </si>
  <si>
    <t>olivia.anderson123@example.com</t>
  </si>
  <si>
    <t>0423 551 979</t>
  </si>
  <si>
    <t>lucas.anderson124@example.com</t>
  </si>
  <si>
    <t>0424 588 052</t>
  </si>
  <si>
    <t>henry.anderson125@example.com</t>
  </si>
  <si>
    <t>0425 625 125</t>
  </si>
  <si>
    <t>sophie.anderson126@example.com</t>
  </si>
  <si>
    <t>0426 662 198</t>
  </si>
  <si>
    <t>grace.anderson127@example.com</t>
  </si>
  <si>
    <t>0427 699 271</t>
  </si>
  <si>
    <t>jack.anderson128@example.com</t>
  </si>
  <si>
    <t>0428 736 344</t>
  </si>
  <si>
    <t>chloe.anderson129@example.com</t>
  </si>
  <si>
    <t>0429 773 417</t>
  </si>
  <si>
    <t>emily.anderson130@example.com</t>
  </si>
  <si>
    <t>0430 810 490</t>
  </si>
  <si>
    <t>ava.anderson131@example.com</t>
  </si>
  <si>
    <t>0431 847 563</t>
  </si>
  <si>
    <t>daniel.anderson132@example.com</t>
  </si>
  <si>
    <t>0432 884 636</t>
  </si>
  <si>
    <t>Thomas</t>
  </si>
  <si>
    <t>james.thomas133@example.com</t>
  </si>
  <si>
    <t>0433 921 709</t>
  </si>
  <si>
    <t>noah.thomas134@example.com</t>
  </si>
  <si>
    <t>0434 958 782</t>
  </si>
  <si>
    <t>oliver.thomas135@example.com</t>
  </si>
  <si>
    <t>0435 995 855</t>
  </si>
  <si>
    <t>lucas.thomas136@example.com</t>
  </si>
  <si>
    <t>0436 032 928</t>
  </si>
  <si>
    <t>henry.thomas137@example.com</t>
  </si>
  <si>
    <t>0437 069 001</t>
  </si>
  <si>
    <t>ethan.thomas138@example.com</t>
  </si>
  <si>
    <t>0438 106 074</t>
  </si>
  <si>
    <t>leo.thomas139@example.com</t>
  </si>
  <si>
    <t>0439 143 147</t>
  </si>
  <si>
    <t>jack.thomas140@example.com</t>
  </si>
  <si>
    <t>0440 180 220</t>
  </si>
  <si>
    <t>chloe.thomas141@example.com</t>
  </si>
  <si>
    <t>0441 217 293</t>
  </si>
  <si>
    <t>william.thomas142@example.com</t>
  </si>
  <si>
    <t>0442 254 366</t>
  </si>
  <si>
    <t>ava.thomas143@example.com</t>
  </si>
  <si>
    <t>0443 291 439</t>
  </si>
  <si>
    <t>zoe.thomas144@example.com</t>
  </si>
  <si>
    <t>0444 328 512</t>
  </si>
  <si>
    <t>charlotte.smith145@example.com</t>
  </si>
  <si>
    <t>0445 365 585</t>
  </si>
  <si>
    <t>noah.smith146@example.com</t>
  </si>
  <si>
    <t>0446 402 658</t>
  </si>
  <si>
    <t>oliver.smith147@example.com</t>
  </si>
  <si>
    <t>0447 439 731</t>
  </si>
  <si>
    <t>lucas.smith148@example.com</t>
  </si>
  <si>
    <t>0448 476 804</t>
  </si>
  <si>
    <t>henry.smith149@example.com</t>
  </si>
  <si>
    <t>0449 513 877</t>
  </si>
  <si>
    <t>sophie.smith150@example.com</t>
  </si>
  <si>
    <t>0450 550 950</t>
  </si>
  <si>
    <t>leo.smith151@example.com</t>
  </si>
  <si>
    <t>0451 587 023</t>
  </si>
  <si>
    <t>jack.smith152@example.com</t>
  </si>
  <si>
    <t>0452 624 096</t>
  </si>
  <si>
    <t>mason.smith153@example.com</t>
  </si>
  <si>
    <t>0453 661 169</t>
  </si>
  <si>
    <t>william.smith154@example.com</t>
  </si>
  <si>
    <t>0454 698 242</t>
  </si>
  <si>
    <t>samuel.smith155@example.com</t>
  </si>
  <si>
    <t>0455 735 315</t>
  </si>
  <si>
    <t>zoe.smith156@example.com</t>
  </si>
  <si>
    <t>0456 772 388</t>
  </si>
  <si>
    <t>james.nguyen157@example.com</t>
  </si>
  <si>
    <t>0457 809 461</t>
  </si>
  <si>
    <t>amelia.nguyen158@example.com</t>
  </si>
  <si>
    <t>0458 846 534</t>
  </si>
  <si>
    <t>oliver.nguyen159@example.com</t>
  </si>
  <si>
    <t>0459 883 607</t>
  </si>
  <si>
    <t>isla.nguyen160@example.com</t>
  </si>
  <si>
    <t>0460 920 680</t>
  </si>
  <si>
    <t>henry.nguyen161@example.com</t>
  </si>
  <si>
    <t>0461 957 753</t>
  </si>
  <si>
    <t>ethan.nguyen162@example.com</t>
  </si>
  <si>
    <t>0462 994 826</t>
  </si>
  <si>
    <t>grace.nguyen163@example.com</t>
  </si>
  <si>
    <t>0463 031 899</t>
  </si>
  <si>
    <t>ella.nguyen164@example.com</t>
  </si>
  <si>
    <t>0464 068 972</t>
  </si>
  <si>
    <t>chloe.nguyen165@example.com</t>
  </si>
  <si>
    <t>0465 105 045</t>
  </si>
  <si>
    <t>william.nguyen166@example.com</t>
  </si>
  <si>
    <t>0466 142 118</t>
  </si>
  <si>
    <t>ava.nguyen167@example.com</t>
  </si>
  <si>
    <t>0467 179 191</t>
  </si>
  <si>
    <t>daniel.nguyen168@example.com</t>
  </si>
  <si>
    <t>0468 216 264</t>
  </si>
  <si>
    <t>james.patel169@example.com</t>
  </si>
  <si>
    <t>0469 253 337</t>
  </si>
  <si>
    <t>amelia.patel170@example.com</t>
  </si>
  <si>
    <t>0470 290 410</t>
  </si>
  <si>
    <t>olivia.patel171@example.com</t>
  </si>
  <si>
    <t>0471 327 483</t>
  </si>
  <si>
    <t>lucas.patel172@example.com</t>
  </si>
  <si>
    <t>0472 364 556</t>
  </si>
  <si>
    <t>henry.patel173@example.com</t>
  </si>
  <si>
    <t>0473 401 629</t>
  </si>
  <si>
    <t>sophie.patel174@example.com</t>
  </si>
  <si>
    <t>0474 438 702</t>
  </si>
  <si>
    <t>grace.patel175@example.com</t>
  </si>
  <si>
    <t>0475 475 775</t>
  </si>
  <si>
    <t>ella.patel176@example.com</t>
  </si>
  <si>
    <t>0476 512 848</t>
  </si>
  <si>
    <t>mason.patel177@example.com</t>
  </si>
  <si>
    <t>0477 549 921</t>
  </si>
  <si>
    <t>william.patel178@example.com</t>
  </si>
  <si>
    <t>0478 586 994</t>
  </si>
  <si>
    <t>samuel.patel179@example.com</t>
  </si>
  <si>
    <t>0479 623 067</t>
  </si>
  <si>
    <t>daniel.patel180@example.com</t>
  </si>
  <si>
    <t>0480 660 140</t>
  </si>
  <si>
    <t>james.brown181@example.com</t>
  </si>
  <si>
    <t>0481 697 213</t>
  </si>
  <si>
    <t>noah.brown182@example.com</t>
  </si>
  <si>
    <t>0482 734 286</t>
  </si>
  <si>
    <t>olivia.brown183@example.com</t>
  </si>
  <si>
    <t>0483 771 359</t>
  </si>
  <si>
    <t>lucas.brown184@example.com</t>
  </si>
  <si>
    <t>0484 808 432</t>
  </si>
  <si>
    <t>henry.brown185@example.com</t>
  </si>
  <si>
    <t>0485 845 505</t>
  </si>
  <si>
    <t>ethan.brown186@example.com</t>
  </si>
  <si>
    <t>0486 882 578</t>
  </si>
  <si>
    <t>grace.brown187@example.com</t>
  </si>
  <si>
    <t>0487 919 651</t>
  </si>
  <si>
    <t>jack.brown188@example.com</t>
  </si>
  <si>
    <t>0488 956 724</t>
  </si>
  <si>
    <t>mason.brown189@example.com</t>
  </si>
  <si>
    <t>0489 993 797</t>
  </si>
  <si>
    <t>emily.brown190@example.com</t>
  </si>
  <si>
    <t>0490 030 870</t>
  </si>
  <si>
    <t>samuel.brown191@example.com</t>
  </si>
  <si>
    <t>0491 067 943</t>
  </si>
  <si>
    <t>daniel.brown192@example.com</t>
  </si>
  <si>
    <t>0492 104 016</t>
  </si>
  <si>
    <t>james.wilson193@example.com</t>
  </si>
  <si>
    <t>0493 141 089</t>
  </si>
  <si>
    <t>noah.wilson194@example.com</t>
  </si>
  <si>
    <t>0494 178 162</t>
  </si>
  <si>
    <t>oliver.wilson195@example.com</t>
  </si>
  <si>
    <t>0495 215 235</t>
  </si>
  <si>
    <t>isla.wilson196@example.com</t>
  </si>
  <si>
    <t>0496 252 308</t>
  </si>
  <si>
    <t>mia.wilson197@example.com</t>
  </si>
  <si>
    <t>0497 289 381</t>
  </si>
  <si>
    <t>sophie.wilson198@example.com</t>
  </si>
  <si>
    <t>0498 326 454</t>
  </si>
  <si>
    <t>leo.wilson199@example.com</t>
  </si>
  <si>
    <t>0499 363 527</t>
  </si>
  <si>
    <t>jack.wilson200@example.com</t>
  </si>
  <si>
    <t>0400 400 600</t>
  </si>
  <si>
    <t>mason.wilson201@example.com</t>
  </si>
  <si>
    <t>0401 437 673</t>
  </si>
  <si>
    <t>emily.wilson202@example.com</t>
  </si>
  <si>
    <t>0402 474 746</t>
  </si>
  <si>
    <t>samuel.wilson203@example.com</t>
  </si>
  <si>
    <t>0403 511 819</t>
  </si>
  <si>
    <t>daniel.wilson204@example.com</t>
  </si>
  <si>
    <t>0404 548 892</t>
  </si>
  <si>
    <t>charlotte.taylor205@example.com</t>
  </si>
  <si>
    <t>0405 585 965</t>
  </si>
  <si>
    <t>noah.taylor206@example.com</t>
  </si>
  <si>
    <t>0406 622 038</t>
  </si>
  <si>
    <t>olivia.taylor207@example.com</t>
  </si>
  <si>
    <t>0407 659 111</t>
  </si>
  <si>
    <t>isla.taylor208@example.com</t>
  </si>
  <si>
    <t>0408 696 184</t>
  </si>
  <si>
    <t>mia.taylor209@example.com</t>
  </si>
  <si>
    <t>0409 733 257</t>
  </si>
  <si>
    <t>ethan.taylor210@example.com</t>
  </si>
  <si>
    <t>0410 770 330</t>
  </si>
  <si>
    <t>leo.taylor211@example.com</t>
  </si>
  <si>
    <t>0411 807 403</t>
  </si>
  <si>
    <t>jack.taylor212@example.com</t>
  </si>
  <si>
    <t>0412 844 476</t>
  </si>
  <si>
    <t>mason.taylor213@example.com</t>
  </si>
  <si>
    <t>0413 881 549</t>
  </si>
  <si>
    <t>william.taylor214@example.com</t>
  </si>
  <si>
    <t>0414 918 622</t>
  </si>
  <si>
    <t>samuel.taylor215@example.com</t>
  </si>
  <si>
    <t>0415 955 695</t>
  </si>
  <si>
    <t>daniel.taylor216@example.com</t>
  </si>
  <si>
    <t>0416 992 768</t>
  </si>
  <si>
    <t>charlotte.johnson217@example.com</t>
  </si>
  <si>
    <t>0417 029 841</t>
  </si>
  <si>
    <t>noah.johnson218@example.com</t>
  </si>
  <si>
    <t>0418 066 914</t>
  </si>
  <si>
    <t>olivia.johnson219@example.com</t>
  </si>
  <si>
    <t>0419 103 987</t>
  </si>
  <si>
    <t>lucas.johnson220@example.com</t>
  </si>
  <si>
    <t>0420 140 060</t>
  </si>
  <si>
    <t>henry.johnson221@example.com</t>
  </si>
  <si>
    <t>0421 177 133</t>
  </si>
  <si>
    <t>ethan.johnson222@example.com</t>
  </si>
  <si>
    <t>0422 214 206</t>
  </si>
  <si>
    <t>grace.johnson223@example.com</t>
  </si>
  <si>
    <t>0423 251 279</t>
  </si>
  <si>
    <t>ella.johnson224@example.com</t>
  </si>
  <si>
    <t>0424 288 352</t>
  </si>
  <si>
    <t>chloe.johnson225@example.com</t>
  </si>
  <si>
    <t>0425 325 425</t>
  </si>
  <si>
    <t>emily.johnson226@example.com</t>
  </si>
  <si>
    <t>0426 362 498</t>
  </si>
  <si>
    <t>samuel.johnson227@example.com</t>
  </si>
  <si>
    <t>0427 399 571</t>
  </si>
  <si>
    <t>zoe.johnson228@example.com</t>
  </si>
  <si>
    <t>0428 436 644</t>
  </si>
  <si>
    <t>james.lee229@example.com</t>
  </si>
  <si>
    <t>0429 473 717</t>
  </si>
  <si>
    <t>noah.lee230@example.com</t>
  </si>
  <si>
    <t>0430 510 790</t>
  </si>
  <si>
    <t>olivia.lee231@example.com</t>
  </si>
  <si>
    <t>0431 547 863</t>
  </si>
  <si>
    <t>isla.lee232@example.com</t>
  </si>
  <si>
    <t>0432 584 936</t>
  </si>
  <si>
    <t>mia.lee233@example.com</t>
  </si>
  <si>
    <t>0433 621 009</t>
  </si>
  <si>
    <t>sophie.lee234@example.com</t>
  </si>
  <si>
    <t>0434 658 082</t>
  </si>
  <si>
    <t>grace.lee235@example.com</t>
  </si>
  <si>
    <t>0435 695 155</t>
  </si>
  <si>
    <t>ella.lee236@example.com</t>
  </si>
  <si>
    <t>0436 732 228</t>
  </si>
  <si>
    <t>chloe.lee237@example.com</t>
  </si>
  <si>
    <t>0437 769 301</t>
  </si>
  <si>
    <t>emily.lee238@example.com</t>
  </si>
  <si>
    <t>0438 806 374</t>
  </si>
  <si>
    <t>samuel.lee239@example.com</t>
  </si>
  <si>
    <t>0439 843 447</t>
  </si>
  <si>
    <t>zoe.lee240@example.com</t>
  </si>
  <si>
    <t>0440 880 520</t>
  </si>
  <si>
    <t>charlotte.martin241@example.com</t>
  </si>
  <si>
    <t>0441 917 593</t>
  </si>
  <si>
    <t>noah.martin242@example.com</t>
  </si>
  <si>
    <t>0442 954 666</t>
  </si>
  <si>
    <t>olivia.martin243@example.com</t>
  </si>
  <si>
    <t>0443 991 739</t>
  </si>
  <si>
    <t>lucas.martin244@example.com</t>
  </si>
  <si>
    <t>0444 028 812</t>
  </si>
  <si>
    <t>henry.martin245@example.com</t>
  </si>
  <si>
    <t>0445 065 885</t>
  </si>
  <si>
    <t>sophie.martin246@example.com</t>
  </si>
  <si>
    <t>0446 102 958</t>
  </si>
  <si>
    <t>leo.martin247@example.com</t>
  </si>
  <si>
    <t>0447 139 031</t>
  </si>
  <si>
    <t>jack.martin248@example.com</t>
  </si>
  <si>
    <t>0448 176 104</t>
  </si>
  <si>
    <t>mason.martin249@example.com</t>
  </si>
  <si>
    <t>0449 213 177</t>
  </si>
  <si>
    <t>william.martin250@example.com</t>
  </si>
  <si>
    <t>0450 250 250</t>
  </si>
  <si>
    <t>ava.martin251@example.com</t>
  </si>
  <si>
    <t>0451 287 323</t>
  </si>
  <si>
    <t>Carlton</t>
  </si>
  <si>
    <t>VIC</t>
  </si>
  <si>
    <t>3053</t>
  </si>
  <si>
    <t>daniel.martin252@example.com</t>
  </si>
  <si>
    <t>0452 324 396</t>
  </si>
  <si>
    <t>St Kilda</t>
  </si>
  <si>
    <t>3182</t>
  </si>
  <si>
    <t>charlotte.white253@example.com</t>
  </si>
  <si>
    <t>0453 361 469</t>
  </si>
  <si>
    <t>Richmond</t>
  </si>
  <si>
    <t>3121</t>
  </si>
  <si>
    <t>noah.white254@example.com</t>
  </si>
  <si>
    <t>0454 398 542</t>
  </si>
  <si>
    <t>Footscray</t>
  </si>
  <si>
    <t>3011</t>
  </si>
  <si>
    <t>oliver.white255@example.com</t>
  </si>
  <si>
    <t>0455 435 615</t>
  </si>
  <si>
    <t>lucas.white256@example.com</t>
  </si>
  <si>
    <t>0456 472 688</t>
  </si>
  <si>
    <t>henry.white257@example.com</t>
  </si>
  <si>
    <t>0457 509 761</t>
  </si>
  <si>
    <t>sophie.white258@example.com</t>
  </si>
  <si>
    <t>0458 546 834</t>
  </si>
  <si>
    <t>grace.white259@example.com</t>
  </si>
  <si>
    <t>0459 583 907</t>
  </si>
  <si>
    <t>jack.white260@example.com</t>
  </si>
  <si>
    <t>0460 620 980</t>
  </si>
  <si>
    <t>mason.white261@example.com</t>
  </si>
  <si>
    <t>0461 657 053</t>
  </si>
  <si>
    <t>emily.white262@example.com</t>
  </si>
  <si>
    <t>0462 694 126</t>
  </si>
  <si>
    <t>samuel.white263@example.com</t>
  </si>
  <si>
    <t>0463 731 199</t>
  </si>
  <si>
    <t>daniel.white264@example.com</t>
  </si>
  <si>
    <t>0464 768 272</t>
  </si>
  <si>
    <t>james.anderson265@example.com</t>
  </si>
  <si>
    <t>0465 805 345</t>
  </si>
  <si>
    <t>amelia.anderson266@example.com</t>
  </si>
  <si>
    <t>0466 842 418</t>
  </si>
  <si>
    <t>olivia.anderson267@example.com</t>
  </si>
  <si>
    <t>0467 879 491</t>
  </si>
  <si>
    <t>isla.anderson268@example.com</t>
  </si>
  <si>
    <t>0468 916 564</t>
  </si>
  <si>
    <t>henry.anderson269@example.com</t>
  </si>
  <si>
    <t>0469 953 637</t>
  </si>
  <si>
    <t>ethan.anderson270@example.com</t>
  </si>
  <si>
    <t>0470 990 710</t>
  </si>
  <si>
    <t>grace.anderson271@example.com</t>
  </si>
  <si>
    <t>0471 027 783</t>
  </si>
  <si>
    <t>ella.anderson272@example.com</t>
  </si>
  <si>
    <t>0472 064 856</t>
  </si>
  <si>
    <t>chloe.anderson273@example.com</t>
  </si>
  <si>
    <t>0473 101 929</t>
  </si>
  <si>
    <t>emily.anderson274@example.com</t>
  </si>
  <si>
    <t>0474 138 002</t>
  </si>
  <si>
    <t>samuel.anderson275@example.com</t>
  </si>
  <si>
    <t>0475 175 075</t>
  </si>
  <si>
    <t>zoe.anderson276@example.com</t>
  </si>
  <si>
    <t>0476 212 148</t>
  </si>
  <si>
    <t>james.thomas277@example.com</t>
  </si>
  <si>
    <t>0477 249 221</t>
  </si>
  <si>
    <t>amelia.thomas278@example.com</t>
  </si>
  <si>
    <t>0478 286 294</t>
  </si>
  <si>
    <t>oliver.thomas279@example.com</t>
  </si>
  <si>
    <t>0479 323 367</t>
  </si>
  <si>
    <t>isla.thomas280@example.com</t>
  </si>
  <si>
    <t>0480 360 440</t>
  </si>
  <si>
    <t>mia.thomas281@example.com</t>
  </si>
  <si>
    <t>0481 397 513</t>
  </si>
  <si>
    <t>sophie.thomas282@example.com</t>
  </si>
  <si>
    <t>0482 434 586</t>
  </si>
  <si>
    <t>grace.thomas283@example.com</t>
  </si>
  <si>
    <t>0483 471 659</t>
  </si>
  <si>
    <t>jack.thomas284@example.com</t>
  </si>
  <si>
    <t>0484 508 732</t>
  </si>
  <si>
    <t>chloe.thomas285@example.com</t>
  </si>
  <si>
    <t>0485 545 805</t>
  </si>
  <si>
    <t>william.thomas286@example.com</t>
  </si>
  <si>
    <t>0486 582 878</t>
  </si>
  <si>
    <t>samuel.thomas287@example.com</t>
  </si>
  <si>
    <t>0487 619 951</t>
  </si>
  <si>
    <t>daniel.thomas288@example.com</t>
  </si>
  <si>
    <t>0488 656 024</t>
  </si>
  <si>
    <t>james.smith289@example.com</t>
  </si>
  <si>
    <t>0489 693 097</t>
  </si>
  <si>
    <t>amelia.smith290@example.com</t>
  </si>
  <si>
    <t>0490 730 170</t>
  </si>
  <si>
    <t>oliver.smith291@example.com</t>
  </si>
  <si>
    <t>0491 767 243</t>
  </si>
  <si>
    <t>lucas.smith292@example.com</t>
  </si>
  <si>
    <t>0492 804 316</t>
  </si>
  <si>
    <t>henry.smith293@example.com</t>
  </si>
  <si>
    <t>0493 841 389</t>
  </si>
  <si>
    <t>sophie.smith294@example.com</t>
  </si>
  <si>
    <t>0494 878 462</t>
  </si>
  <si>
    <t>grace.smith295@example.com</t>
  </si>
  <si>
    <t>0495 915 535</t>
  </si>
  <si>
    <t>ella.smith296@example.com</t>
  </si>
  <si>
    <t>0496 952 608</t>
  </si>
  <si>
    <t>chloe.smith297@example.com</t>
  </si>
  <si>
    <t>0497 989 681</t>
  </si>
  <si>
    <t>william.smith298@example.com</t>
  </si>
  <si>
    <t>0498 026 754</t>
  </si>
  <si>
    <t>samuel.smith299@example.com</t>
  </si>
  <si>
    <t>0499 063 827</t>
  </si>
  <si>
    <t>zoe.smith300@example.com</t>
  </si>
  <si>
    <t>0400 100 900</t>
  </si>
  <si>
    <t>james.nguyen301@example.com</t>
  </si>
  <si>
    <t>0401 137 973</t>
  </si>
  <si>
    <t>noah.nguyen302@example.com</t>
  </si>
  <si>
    <t>0402 174 046</t>
  </si>
  <si>
    <t>oliver.nguyen303@example.com</t>
  </si>
  <si>
    <t>0403 211 119</t>
  </si>
  <si>
    <t>isla.nguyen304@example.com</t>
  </si>
  <si>
    <t>0404 248 192</t>
  </si>
  <si>
    <t>mia.nguyen305@example.com</t>
  </si>
  <si>
    <t>0405 285 265</t>
  </si>
  <si>
    <t>ethan.nguyen306@example.com</t>
  </si>
  <si>
    <t>0406 322 338</t>
  </si>
  <si>
    <t>grace.nguyen307@example.com</t>
  </si>
  <si>
    <t>0407 359 411</t>
  </si>
  <si>
    <t>ella.nguyen308@example.com</t>
  </si>
  <si>
    <t>0408 396 484</t>
  </si>
  <si>
    <t>chloe.nguyen309@example.com</t>
  </si>
  <si>
    <t>0409 433 557</t>
  </si>
  <si>
    <t>emily.nguyen310@example.com</t>
  </si>
  <si>
    <t>0410 470 630</t>
  </si>
  <si>
    <t>ava.nguyen311@example.com</t>
  </si>
  <si>
    <t>0411 507 703</t>
  </si>
  <si>
    <t>daniel.nguyen312@example.com</t>
  </si>
  <si>
    <t>0412 544 776</t>
  </si>
  <si>
    <t>charlotte.patel313@example.com</t>
  </si>
  <si>
    <t>0413 581 849</t>
  </si>
  <si>
    <t>noah.patel314@example.com</t>
  </si>
  <si>
    <t>0414 618 922</t>
  </si>
  <si>
    <t>oliver.patel315@example.com</t>
  </si>
  <si>
    <t>0415 655 995</t>
  </si>
  <si>
    <t>isla.patel316@example.com</t>
  </si>
  <si>
    <t>0416 692 068</t>
  </si>
  <si>
    <t>henry.patel317@example.com</t>
  </si>
  <si>
    <t>0417 729 141</t>
  </si>
  <si>
    <t>ethan.patel318@example.com</t>
  </si>
  <si>
    <t>0418 766 214</t>
  </si>
  <si>
    <t>leo.patel319@example.com</t>
  </si>
  <si>
    <t>0419 803 287</t>
  </si>
  <si>
    <t>ella.patel320@example.com</t>
  </si>
  <si>
    <t>0420 840 360</t>
  </si>
  <si>
    <t>chloe.patel321@example.com</t>
  </si>
  <si>
    <t>0421 877 433</t>
  </si>
  <si>
    <t>william.patel322@example.com</t>
  </si>
  <si>
    <t>0422 914 506</t>
  </si>
  <si>
    <t>ava.patel323@example.com</t>
  </si>
  <si>
    <t>0423 951 579</t>
  </si>
  <si>
    <t>zoe.patel324@example.com</t>
  </si>
  <si>
    <t>0424 988 652</t>
  </si>
  <si>
    <t>charlotte.brown325@example.com</t>
  </si>
  <si>
    <t>0425 025 725</t>
  </si>
  <si>
    <t>amelia.brown326@example.com</t>
  </si>
  <si>
    <t>0426 062 798</t>
  </si>
  <si>
    <t>oliver.brown327@example.com</t>
  </si>
  <si>
    <t>0427 099 871</t>
  </si>
  <si>
    <t>lucas.brown328@example.com</t>
  </si>
  <si>
    <t>0428 136 944</t>
  </si>
  <si>
    <t>mia.brown329@example.com</t>
  </si>
  <si>
    <t>0429 173 017</t>
  </si>
  <si>
    <t>sophie.brown330@example.com</t>
  </si>
  <si>
    <t>0430 210 090</t>
  </si>
  <si>
    <t>leo.brown331@example.com</t>
  </si>
  <si>
    <t>0431 247 163</t>
  </si>
  <si>
    <t>jack.brown332@example.com</t>
  </si>
  <si>
    <t>0432 284 236</t>
  </si>
  <si>
    <t>chloe.brown333@example.com</t>
  </si>
  <si>
    <t>0433 321 309</t>
  </si>
  <si>
    <t>william.brown334@example.com</t>
  </si>
  <si>
    <t>0434 358 382</t>
  </si>
  <si>
    <t>ava.brown335@example.com</t>
  </si>
  <si>
    <t>0435 395 455</t>
  </si>
  <si>
    <t>zoe.brown336@example.com</t>
  </si>
  <si>
    <t>0436 432 528</t>
  </si>
  <si>
    <t>james.wilson337@example.com</t>
  </si>
  <si>
    <t>0437 469 601</t>
  </si>
  <si>
    <t>noah.wilson338@example.com</t>
  </si>
  <si>
    <t>0438 506 674</t>
  </si>
  <si>
    <t>olivia.wilson339@example.com</t>
  </si>
  <si>
    <t>0439 543 747</t>
  </si>
  <si>
    <t>isla.wilson340@example.com</t>
  </si>
  <si>
    <t>0440 580 820</t>
  </si>
  <si>
    <t>henry.wilson341@example.com</t>
  </si>
  <si>
    <t>0441 617 893</t>
  </si>
  <si>
    <t>sophie.wilson342@example.com</t>
  </si>
  <si>
    <t>0442 654 966</t>
  </si>
  <si>
    <t>leo.wilson343@example.com</t>
  </si>
  <si>
    <t>0443 691 039</t>
  </si>
  <si>
    <t>ella.wilson344@example.com</t>
  </si>
  <si>
    <t>0444 728 112</t>
  </si>
  <si>
    <t>mason.wilson345@example.com</t>
  </si>
  <si>
    <t>0445 765 185</t>
  </si>
  <si>
    <t>william.wilson346@example.com</t>
  </si>
  <si>
    <t>0446 802 258</t>
  </si>
  <si>
    <t>samuel.wilson347@example.com</t>
  </si>
  <si>
    <t>0447 839 331</t>
  </si>
  <si>
    <t>zoe.wilson348@example.com</t>
  </si>
  <si>
    <t>0448 876 404</t>
  </si>
  <si>
    <t>charlotte.taylor349@example.com</t>
  </si>
  <si>
    <t>0449 913 477</t>
  </si>
  <si>
    <t>noah.taylor350@example.com</t>
  </si>
  <si>
    <t>0450 950 550</t>
  </si>
  <si>
    <t>olivia.taylor351@example.com</t>
  </si>
  <si>
    <t>0451 987 623</t>
  </si>
  <si>
    <t>lucas.taylor352@example.com</t>
  </si>
  <si>
    <t>0452 024 696</t>
  </si>
  <si>
    <t>henry.taylor353@example.com</t>
  </si>
  <si>
    <t>0453 061 769</t>
  </si>
  <si>
    <t>sophie.taylor354@example.com</t>
  </si>
  <si>
    <t>0454 098 842</t>
  </si>
  <si>
    <t>grace.taylor355@example.com</t>
  </si>
  <si>
    <t>0455 135 915</t>
  </si>
  <si>
    <t>jack.taylor356@example.com</t>
  </si>
  <si>
    <t>0456 172 988</t>
  </si>
  <si>
    <t>chloe.taylor357@example.com</t>
  </si>
  <si>
    <t>0457 209 061</t>
  </si>
  <si>
    <t>emily.taylor358@example.com</t>
  </si>
  <si>
    <t>0458 246 134</t>
  </si>
  <si>
    <t>samuel.taylor359@example.com</t>
  </si>
  <si>
    <t>0459 283 207</t>
  </si>
  <si>
    <t>daniel.taylor360@example.com</t>
  </si>
  <si>
    <t>0460 320 280</t>
  </si>
  <si>
    <t>charlotte.johnson361@example.com</t>
  </si>
  <si>
    <t>0461 357 353</t>
  </si>
  <si>
    <t>noah.johnson362@example.com</t>
  </si>
  <si>
    <t>0462 394 426</t>
  </si>
  <si>
    <t>oliver.johnson363@example.com</t>
  </si>
  <si>
    <t>0463 431 499</t>
  </si>
  <si>
    <t>isla.johnson364@example.com</t>
  </si>
  <si>
    <t>0464 468 572</t>
  </si>
  <si>
    <t>henry.johnson365@example.com</t>
  </si>
  <si>
    <t>0465 505 645</t>
  </si>
  <si>
    <t>ethan.johnson366@example.com</t>
  </si>
  <si>
    <t>0466 542 718</t>
  </si>
  <si>
    <t>grace.johnson367@example.com</t>
  </si>
  <si>
    <t>0467 579 791</t>
  </si>
  <si>
    <t>ella.johnson368@example.com</t>
  </si>
  <si>
    <t>0468 616 864</t>
  </si>
  <si>
    <t>mason.johnson369@example.com</t>
  </si>
  <si>
    <t>0469 653 937</t>
  </si>
  <si>
    <t>william.johnson370@example.com</t>
  </si>
  <si>
    <t>0470 690 010</t>
  </si>
  <si>
    <t>ava.johnson371@example.com</t>
  </si>
  <si>
    <t>0471 727 083</t>
  </si>
  <si>
    <t>zoe.johnson372@example.com</t>
  </si>
  <si>
    <t>0472 764 156</t>
  </si>
  <si>
    <t>charlotte.lee373@example.com</t>
  </si>
  <si>
    <t>0473 801 229</t>
  </si>
  <si>
    <t>amelia.lee374@example.com</t>
  </si>
  <si>
    <t>0474 838 302</t>
  </si>
  <si>
    <t>oliver.lee375@example.com</t>
  </si>
  <si>
    <t>0475 875 375</t>
  </si>
  <si>
    <t>isla.lee376@example.com</t>
  </si>
  <si>
    <t>0476 912 448</t>
  </si>
  <si>
    <t>mia.lee377@example.com</t>
  </si>
  <si>
    <t>0477 949 521</t>
  </si>
  <si>
    <t>ethan.lee378@example.com</t>
  </si>
  <si>
    <t>0478 986 594</t>
  </si>
  <si>
    <t>grace.lee379@example.com</t>
  </si>
  <si>
    <t>0479 023 667</t>
  </si>
  <si>
    <t>jack.lee380@example.com</t>
  </si>
  <si>
    <t>0480 060 740</t>
  </si>
  <si>
    <t>chloe.lee381@example.com</t>
  </si>
  <si>
    <t>0481 097 813</t>
  </si>
  <si>
    <t>emily.lee382@example.com</t>
  </si>
  <si>
    <t>0482 134 886</t>
  </si>
  <si>
    <t>ava.lee383@example.com</t>
  </si>
  <si>
    <t>0483 171 959</t>
  </si>
  <si>
    <t>daniel.lee384@example.com</t>
  </si>
  <si>
    <t>0484 208 032</t>
  </si>
  <si>
    <t>james.martin385@example.com</t>
  </si>
  <si>
    <t>0485 245 105</t>
  </si>
  <si>
    <t>amelia.martin386@example.com</t>
  </si>
  <si>
    <t>0486 282 178</t>
  </si>
  <si>
    <t>oliver.martin387@example.com</t>
  </si>
  <si>
    <t>0487 319 251</t>
  </si>
  <si>
    <t>lucas.martin388@example.com</t>
  </si>
  <si>
    <t>0488 356 324</t>
  </si>
  <si>
    <t>henry.martin389@example.com</t>
  </si>
  <si>
    <t>0489 393 397</t>
  </si>
  <si>
    <t>ethan.martin390@example.com</t>
  </si>
  <si>
    <t>0490 430 470</t>
  </si>
  <si>
    <t>leo.martin391@example.com</t>
  </si>
  <si>
    <t>0491 467 543</t>
  </si>
  <si>
    <t>jack.martin392@example.com</t>
  </si>
  <si>
    <t>0492 504 616</t>
  </si>
  <si>
    <t>chloe.martin393@example.com</t>
  </si>
  <si>
    <t>0493 541 689</t>
  </si>
  <si>
    <t>emily.martin394@example.com</t>
  </si>
  <si>
    <t>0494 578 762</t>
  </si>
  <si>
    <t>samuel.martin395@example.com</t>
  </si>
  <si>
    <t>0495 615 835</t>
  </si>
  <si>
    <t>zoe.martin396@example.com</t>
  </si>
  <si>
    <t>0496 652 908</t>
  </si>
  <si>
    <t>charlotte.white397@example.com</t>
  </si>
  <si>
    <t>0497 689 981</t>
  </si>
  <si>
    <t>amelia.white398@example.com</t>
  </si>
  <si>
    <t>0498 726 054</t>
  </si>
  <si>
    <t>olivia.white399@example.com</t>
  </si>
  <si>
    <t>0499 763 127</t>
  </si>
  <si>
    <t>lucas.white400@example.com</t>
  </si>
  <si>
    <t>0400 800 200</t>
  </si>
  <si>
    <t>mia.white401@example.com</t>
  </si>
  <si>
    <t>0401 837 273</t>
  </si>
  <si>
    <t>sophie.white402@example.com</t>
  </si>
  <si>
    <t>0402 874 346</t>
  </si>
  <si>
    <t>leo.white403@example.com</t>
  </si>
  <si>
    <t>0403 911 419</t>
  </si>
  <si>
    <t>jack.white404@example.com</t>
  </si>
  <si>
    <t>0404 948 492</t>
  </si>
  <si>
    <t>chloe.white405@example.com</t>
  </si>
  <si>
    <t>0405 985 565</t>
  </si>
  <si>
    <t>emily.white406@example.com</t>
  </si>
  <si>
    <t>0406 022 638</t>
  </si>
  <si>
    <t>ava.white407@example.com</t>
  </si>
  <si>
    <t>0407 059 711</t>
  </si>
  <si>
    <t>zoe.white408@example.com</t>
  </si>
  <si>
    <t>0408 096 784</t>
  </si>
  <si>
    <t>charlotte.anderson409@example.com</t>
  </si>
  <si>
    <t>0409 133 857</t>
  </si>
  <si>
    <t>amelia.anderson410@example.com</t>
  </si>
  <si>
    <t>0410 170 930</t>
  </si>
  <si>
    <t>oliver.anderson411@example.com</t>
  </si>
  <si>
    <t>0411 207 003</t>
  </si>
  <si>
    <t>isla.anderson412@example.com</t>
  </si>
  <si>
    <t>0412 244 076</t>
  </si>
  <si>
    <t>mia.anderson413@example.com</t>
  </si>
  <si>
    <t>0413 281 149</t>
  </si>
  <si>
    <t>ethan.anderson414@example.com</t>
  </si>
  <si>
    <t>0414 318 222</t>
  </si>
  <si>
    <t>leo.anderson415@example.com</t>
  </si>
  <si>
    <t>0415 355 295</t>
  </si>
  <si>
    <t>jack.anderson416@example.com</t>
  </si>
  <si>
    <t>0416 392 368</t>
  </si>
  <si>
    <t>mason.anderson417@example.com</t>
  </si>
  <si>
    <t>0417 429 441</t>
  </si>
  <si>
    <t>emily.anderson418@example.com</t>
  </si>
  <si>
    <t>0418 466 514</t>
  </si>
  <si>
    <t>ava.anderson419@example.com</t>
  </si>
  <si>
    <t>0419 503 587</t>
  </si>
  <si>
    <t>zoe.anderson420@example.com</t>
  </si>
  <si>
    <t>0420 540 660</t>
  </si>
  <si>
    <t>charlotte.thomas421@example.com</t>
  </si>
  <si>
    <t>0421 577 733</t>
  </si>
  <si>
    <t>amelia.thomas422@example.com</t>
  </si>
  <si>
    <t>0422 614 806</t>
  </si>
  <si>
    <t>olivia.thomas423@example.com</t>
  </si>
  <si>
    <t>0423 651 879</t>
  </si>
  <si>
    <t>lucas.thomas424@example.com</t>
  </si>
  <si>
    <t>0424 688 952</t>
  </si>
  <si>
    <t>mia.thomas425@example.com</t>
  </si>
  <si>
    <t>0425 725 025</t>
  </si>
  <si>
    <t>ethan.thomas426@example.com</t>
  </si>
  <si>
    <t>0426 762 098</t>
  </si>
  <si>
    <t>leo.thomas427@example.com</t>
  </si>
  <si>
    <t>0427 799 171</t>
  </si>
  <si>
    <t>ella.thomas428@example.com</t>
  </si>
  <si>
    <t>0428 836 244</t>
  </si>
  <si>
    <t>mason.thomas429@example.com</t>
  </si>
  <si>
    <t>0429 873 317</t>
  </si>
  <si>
    <t>emily.thomas430@example.com</t>
  </si>
  <si>
    <t>0430 910 390</t>
  </si>
  <si>
    <t>samuel.thomas431@example.com</t>
  </si>
  <si>
    <t>0431 947 463</t>
  </si>
  <si>
    <t>zoe.thomas432@example.com</t>
  </si>
  <si>
    <t>0432 984 536</t>
  </si>
  <si>
    <t>james.smith433@example.com</t>
  </si>
  <si>
    <t>0433 021 609</t>
  </si>
  <si>
    <t>amelia.smith434@example.com</t>
  </si>
  <si>
    <t>0434 058 682</t>
  </si>
  <si>
    <t>olivia.smith435@example.com</t>
  </si>
  <si>
    <t>0435 095 755</t>
  </si>
  <si>
    <t>isla.smith436@example.com</t>
  </si>
  <si>
    <t>0436 132 828</t>
  </si>
  <si>
    <t>mia.smith437@example.com</t>
  </si>
  <si>
    <t>0437 169 901</t>
  </si>
  <si>
    <t>sophie.smith438@example.com</t>
  </si>
  <si>
    <t>0438 206 974</t>
  </si>
  <si>
    <t>leo.smith439@example.com</t>
  </si>
  <si>
    <t>0439 243 047</t>
  </si>
  <si>
    <t>jack.smith440@example.com</t>
  </si>
  <si>
    <t>0440 280 120</t>
  </si>
  <si>
    <t>mason.smith441@example.com</t>
  </si>
  <si>
    <t>0441 317 193</t>
  </si>
  <si>
    <t>emily.smith442@example.com</t>
  </si>
  <si>
    <t>0442 354 266</t>
  </si>
  <si>
    <t>samuel.smith443@example.com</t>
  </si>
  <si>
    <t>0443 391 339</t>
  </si>
  <si>
    <t>zoe.smith444@example.com</t>
  </si>
  <si>
    <t>0444 428 412</t>
  </si>
  <si>
    <t>charlotte.nguyen445@example.com</t>
  </si>
  <si>
    <t>0445 465 485</t>
  </si>
  <si>
    <t>noah.nguyen446@example.com</t>
  </si>
  <si>
    <t>0446 502 558</t>
  </si>
  <si>
    <t>oliver.nguyen447@example.com</t>
  </si>
  <si>
    <t>0447 539 631</t>
  </si>
  <si>
    <t>isla.nguyen448@example.com</t>
  </si>
  <si>
    <t>0448 576 704</t>
  </si>
  <si>
    <t>henry.nguyen449@example.com</t>
  </si>
  <si>
    <t>0449 613 777</t>
  </si>
  <si>
    <t>sophie.nguyen450@example.com</t>
  </si>
  <si>
    <t>0450 650 850</t>
  </si>
  <si>
    <t>grace.nguyen451@example.com</t>
  </si>
  <si>
    <t>0451 687 923</t>
  </si>
  <si>
    <t>ella.nguyen452@example.com</t>
  </si>
  <si>
    <t>0452 724 996</t>
  </si>
  <si>
    <t>chloe.nguyen453@example.com</t>
  </si>
  <si>
    <t>0453 761 069</t>
  </si>
  <si>
    <t>emily.nguyen454@example.com</t>
  </si>
  <si>
    <t>0454 798 142</t>
  </si>
  <si>
    <t>samuel.nguyen455@example.com</t>
  </si>
  <si>
    <t>0455 835 215</t>
  </si>
  <si>
    <t>daniel.nguyen456@example.com</t>
  </si>
  <si>
    <t>0456 872 288</t>
  </si>
  <si>
    <t>charlotte.patel457@example.com</t>
  </si>
  <si>
    <t>0457 909 361</t>
  </si>
  <si>
    <t>amelia.patel458@example.com</t>
  </si>
  <si>
    <t>0458 946 434</t>
  </si>
  <si>
    <t>oliver.patel459@example.com</t>
  </si>
  <si>
    <t>0459 983 507</t>
  </si>
  <si>
    <t>lucas.patel460@example.com</t>
  </si>
  <si>
    <t>0460 020 580</t>
  </si>
  <si>
    <t>mia.patel461@example.com</t>
  </si>
  <si>
    <t>0461 057 653</t>
  </si>
  <si>
    <t>ethan.patel462@example.com</t>
  </si>
  <si>
    <t>0462 094 726</t>
  </si>
  <si>
    <t>grace.patel463@example.com</t>
  </si>
  <si>
    <t>0463 131 799</t>
  </si>
  <si>
    <t>jack.patel464@example.com</t>
  </si>
  <si>
    <t>0464 168 872</t>
  </si>
  <si>
    <t>chloe.patel465@example.com</t>
  </si>
  <si>
    <t>0465 205 945</t>
  </si>
  <si>
    <t>william.patel466@example.com</t>
  </si>
  <si>
    <t>0466 242 018</t>
  </si>
  <si>
    <t>ava.patel467@example.com</t>
  </si>
  <si>
    <t>0467 279 091</t>
  </si>
  <si>
    <t>daniel.patel468@example.com</t>
  </si>
  <si>
    <t>0468 316 164</t>
  </si>
  <si>
    <t>james.brown469@example.com</t>
  </si>
  <si>
    <t>0469 353 237</t>
  </si>
  <si>
    <t>amelia.brown470@example.com</t>
  </si>
  <si>
    <t>0470 390 310</t>
  </si>
  <si>
    <t>oliver.brown471@example.com</t>
  </si>
  <si>
    <t>0471 427 383</t>
  </si>
  <si>
    <t>isla.brown472@example.com</t>
  </si>
  <si>
    <t>0472 464 456</t>
  </si>
  <si>
    <t>henry.brown473@example.com</t>
  </si>
  <si>
    <t>0473 501 529</t>
  </si>
  <si>
    <t>sophie.brown474@example.com</t>
  </si>
  <si>
    <t>0474 538 602</t>
  </si>
  <si>
    <t>leo.brown475@example.com</t>
  </si>
  <si>
    <t>0475 575 675</t>
  </si>
  <si>
    <t>ella.brown476@example.com</t>
  </si>
  <si>
    <t>0476 612 748</t>
  </si>
  <si>
    <t>mason.brown477@example.com</t>
  </si>
  <si>
    <t>0477 649 821</t>
  </si>
  <si>
    <t>emily.brown478@example.com</t>
  </si>
  <si>
    <t>0478 686 894</t>
  </si>
  <si>
    <t>samuel.brown479@example.com</t>
  </si>
  <si>
    <t>0479 723 967</t>
  </si>
  <si>
    <t>zoe.brown480@example.com</t>
  </si>
  <si>
    <t>0480 760 040</t>
  </si>
  <si>
    <t>charlotte.wilson481@example.com</t>
  </si>
  <si>
    <t>0481 797 113</t>
  </si>
  <si>
    <t>amelia.wilson482@example.com</t>
  </si>
  <si>
    <t>0482 834 186</t>
  </si>
  <si>
    <t>oliver.wilson483@example.com</t>
  </si>
  <si>
    <t>0483 871 259</t>
  </si>
  <si>
    <t>isla.wilson484@example.com</t>
  </si>
  <si>
    <t>0484 908 332</t>
  </si>
  <si>
    <t>henry.wilson485@example.com</t>
  </si>
  <si>
    <t>0485 945 405</t>
  </si>
  <si>
    <t>sophie.wilson486@example.com</t>
  </si>
  <si>
    <t>0486 982 478</t>
  </si>
  <si>
    <t>leo.wilson487@example.com</t>
  </si>
  <si>
    <t>0487 019 551</t>
  </si>
  <si>
    <t>ella.wilson488@example.com</t>
  </si>
  <si>
    <t>0488 056 624</t>
  </si>
  <si>
    <t>mason.wilson489@example.com</t>
  </si>
  <si>
    <t>0489 093 697</t>
  </si>
  <si>
    <t>william.wilson490@example.com</t>
  </si>
  <si>
    <t>0490 130 770</t>
  </si>
  <si>
    <t>ava.wilson491@example.com</t>
  </si>
  <si>
    <t>0491 167 843</t>
  </si>
  <si>
    <t>daniel.wilson492@example.com</t>
  </si>
  <si>
    <t>0492 204 916</t>
  </si>
  <si>
    <t>james.taylor493@example.com</t>
  </si>
  <si>
    <t>0493 241 989</t>
  </si>
  <si>
    <t>amelia.taylor494@example.com</t>
  </si>
  <si>
    <t>0494 278 062</t>
  </si>
  <si>
    <t>oliver.taylor495@example.com</t>
  </si>
  <si>
    <t>0495 315 135</t>
  </si>
  <si>
    <t>lucas.taylor496@example.com</t>
  </si>
  <si>
    <t>0496 352 208</t>
  </si>
  <si>
    <t>henry.taylor497@example.com</t>
  </si>
  <si>
    <t>0497 389 281</t>
  </si>
  <si>
    <t>sophie.taylor498@example.com</t>
  </si>
  <si>
    <t>0498 426 354</t>
  </si>
  <si>
    <t>leo.taylor499@example.com</t>
  </si>
  <si>
    <t>0499 463 427</t>
  </si>
  <si>
    <t>ella.taylor500@example.com</t>
  </si>
  <si>
    <t>0400 500 500</t>
  </si>
  <si>
    <t>mason.taylor501@example.com</t>
  </si>
  <si>
    <t>0401 537 573</t>
  </si>
  <si>
    <t>Fortitude Valley</t>
  </si>
  <si>
    <t>QLD</t>
  </si>
  <si>
    <t>4006</t>
  </si>
  <si>
    <t>william.taylor502@example.com</t>
  </si>
  <si>
    <t>0402 574 646</t>
  </si>
  <si>
    <t>South Brisbane</t>
  </si>
  <si>
    <t>4101</t>
  </si>
  <si>
    <t>samuel.taylor503@example.com</t>
  </si>
  <si>
    <t>0403 611 719</t>
  </si>
  <si>
    <t>Chermside</t>
  </si>
  <si>
    <t>4032</t>
  </si>
  <si>
    <t>zoe.taylor504@example.com</t>
  </si>
  <si>
    <t>0404 648 792</t>
  </si>
  <si>
    <t>Indooroopilly</t>
  </si>
  <si>
    <t>4068</t>
  </si>
  <si>
    <t>james.johnson505@example.com</t>
  </si>
  <si>
    <t>0405 685 865</t>
  </si>
  <si>
    <t>noah.johnson506@example.com</t>
  </si>
  <si>
    <t>0406 722 938</t>
  </si>
  <si>
    <t>olivia.johnson507@example.com</t>
  </si>
  <si>
    <t>0407 759 011</t>
  </si>
  <si>
    <t>lucas.johnson508@example.com</t>
  </si>
  <si>
    <t>0408 796 084</t>
  </si>
  <si>
    <t>mia.johnson509@example.com</t>
  </si>
  <si>
    <t>0409 833 157</t>
  </si>
  <si>
    <t>sophie.johnson510@example.com</t>
  </si>
  <si>
    <t>0410 870 230</t>
  </si>
  <si>
    <t>leo.johnson511@example.com</t>
  </si>
  <si>
    <t>0411 907 303</t>
  </si>
  <si>
    <t>ella.johnson512@example.com</t>
  </si>
  <si>
    <t>0412 944 376</t>
  </si>
  <si>
    <t>mason.johnson513@example.com</t>
  </si>
  <si>
    <t>0413 981 449</t>
  </si>
  <si>
    <t>emily.johnson514@example.com</t>
  </si>
  <si>
    <t>0414 018 522</t>
  </si>
  <si>
    <t>ava.johnson515@example.com</t>
  </si>
  <si>
    <t>0415 055 595</t>
  </si>
  <si>
    <t>daniel.johnson516@example.com</t>
  </si>
  <si>
    <t>0416 092 668</t>
  </si>
  <si>
    <t>charlotte.lee517@example.com</t>
  </si>
  <si>
    <t>0417 129 741</t>
  </si>
  <si>
    <t>amelia.lee518@example.com</t>
  </si>
  <si>
    <t>0418 166 814</t>
  </si>
  <si>
    <t>olivia.lee519@example.com</t>
  </si>
  <si>
    <t>0419 203 887</t>
  </si>
  <si>
    <t>isla.lee520@example.com</t>
  </si>
  <si>
    <t>0420 240 960</t>
  </si>
  <si>
    <t>mia.lee521@example.com</t>
  </si>
  <si>
    <t>0421 277 033</t>
  </si>
  <si>
    <t>ethan.lee522@example.com</t>
  </si>
  <si>
    <t>0422 314 106</t>
  </si>
  <si>
    <t>grace.lee523@example.com</t>
  </si>
  <si>
    <t>0423 351 179</t>
  </si>
  <si>
    <t>jack.lee524@example.com</t>
  </si>
  <si>
    <t>0424 388 252</t>
  </si>
  <si>
    <t>chloe.lee525@example.com</t>
  </si>
  <si>
    <t>0425 425 325</t>
  </si>
  <si>
    <t>william.lee526@example.com</t>
  </si>
  <si>
    <t>0426 462 398</t>
  </si>
  <si>
    <t>samuel.lee527@example.com</t>
  </si>
  <si>
    <t>0427 499 471</t>
  </si>
  <si>
    <t>zoe.lee528@example.com</t>
  </si>
  <si>
    <t>0428 536 544</t>
  </si>
  <si>
    <t>charlotte.martin529@example.com</t>
  </si>
  <si>
    <t>0429 573 617</t>
  </si>
  <si>
    <t>amelia.martin530@example.com</t>
  </si>
  <si>
    <t>0430 610 690</t>
  </si>
  <si>
    <t>oliver.martin531@example.com</t>
  </si>
  <si>
    <t>0431 647 763</t>
  </si>
  <si>
    <t>isla.martin532@example.com</t>
  </si>
  <si>
    <t>0432 684 836</t>
  </si>
  <si>
    <t>henry.martin533@example.com</t>
  </si>
  <si>
    <t>0433 721 909</t>
  </si>
  <si>
    <t>ethan.martin534@example.com</t>
  </si>
  <si>
    <t>0434 758 982</t>
  </si>
  <si>
    <t>leo.martin535@example.com</t>
  </si>
  <si>
    <t>0435 795 055</t>
  </si>
  <si>
    <t>ella.martin536@example.com</t>
  </si>
  <si>
    <t>0436 832 128</t>
  </si>
  <si>
    <t>chloe.martin537@example.com</t>
  </si>
  <si>
    <t>0437 869 201</t>
  </si>
  <si>
    <t>william.martin538@example.com</t>
  </si>
  <si>
    <t>0438 906 274</t>
  </si>
  <si>
    <t>samuel.martin539@example.com</t>
  </si>
  <si>
    <t>0439 943 347</t>
  </si>
  <si>
    <t>zoe.martin540@example.com</t>
  </si>
  <si>
    <t>0440 980 420</t>
  </si>
  <si>
    <t>james.white541@example.com</t>
  </si>
  <si>
    <t>0441 017 493</t>
  </si>
  <si>
    <t>amelia.white542@example.com</t>
  </si>
  <si>
    <t>0442 054 566</t>
  </si>
  <si>
    <t>oliver.white543@example.com</t>
  </si>
  <si>
    <t>0443 091 639</t>
  </si>
  <si>
    <t>isla.white544@example.com</t>
  </si>
  <si>
    <t>0444 128 712</t>
  </si>
  <si>
    <t>henry.white545@example.com</t>
  </si>
  <si>
    <t>0445 165 785</t>
  </si>
  <si>
    <t>sophie.white546@example.com</t>
  </si>
  <si>
    <t>0446 202 858</t>
  </si>
  <si>
    <t>leo.white547@example.com</t>
  </si>
  <si>
    <t>0447 239 931</t>
  </si>
  <si>
    <t>ella.white548@example.com</t>
  </si>
  <si>
    <t>0448 276 004</t>
  </si>
  <si>
    <t>chloe.white549@example.com</t>
  </si>
  <si>
    <t>0449 313 077</t>
  </si>
  <si>
    <t>william.white550@example.com</t>
  </si>
  <si>
    <t>0450 350 150</t>
  </si>
  <si>
    <t>samuel.white551@example.com</t>
  </si>
  <si>
    <t>0451 387 223</t>
  </si>
  <si>
    <t>zoe.white552@example.com</t>
  </si>
  <si>
    <t>0452 424 296</t>
  </si>
  <si>
    <t>james.anderson553@example.com</t>
  </si>
  <si>
    <t>0453 461 369</t>
  </si>
  <si>
    <t>amelia.anderson554@example.com</t>
  </si>
  <si>
    <t>0454 498 442</t>
  </si>
  <si>
    <t>oliver.anderson555@example.com</t>
  </si>
  <si>
    <t>0455 535 515</t>
  </si>
  <si>
    <t>isla.anderson556@example.com</t>
  </si>
  <si>
    <t>0456 572 588</t>
  </si>
  <si>
    <t>mia.anderson557@example.com</t>
  </si>
  <si>
    <t>0457 609 661</t>
  </si>
  <si>
    <t>sophie.anderson558@example.com</t>
  </si>
  <si>
    <t>0458 646 734</t>
  </si>
  <si>
    <t>grace.anderson559@example.com</t>
  </si>
  <si>
    <t>0459 683 807</t>
  </si>
  <si>
    <t>ella.anderson560@example.com</t>
  </si>
  <si>
    <t>0460 720 880</t>
  </si>
  <si>
    <t>chloe.anderson561@example.com</t>
  </si>
  <si>
    <t>0461 757 953</t>
  </si>
  <si>
    <t>william.anderson562@example.com</t>
  </si>
  <si>
    <t>0462 794 026</t>
  </si>
  <si>
    <t>samuel.anderson563@example.com</t>
  </si>
  <si>
    <t>0463 831 099</t>
  </si>
  <si>
    <t>daniel.anderson564@example.com</t>
  </si>
  <si>
    <t>0464 868 172</t>
  </si>
  <si>
    <t>charlotte.thomas565@example.com</t>
  </si>
  <si>
    <t>0465 905 245</t>
  </si>
  <si>
    <t>amelia.thomas566@example.com</t>
  </si>
  <si>
    <t>0466 942 318</t>
  </si>
  <si>
    <t>olivia.thomas567@example.com</t>
  </si>
  <si>
    <t>0467 979 391</t>
  </si>
  <si>
    <t>isla.thomas568@example.com</t>
  </si>
  <si>
    <t>0468 016 464</t>
  </si>
  <si>
    <t>henry.thomas569@example.com</t>
  </si>
  <si>
    <t>0469 053 537</t>
  </si>
  <si>
    <t>ethan.thomas570@example.com</t>
  </si>
  <si>
    <t>0470 090 610</t>
  </si>
  <si>
    <t>grace.thomas571@example.com</t>
  </si>
  <si>
    <t>0471 127 683</t>
  </si>
  <si>
    <t>jack.thomas572@example.com</t>
  </si>
  <si>
    <t>0472 164 756</t>
  </si>
  <si>
    <t>mason.thomas573@example.com</t>
  </si>
  <si>
    <t>0473 201 829</t>
  </si>
  <si>
    <t>emily.thomas574@example.com</t>
  </si>
  <si>
    <t>0474 238 902</t>
  </si>
  <si>
    <t>samuel.thomas575@example.com</t>
  </si>
  <si>
    <t>0475 275 975</t>
  </si>
  <si>
    <t>zoe.thomas576@example.com</t>
  </si>
  <si>
    <t>0476 312 048</t>
  </si>
  <si>
    <t>james.smith577@example.com</t>
  </si>
  <si>
    <t>0477 349 121</t>
  </si>
  <si>
    <t>amelia.smith578@example.com</t>
  </si>
  <si>
    <t>0478 386 194</t>
  </si>
  <si>
    <t>olivia.smith579@example.com</t>
  </si>
  <si>
    <t>0479 423 267</t>
  </si>
  <si>
    <t>isla.smith580@example.com</t>
  </si>
  <si>
    <t>0480 460 340</t>
  </si>
  <si>
    <t>mia.smith581@example.com</t>
  </si>
  <si>
    <t>0481 497 413</t>
  </si>
  <si>
    <t>ethan.smith582@example.com</t>
  </si>
  <si>
    <t>0482 534 486</t>
  </si>
  <si>
    <t>grace.smith583@example.com</t>
  </si>
  <si>
    <t>0483 571 559</t>
  </si>
  <si>
    <t>ella.smith584@example.com</t>
  </si>
  <si>
    <t>0484 608 632</t>
  </si>
  <si>
    <t>chloe.smith585@example.com</t>
  </si>
  <si>
    <t>0485 645 705</t>
  </si>
  <si>
    <t>william.smith586@example.com</t>
  </si>
  <si>
    <t>0486 682 778</t>
  </si>
  <si>
    <t>ava.smith587@example.com</t>
  </si>
  <si>
    <t>0487 719 851</t>
  </si>
  <si>
    <t>daniel.smith588@example.com</t>
  </si>
  <si>
    <t>0488 756 924</t>
  </si>
  <si>
    <t>charlotte.nguyen589@example.com</t>
  </si>
  <si>
    <t>0489 793 997</t>
  </si>
  <si>
    <t>noah.nguyen590@example.com</t>
  </si>
  <si>
    <t>0490 830 070</t>
  </si>
  <si>
    <t>oliver.nguyen591@example.com</t>
  </si>
  <si>
    <t>0491 867 143</t>
  </si>
  <si>
    <t>isla.nguyen592@example.com</t>
  </si>
  <si>
    <t>0492 904 216</t>
  </si>
  <si>
    <t>henry.nguyen593@example.com</t>
  </si>
  <si>
    <t>0493 941 289</t>
  </si>
  <si>
    <t>sophie.nguyen594@example.com</t>
  </si>
  <si>
    <t>0494 978 362</t>
  </si>
  <si>
    <t>grace.nguyen595@example.com</t>
  </si>
  <si>
    <t>0495 015 435</t>
  </si>
  <si>
    <t>ella.nguyen596@example.com</t>
  </si>
  <si>
    <t>0496 052 508</t>
  </si>
  <si>
    <t>mason.nguyen597@example.com</t>
  </si>
  <si>
    <t>0497 089 581</t>
  </si>
  <si>
    <t>william.nguyen598@example.com</t>
  </si>
  <si>
    <t>0498 126 654</t>
  </si>
  <si>
    <t>ava.nguyen599@example.com</t>
  </si>
  <si>
    <t>0499 163 727</t>
  </si>
  <si>
    <t>zoe.nguyen600@example.com</t>
  </si>
  <si>
    <t>0400 200 800</t>
  </si>
  <si>
    <t>james.patel601@example.com</t>
  </si>
  <si>
    <t>0401 237 873</t>
  </si>
  <si>
    <t>amelia.patel602@example.com</t>
  </si>
  <si>
    <t>0402 274 946</t>
  </si>
  <si>
    <t>olivia.patel603@example.com</t>
  </si>
  <si>
    <t>0403 311 019</t>
  </si>
  <si>
    <t>isla.patel604@example.com</t>
  </si>
  <si>
    <t>0404 348 092</t>
  </si>
  <si>
    <t>henry.patel605@example.com</t>
  </si>
  <si>
    <t>0405 385 165</t>
  </si>
  <si>
    <t>ethan.patel606@example.com</t>
  </si>
  <si>
    <t>0406 422 238</t>
  </si>
  <si>
    <t>leo.patel607@example.com</t>
  </si>
  <si>
    <t>0407 459 311</t>
  </si>
  <si>
    <t>ella.patel608@example.com</t>
  </si>
  <si>
    <t>0408 496 384</t>
  </si>
  <si>
    <t>chloe.patel609@example.com</t>
  </si>
  <si>
    <t>0409 533 457</t>
  </si>
  <si>
    <t>emily.patel610@example.com</t>
  </si>
  <si>
    <t>0410 570 530</t>
  </si>
  <si>
    <t>samuel.patel611@example.com</t>
  </si>
  <si>
    <t>0411 607 603</t>
  </si>
  <si>
    <t>zoe.patel612@example.com</t>
  </si>
  <si>
    <t>0412 644 676</t>
  </si>
  <si>
    <t>charlotte.brown613@example.com</t>
  </si>
  <si>
    <t>0413 681 749</t>
  </si>
  <si>
    <t>amelia.brown614@example.com</t>
  </si>
  <si>
    <t>0414 718 822</t>
  </si>
  <si>
    <t>olivia.brown615@example.com</t>
  </si>
  <si>
    <t>0415 755 895</t>
  </si>
  <si>
    <t>lucas.brown616@example.com</t>
  </si>
  <si>
    <t>0416 792 968</t>
  </si>
  <si>
    <t>henry.brown617@example.com</t>
  </si>
  <si>
    <t>0417 829 041</t>
  </si>
  <si>
    <t>sophie.brown618@example.com</t>
  </si>
  <si>
    <t>0418 866 114</t>
  </si>
  <si>
    <t>leo.brown619@example.com</t>
  </si>
  <si>
    <t>0419 903 187</t>
  </si>
  <si>
    <t>jack.brown620@example.com</t>
  </si>
  <si>
    <t>0420 940 260</t>
  </si>
  <si>
    <t>chloe.brown621@example.com</t>
  </si>
  <si>
    <t>0421 977 333</t>
  </si>
  <si>
    <t>emily.brown622@example.com</t>
  </si>
  <si>
    <t>0422 014 406</t>
  </si>
  <si>
    <t>samuel.brown623@example.com</t>
  </si>
  <si>
    <t>0423 051 479</t>
  </si>
  <si>
    <t>zoe.brown624@example.com</t>
  </si>
  <si>
    <t>0424 088 552</t>
  </si>
  <si>
    <t>james.wilson625@example.com</t>
  </si>
  <si>
    <t>0425 125 625</t>
  </si>
  <si>
    <t>amelia.wilson626@example.com</t>
  </si>
  <si>
    <t>0426 162 698</t>
  </si>
  <si>
    <t>oliver.wilson627@example.com</t>
  </si>
  <si>
    <t>0427 199 771</t>
  </si>
  <si>
    <t>isla.wilson628@example.com</t>
  </si>
  <si>
    <t>0428 236 844</t>
  </si>
  <si>
    <t>henry.wilson629@example.com</t>
  </si>
  <si>
    <t>0429 273 917</t>
  </si>
  <si>
    <t>ethan.wilson630@example.com</t>
  </si>
  <si>
    <t>0430 310 990</t>
  </si>
  <si>
    <t>leo.wilson631@example.com</t>
  </si>
  <si>
    <t>0431 347 063</t>
  </si>
  <si>
    <t>ella.wilson632@example.com</t>
  </si>
  <si>
    <t>0432 384 136</t>
  </si>
  <si>
    <t>mason.wilson633@example.com</t>
  </si>
  <si>
    <t>0433 421 209</t>
  </si>
  <si>
    <t>william.wilson634@example.com</t>
  </si>
  <si>
    <t>0434 458 282</t>
  </si>
  <si>
    <t>ava.wilson635@example.com</t>
  </si>
  <si>
    <t>0435 495 355</t>
  </si>
  <si>
    <t>zoe.wilson636@example.com</t>
  </si>
  <si>
    <t>0436 532 428</t>
  </si>
  <si>
    <t>james.taylor637@example.com</t>
  </si>
  <si>
    <t>0437 569 501</t>
  </si>
  <si>
    <t>noah.taylor638@example.com</t>
  </si>
  <si>
    <t>0438 606 574</t>
  </si>
  <si>
    <t>olivia.taylor639@example.com</t>
  </si>
  <si>
    <t>0439 643 647</t>
  </si>
  <si>
    <t>isla.taylor640@example.com</t>
  </si>
  <si>
    <t>0440 680 720</t>
  </si>
  <si>
    <t>mia.taylor641@example.com</t>
  </si>
  <si>
    <t>0441 717 793</t>
  </si>
  <si>
    <t>sophie.taylor642@example.com</t>
  </si>
  <si>
    <t>0442 754 866</t>
  </si>
  <si>
    <t>grace.taylor643@example.com</t>
  </si>
  <si>
    <t>0443 791 939</t>
  </si>
  <si>
    <t>jack.taylor644@example.com</t>
  </si>
  <si>
    <t>0444 828 012</t>
  </si>
  <si>
    <t>chloe.taylor645@example.com</t>
  </si>
  <si>
    <t>0445 865 085</t>
  </si>
  <si>
    <t>william.taylor646@example.com</t>
  </si>
  <si>
    <t>0446 902 158</t>
  </si>
  <si>
    <t>samuel.taylor647@example.com</t>
  </si>
  <si>
    <t>0447 939 231</t>
  </si>
  <si>
    <t>daniel.taylor648@example.com</t>
  </si>
  <si>
    <t>0448 976 304</t>
  </si>
  <si>
    <t>charlotte.johnson649@example.com</t>
  </si>
  <si>
    <t>0449 013 377</t>
  </si>
  <si>
    <t>noah.johnson650@example.com</t>
  </si>
  <si>
    <t>0450 050 450</t>
  </si>
  <si>
    <t>oliver.johnson651@example.com</t>
  </si>
  <si>
    <t>0451 087 523</t>
  </si>
  <si>
    <t>isla.johnson652@example.com</t>
  </si>
  <si>
    <t>0452 124 596</t>
  </si>
  <si>
    <t>henry.johnson653@example.com</t>
  </si>
  <si>
    <t>0453 161 669</t>
  </si>
  <si>
    <t>ethan.johnson654@example.com</t>
  </si>
  <si>
    <t>0454 198 742</t>
  </si>
  <si>
    <t>grace.johnson655@example.com</t>
  </si>
  <si>
    <t>0455 235 815</t>
  </si>
  <si>
    <t>jack.johnson656@example.com</t>
  </si>
  <si>
    <t>0456 272 888</t>
  </si>
  <si>
    <t>mason.johnson657@example.com</t>
  </si>
  <si>
    <t>0457 309 961</t>
  </si>
  <si>
    <t>william.johnson658@example.com</t>
  </si>
  <si>
    <t>0458 346 034</t>
  </si>
  <si>
    <t>ava.johnson659@example.com</t>
  </si>
  <si>
    <t>0459 383 107</t>
  </si>
  <si>
    <t>zoe.johnson660@example.com</t>
  </si>
  <si>
    <t>0460 420 180</t>
  </si>
  <si>
    <t>charlotte.lee661@example.com</t>
  </si>
  <si>
    <t>0461 457 253</t>
  </si>
  <si>
    <t>noah.lee662@example.com</t>
  </si>
  <si>
    <t>0462 494 326</t>
  </si>
  <si>
    <t>oliver.lee663@example.com</t>
  </si>
  <si>
    <t>0463 531 399</t>
  </si>
  <si>
    <t>isla.lee664@example.com</t>
  </si>
  <si>
    <t>0464 568 472</t>
  </si>
  <si>
    <t>henry.lee665@example.com</t>
  </si>
  <si>
    <t>0465 605 545</t>
  </si>
  <si>
    <t>ethan.lee666@example.com</t>
  </si>
  <si>
    <t>0466 642 618</t>
  </si>
  <si>
    <t>grace.lee667@example.com</t>
  </si>
  <si>
    <t>0467 679 691</t>
  </si>
  <si>
    <t>ella.lee668@example.com</t>
  </si>
  <si>
    <t>0468 716 764</t>
  </si>
  <si>
    <t>mason.lee669@example.com</t>
  </si>
  <si>
    <t>0469 753 837</t>
  </si>
  <si>
    <t>william.lee670@example.com</t>
  </si>
  <si>
    <t>0470 790 910</t>
  </si>
  <si>
    <t>samuel.lee671@example.com</t>
  </si>
  <si>
    <t>0471 827 983</t>
  </si>
  <si>
    <t>zoe.lee672@example.com</t>
  </si>
  <si>
    <t>0472 864 056</t>
  </si>
  <si>
    <t>charlotte.martin673@example.com</t>
  </si>
  <si>
    <t>0473 901 129</t>
  </si>
  <si>
    <t>amelia.martin674@example.com</t>
  </si>
  <si>
    <t>0474 938 202</t>
  </si>
  <si>
    <t>olivia.martin675@example.com</t>
  </si>
  <si>
    <t>0475 975 275</t>
  </si>
  <si>
    <t>lucas.martin676@example.com</t>
  </si>
  <si>
    <t>0476 012 348</t>
  </si>
  <si>
    <t>mia.martin677@example.com</t>
  </si>
  <si>
    <t>0477 049 421</t>
  </si>
  <si>
    <t>sophie.martin678@example.com</t>
  </si>
  <si>
    <t>0478 086 494</t>
  </si>
  <si>
    <t>grace.martin679@example.com</t>
  </si>
  <si>
    <t>0479 123 567</t>
  </si>
  <si>
    <t>ella.martin680@example.com</t>
  </si>
  <si>
    <t>0480 160 640</t>
  </si>
  <si>
    <t>chloe.martin681@example.com</t>
  </si>
  <si>
    <t>0481 197 713</t>
  </si>
  <si>
    <t>william.martin682@example.com</t>
  </si>
  <si>
    <t>0482 234 786</t>
  </si>
  <si>
    <t>samuel.martin683@example.com</t>
  </si>
  <si>
    <t>0483 271 859</t>
  </si>
  <si>
    <t>zoe.martin684@example.com</t>
  </si>
  <si>
    <t>0484 308 932</t>
  </si>
  <si>
    <t>james.white685@example.com</t>
  </si>
  <si>
    <t>0485 345 005</t>
  </si>
  <si>
    <t>amelia.white686@example.com</t>
  </si>
  <si>
    <t>0486 382 078</t>
  </si>
  <si>
    <t>olivia.white687@example.com</t>
  </si>
  <si>
    <t>0487 419 151</t>
  </si>
  <si>
    <t>lucas.white688@example.com</t>
  </si>
  <si>
    <t>0488 456 224</t>
  </si>
  <si>
    <t>henry.white689@example.com</t>
  </si>
  <si>
    <t>0489 493 297</t>
  </si>
  <si>
    <t>sophie.white690@example.com</t>
  </si>
  <si>
    <t>0490 530 370</t>
  </si>
  <si>
    <t>grace.white691@example.com</t>
  </si>
  <si>
    <t>0491 567 443</t>
  </si>
  <si>
    <t>ella.white692@example.com</t>
  </si>
  <si>
    <t>0492 604 516</t>
  </si>
  <si>
    <t>mason.white693@example.com</t>
  </si>
  <si>
    <t>0493 641 589</t>
  </si>
  <si>
    <t>emily.white694@example.com</t>
  </si>
  <si>
    <t>0494 678 662</t>
  </si>
  <si>
    <t>ava.white695@example.com</t>
  </si>
  <si>
    <t>0495 715 735</t>
  </si>
  <si>
    <t>zoe.white696@example.com</t>
  </si>
  <si>
    <t>0496 752 808</t>
  </si>
  <si>
    <t>james.anderson697@example.com</t>
  </si>
  <si>
    <t>0497 789 881</t>
  </si>
  <si>
    <t>amelia.anderson698@example.com</t>
  </si>
  <si>
    <t>0498 826 954</t>
  </si>
  <si>
    <t>olivia.anderson699@example.com</t>
  </si>
  <si>
    <t>0499 863 027</t>
  </si>
  <si>
    <t>lucas.anderson700@example.com</t>
  </si>
  <si>
    <t>0400 900 100</t>
  </si>
  <si>
    <t>mia.anderson701@example.com</t>
  </si>
  <si>
    <t>0401 937 173</t>
  </si>
  <si>
    <t>sophie.anderson702@example.com</t>
  </si>
  <si>
    <t>0402 974 246</t>
  </si>
  <si>
    <t>leo.anderson703@example.com</t>
  </si>
  <si>
    <t>0403 011 319</t>
  </si>
  <si>
    <t>ella.anderson704@example.com</t>
  </si>
  <si>
    <t>0404 048 392</t>
  </si>
  <si>
    <t>mason.anderson705@example.com</t>
  </si>
  <si>
    <t>0405 085 465</t>
  </si>
  <si>
    <t>william.anderson706@example.com</t>
  </si>
  <si>
    <t>0406 122 538</t>
  </si>
  <si>
    <t>ava.anderson707@example.com</t>
  </si>
  <si>
    <t>0407 159 611</t>
  </si>
  <si>
    <t>zoe.anderson708@example.com</t>
  </si>
  <si>
    <t>0408 196 684</t>
  </si>
  <si>
    <t>charlotte.thomas709@example.com</t>
  </si>
  <si>
    <t>0409 233 757</t>
  </si>
  <si>
    <t>amelia.thomas710@example.com</t>
  </si>
  <si>
    <t>0410 270 830</t>
  </si>
  <si>
    <t>oliver.thomas711@example.com</t>
  </si>
  <si>
    <t>0411 307 903</t>
  </si>
  <si>
    <t>isla.thomas712@example.com</t>
  </si>
  <si>
    <t>0412 344 976</t>
  </si>
  <si>
    <t>henry.thomas713@example.com</t>
  </si>
  <si>
    <t>0413 381 049</t>
  </si>
  <si>
    <t>sophie.thomas714@example.com</t>
  </si>
  <si>
    <t>0414 418 122</t>
  </si>
  <si>
    <t>grace.thomas715@example.com</t>
  </si>
  <si>
    <t>0415 455 195</t>
  </si>
  <si>
    <t>ella.thomas716@example.com</t>
  </si>
  <si>
    <t>0416 492 268</t>
  </si>
  <si>
    <t>mason.thomas717@example.com</t>
  </si>
  <si>
    <t>0417 529 341</t>
  </si>
  <si>
    <t>emily.thomas718@example.com</t>
  </si>
  <si>
    <t>0418 566 414</t>
  </si>
  <si>
    <t>ava.thomas719@example.com</t>
  </si>
  <si>
    <t>0419 603 487</t>
  </si>
  <si>
    <t>zoe.thomas720@example.com</t>
  </si>
  <si>
    <t>0420 640 560</t>
  </si>
  <si>
    <t>charlotte.smith721@example.com</t>
  </si>
  <si>
    <t>0421 677 633</t>
  </si>
  <si>
    <t>noah.smith722@example.com</t>
  </si>
  <si>
    <t>0422 714 706</t>
  </si>
  <si>
    <t>olivia.smith723@example.com</t>
  </si>
  <si>
    <t>0423 751 779</t>
  </si>
  <si>
    <t>lucas.smith724@example.com</t>
  </si>
  <si>
    <t>0424 788 852</t>
  </si>
  <si>
    <t>henry.smith725@example.com</t>
  </si>
  <si>
    <t>0425 825 925</t>
  </si>
  <si>
    <t>ethan.smith726@example.com</t>
  </si>
  <si>
    <t>0426 862 998</t>
  </si>
  <si>
    <t>leo.smith727@example.com</t>
  </si>
  <si>
    <t>0427 899 071</t>
  </si>
  <si>
    <t>jack.smith728@example.com</t>
  </si>
  <si>
    <t>0428 936 144</t>
  </si>
  <si>
    <t>mason.smith729@example.com</t>
  </si>
  <si>
    <t>0429 973 217</t>
  </si>
  <si>
    <t>emily.smith730@example.com</t>
  </si>
  <si>
    <t>0430 010 290</t>
  </si>
  <si>
    <t>samuel.smith731@example.com</t>
  </si>
  <si>
    <t>0431 047 363</t>
  </si>
  <si>
    <t>daniel.smith732@example.com</t>
  </si>
  <si>
    <t>0432 084 436</t>
  </si>
  <si>
    <t>james.nguyen733@example.com</t>
  </si>
  <si>
    <t>0433 121 509</t>
  </si>
  <si>
    <t>amelia.nguyen734@example.com</t>
  </si>
  <si>
    <t>0434 158 582</t>
  </si>
  <si>
    <t>olivia.nguyen735@example.com</t>
  </si>
  <si>
    <t>0435 195 655</t>
  </si>
  <si>
    <t>lucas.nguyen736@example.com</t>
  </si>
  <si>
    <t>0436 232 728</t>
  </si>
  <si>
    <t>mia.nguyen737@example.com</t>
  </si>
  <si>
    <t>0437 269 801</t>
  </si>
  <si>
    <t>ethan.nguyen738@example.com</t>
  </si>
  <si>
    <t>0438 306 874</t>
  </si>
  <si>
    <t>leo.nguyen739@example.com</t>
  </si>
  <si>
    <t>0439 343 947</t>
  </si>
  <si>
    <t>ella.nguyen740@example.com</t>
  </si>
  <si>
    <t>0440 380 020</t>
  </si>
  <si>
    <t>mason.nguyen741@example.com</t>
  </si>
  <si>
    <t>0441 417 093</t>
  </si>
  <si>
    <t>emily.nguyen742@example.com</t>
  </si>
  <si>
    <t>0442 454 166</t>
  </si>
  <si>
    <t>ava.nguyen743@example.com</t>
  </si>
  <si>
    <t>0443 491 239</t>
  </si>
  <si>
    <t>daniel.nguyen744@example.com</t>
  </si>
  <si>
    <t>0444 528 312</t>
  </si>
  <si>
    <t>james.patel745@example.com</t>
  </si>
  <si>
    <t>0445 565 385</t>
  </si>
  <si>
    <t>amelia.patel746@example.com</t>
  </si>
  <si>
    <t>0446 602 458</t>
  </si>
  <si>
    <t>oliver.patel747@example.com</t>
  </si>
  <si>
    <t>0447 639 531</t>
  </si>
  <si>
    <t>lucas.patel748@example.com</t>
  </si>
  <si>
    <t>0448 676 604</t>
  </si>
  <si>
    <t>henry.patel749@example.com</t>
  </si>
  <si>
    <t>0449 713 677</t>
  </si>
  <si>
    <t>sophie.patel750@example.com</t>
  </si>
  <si>
    <t>0450 750 750</t>
  </si>
  <si>
    <t>grace.patel751@example.com</t>
  </si>
  <si>
    <t>0451 787 823</t>
  </si>
  <si>
    <t>Joondalup</t>
  </si>
  <si>
    <t>WA</t>
  </si>
  <si>
    <t>6027</t>
  </si>
  <si>
    <t>jack.patel752@example.com</t>
  </si>
  <si>
    <t>0452 824 896</t>
  </si>
  <si>
    <t>Victoria Park</t>
  </si>
  <si>
    <t>6100</t>
  </si>
  <si>
    <t>chloe.patel753@example.com</t>
  </si>
  <si>
    <t>0453 861 969</t>
  </si>
  <si>
    <t>Subiaco</t>
  </si>
  <si>
    <t>6008</t>
  </si>
  <si>
    <t>emily.patel754@example.com</t>
  </si>
  <si>
    <t>0454 898 042</t>
  </si>
  <si>
    <t>Fremantle</t>
  </si>
  <si>
    <t>6160</t>
  </si>
  <si>
    <t>ava.patel755@example.com</t>
  </si>
  <si>
    <t>0455 935 115</t>
  </si>
  <si>
    <t>zoe.patel756@example.com</t>
  </si>
  <si>
    <t>0456 972 188</t>
  </si>
  <si>
    <t>charlotte.brown757@example.com</t>
  </si>
  <si>
    <t>0457 009 261</t>
  </si>
  <si>
    <t>noah.brown758@example.com</t>
  </si>
  <si>
    <t>0458 046 334</t>
  </si>
  <si>
    <t>oliver.brown759@example.com</t>
  </si>
  <si>
    <t>0459 083 407</t>
  </si>
  <si>
    <t>lucas.brown760@example.com</t>
  </si>
  <si>
    <t>0460 120 480</t>
  </si>
  <si>
    <t>mia.brown761@example.com</t>
  </si>
  <si>
    <t>0461 157 553</t>
  </si>
  <si>
    <t>sophie.brown762@example.com</t>
  </si>
  <si>
    <t>0462 194 626</t>
  </si>
  <si>
    <t>leo.brown763@example.com</t>
  </si>
  <si>
    <t>0463 231 699</t>
  </si>
  <si>
    <t>ella.brown764@example.com</t>
  </si>
  <si>
    <t>0464 268 772</t>
  </si>
  <si>
    <t>mason.brown765@example.com</t>
  </si>
  <si>
    <t>0465 305 845</t>
  </si>
  <si>
    <t>william.brown766@example.com</t>
  </si>
  <si>
    <t>0466 342 918</t>
  </si>
  <si>
    <t>samuel.brown767@example.com</t>
  </si>
  <si>
    <t>0467 379 991</t>
  </si>
  <si>
    <t>zoe.brown768@example.com</t>
  </si>
  <si>
    <t>0468 416 064</t>
  </si>
  <si>
    <t>charlotte.wilson769@example.com</t>
  </si>
  <si>
    <t>0469 453 137</t>
  </si>
  <si>
    <t>noah.wilson770@example.com</t>
  </si>
  <si>
    <t>0470 490 210</t>
  </si>
  <si>
    <t>oliver.wilson771@example.com</t>
  </si>
  <si>
    <t>0471 527 283</t>
  </si>
  <si>
    <t>lucas.wilson772@example.com</t>
  </si>
  <si>
    <t>0472 564 356</t>
  </si>
  <si>
    <t>henry.wilson773@example.com</t>
  </si>
  <si>
    <t>0473 601 429</t>
  </si>
  <si>
    <t>sophie.wilson774@example.com</t>
  </si>
  <si>
    <t>0474 638 502</t>
  </si>
  <si>
    <t>grace.wilson775@example.com</t>
  </si>
  <si>
    <t>0475 675 575</t>
  </si>
  <si>
    <t>jack.wilson776@example.com</t>
  </si>
  <si>
    <t>0476 712 648</t>
  </si>
  <si>
    <t>mason.wilson777@example.com</t>
  </si>
  <si>
    <t>0477 749 721</t>
  </si>
  <si>
    <t>emily.wilson778@example.com</t>
  </si>
  <si>
    <t>0478 786 794</t>
  </si>
  <si>
    <t>ava.wilson779@example.com</t>
  </si>
  <si>
    <t>0479 823 867</t>
  </si>
  <si>
    <t>daniel.wilson780@example.com</t>
  </si>
  <si>
    <t>0480 860 940</t>
  </si>
  <si>
    <t>james.taylor781@example.com</t>
  </si>
  <si>
    <t>0481 897 013</t>
  </si>
  <si>
    <t>noah.taylor782@example.com</t>
  </si>
  <si>
    <t>0482 934 086</t>
  </si>
  <si>
    <t>olivia.taylor783@example.com</t>
  </si>
  <si>
    <t>0483 971 159</t>
  </si>
  <si>
    <t>isla.taylor784@example.com</t>
  </si>
  <si>
    <t>0484 008 232</t>
  </si>
  <si>
    <t>mia.taylor785@example.com</t>
  </si>
  <si>
    <t>0485 045 305</t>
  </si>
  <si>
    <t>ethan.taylor786@example.com</t>
  </si>
  <si>
    <t>0486 082 378</t>
  </si>
  <si>
    <t>leo.taylor787@example.com</t>
  </si>
  <si>
    <t>0487 119 451</t>
  </si>
  <si>
    <t>ella.taylor788@example.com</t>
  </si>
  <si>
    <t>0488 156 524</t>
  </si>
  <si>
    <t>chloe.taylor789@example.com</t>
  </si>
  <si>
    <t>0489 193 597</t>
  </si>
  <si>
    <t>william.taylor790@example.com</t>
  </si>
  <si>
    <t>0490 230 670</t>
  </si>
  <si>
    <t>ava.taylor791@example.com</t>
  </si>
  <si>
    <t>0491 267 743</t>
  </si>
  <si>
    <t>zoe.taylor792@example.com</t>
  </si>
  <si>
    <t>0492 304 816</t>
  </si>
  <si>
    <t>james.johnson793@example.com</t>
  </si>
  <si>
    <t>0493 341 889</t>
  </si>
  <si>
    <t>amelia.johnson794@example.com</t>
  </si>
  <si>
    <t>0494 378 962</t>
  </si>
  <si>
    <t>oliver.johnson795@example.com</t>
  </si>
  <si>
    <t>0495 415 035</t>
  </si>
  <si>
    <t>lucas.johnson796@example.com</t>
  </si>
  <si>
    <t>0496 452 108</t>
  </si>
  <si>
    <t>henry.johnson797@example.com</t>
  </si>
  <si>
    <t>0497 489 181</t>
  </si>
  <si>
    <t>ethan.johnson798@example.com</t>
  </si>
  <si>
    <t>0498 526 254</t>
  </si>
  <si>
    <t>leo.johnson799@example.com</t>
  </si>
  <si>
    <t>0499 563 327</t>
  </si>
  <si>
    <t>jack.johnson800@example.com</t>
  </si>
  <si>
    <t>0400 600 400</t>
  </si>
  <si>
    <t>mason.johnson801@example.com</t>
  </si>
  <si>
    <t>0401 637 473</t>
  </si>
  <si>
    <t>emily.johnson802@example.com</t>
  </si>
  <si>
    <t>0402 674 546</t>
  </si>
  <si>
    <t>samuel.johnson803@example.com</t>
  </si>
  <si>
    <t>0403 711 619</t>
  </si>
  <si>
    <t>daniel.johnson804@example.com</t>
  </si>
  <si>
    <t>0404 748 692</t>
  </si>
  <si>
    <t>charlotte.lee805@example.com</t>
  </si>
  <si>
    <t>0405 785 765</t>
  </si>
  <si>
    <t>amelia.lee806@example.com</t>
  </si>
  <si>
    <t>0406 822 838</t>
  </si>
  <si>
    <t>olivia.lee807@example.com</t>
  </si>
  <si>
    <t>0407 859 911</t>
  </si>
  <si>
    <t>lucas.lee808@example.com</t>
  </si>
  <si>
    <t>0408 896 984</t>
  </si>
  <si>
    <t>mia.lee809@example.com</t>
  </si>
  <si>
    <t>0409 933 057</t>
  </si>
  <si>
    <t>ethan.lee810@example.com</t>
  </si>
  <si>
    <t>0410 970 130</t>
  </si>
  <si>
    <t>leo.lee811@example.com</t>
  </si>
  <si>
    <t>0411 007 203</t>
  </si>
  <si>
    <t>jack.lee812@example.com</t>
  </si>
  <si>
    <t>0412 044 276</t>
  </si>
  <si>
    <t>mason.lee813@example.com</t>
  </si>
  <si>
    <t>0413 081 349</t>
  </si>
  <si>
    <t>emily.lee814@example.com</t>
  </si>
  <si>
    <t>0414 118 422</t>
  </si>
  <si>
    <t>ava.lee815@example.com</t>
  </si>
  <si>
    <t>0415 155 495</t>
  </si>
  <si>
    <t>daniel.lee816@example.com</t>
  </si>
  <si>
    <t>0416 192 568</t>
  </si>
  <si>
    <t>james.martin817@example.com</t>
  </si>
  <si>
    <t>0417 229 641</t>
  </si>
  <si>
    <t>noah.martin818@example.com</t>
  </si>
  <si>
    <t>0418 266 714</t>
  </si>
  <si>
    <t>olivia.martin819@example.com</t>
  </si>
  <si>
    <t>0419 303 787</t>
  </si>
  <si>
    <t>lucas.martin820@example.com</t>
  </si>
  <si>
    <t>0420 340 860</t>
  </si>
  <si>
    <t>henry.martin821@example.com</t>
  </si>
  <si>
    <t>0421 377 933</t>
  </si>
  <si>
    <t>sophie.martin822@example.com</t>
  </si>
  <si>
    <t>0422 414 006</t>
  </si>
  <si>
    <t>grace.martin823@example.com</t>
  </si>
  <si>
    <t>0423 451 079</t>
  </si>
  <si>
    <t>jack.martin824@example.com</t>
  </si>
  <si>
    <t>0424 488 152</t>
  </si>
  <si>
    <t>chloe.martin825@example.com</t>
  </si>
  <si>
    <t>0425 525 225</t>
  </si>
  <si>
    <t>emily.martin826@example.com</t>
  </si>
  <si>
    <t>0426 562 298</t>
  </si>
  <si>
    <t>samuel.martin827@example.com</t>
  </si>
  <si>
    <t>0427 599 371</t>
  </si>
  <si>
    <t>zoe.martin828@example.com</t>
  </si>
  <si>
    <t>0428 636 444</t>
  </si>
  <si>
    <t>james.white829@example.com</t>
  </si>
  <si>
    <t>0429 673 517</t>
  </si>
  <si>
    <t>amelia.white830@example.com</t>
  </si>
  <si>
    <t>0430 710 590</t>
  </si>
  <si>
    <t>oliver.white831@example.com</t>
  </si>
  <si>
    <t>0431 747 663</t>
  </si>
  <si>
    <t>lucas.white832@example.com</t>
  </si>
  <si>
    <t>0432 784 736</t>
  </si>
  <si>
    <t>henry.white833@example.com</t>
  </si>
  <si>
    <t>0433 821 809</t>
  </si>
  <si>
    <t>sophie.white834@example.com</t>
  </si>
  <si>
    <t>0434 858 882</t>
  </si>
  <si>
    <t>leo.white835@example.com</t>
  </si>
  <si>
    <t>0435 895 955</t>
  </si>
  <si>
    <t>ella.white836@example.com</t>
  </si>
  <si>
    <t>0436 932 028</t>
  </si>
  <si>
    <t>mason.white837@example.com</t>
  </si>
  <si>
    <t>0437 969 101</t>
  </si>
  <si>
    <t>william.white838@example.com</t>
  </si>
  <si>
    <t>0438 006 174</t>
  </si>
  <si>
    <t>ava.white839@example.com</t>
  </si>
  <si>
    <t>0439 043 247</t>
  </si>
  <si>
    <t>daniel.white840@example.com</t>
  </si>
  <si>
    <t>0440 080 320</t>
  </si>
  <si>
    <t>james.anderson841@example.com</t>
  </si>
  <si>
    <t>0441 117 393</t>
  </si>
  <si>
    <t>amelia.anderson842@example.com</t>
  </si>
  <si>
    <t>0442 154 466</t>
  </si>
  <si>
    <t>oliver.anderson843@example.com</t>
  </si>
  <si>
    <t>0443 191 539</t>
  </si>
  <si>
    <t>lucas.anderson844@example.com</t>
  </si>
  <si>
    <t>0444 228 612</t>
  </si>
  <si>
    <t>henry.anderson845@example.com</t>
  </si>
  <si>
    <t>0445 265 685</t>
  </si>
  <si>
    <t>ethan.anderson846@example.com</t>
  </si>
  <si>
    <t>0446 302 758</t>
  </si>
  <si>
    <t>grace.anderson847@example.com</t>
  </si>
  <si>
    <t>0447 339 831</t>
  </si>
  <si>
    <t>ella.anderson848@example.com</t>
  </si>
  <si>
    <t>0448 376 904</t>
  </si>
  <si>
    <t>mason.anderson849@example.com</t>
  </si>
  <si>
    <t>0449 413 977</t>
  </si>
  <si>
    <t>emily.anderson850@example.com</t>
  </si>
  <si>
    <t>0450 450 050</t>
  </si>
  <si>
    <t>samuel.anderson851@example.com</t>
  </si>
  <si>
    <t>0451 487 123</t>
  </si>
  <si>
    <t>zoe.anderson852@example.com</t>
  </si>
  <si>
    <t>0452 524 196</t>
  </si>
  <si>
    <t>james.thomas853@example.com</t>
  </si>
  <si>
    <t>0453 561 269</t>
  </si>
  <si>
    <t>noah.thomas854@example.com</t>
  </si>
  <si>
    <t>0454 598 342</t>
  </si>
  <si>
    <t>oliver.thomas855@example.com</t>
  </si>
  <si>
    <t>0455 635 415</t>
  </si>
  <si>
    <t>lucas.thomas856@example.com</t>
  </si>
  <si>
    <t>0456 672 488</t>
  </si>
  <si>
    <t>henry.thomas857@example.com</t>
  </si>
  <si>
    <t>0457 709 561</t>
  </si>
  <si>
    <t>ethan.thomas858@example.com</t>
  </si>
  <si>
    <t>0458 746 634</t>
  </si>
  <si>
    <t>grace.thomas859@example.com</t>
  </si>
  <si>
    <t>0459 783 707</t>
  </si>
  <si>
    <t>jack.thomas860@example.com</t>
  </si>
  <si>
    <t>0460 820 780</t>
  </si>
  <si>
    <t>chloe.thomas861@example.com</t>
  </si>
  <si>
    <t>0461 857 853</t>
  </si>
  <si>
    <t>william.thomas862@example.com</t>
  </si>
  <si>
    <t>0462 894 926</t>
  </si>
  <si>
    <t>ava.thomas863@example.com</t>
  </si>
  <si>
    <t>0463 931 999</t>
  </si>
  <si>
    <t>zoe.thomas864@example.com</t>
  </si>
  <si>
    <t>0464 968 072</t>
  </si>
  <si>
    <t>charlotte.smith865@example.com</t>
  </si>
  <si>
    <t>0465 005 145</t>
  </si>
  <si>
    <t>noah.smith866@example.com</t>
  </si>
  <si>
    <t>0466 042 218</t>
  </si>
  <si>
    <t>oliver.smith867@example.com</t>
  </si>
  <si>
    <t>0467 079 291</t>
  </si>
  <si>
    <t>isla.smith868@example.com</t>
  </si>
  <si>
    <t>0468 116 364</t>
  </si>
  <si>
    <t>henry.smith869@example.com</t>
  </si>
  <si>
    <t>0469 153 437</t>
  </si>
  <si>
    <t>sophie.smith870@example.com</t>
  </si>
  <si>
    <t>0470 190 510</t>
  </si>
  <si>
    <t>leo.smith871@example.com</t>
  </si>
  <si>
    <t>0471 227 583</t>
  </si>
  <si>
    <t>ella.smith872@example.com</t>
  </si>
  <si>
    <t>0472 264 656</t>
  </si>
  <si>
    <t>chloe.smith873@example.com</t>
  </si>
  <si>
    <t>0473 301 729</t>
  </si>
  <si>
    <t>william.smith874@example.com</t>
  </si>
  <si>
    <t>0474 338 802</t>
  </si>
  <si>
    <t>ava.smith875@example.com</t>
  </si>
  <si>
    <t>0475 375 875</t>
  </si>
  <si>
    <t>daniel.smith876@example.com</t>
  </si>
  <si>
    <t>0476 412 948</t>
  </si>
  <si>
    <t>charlotte.nguyen877@example.com</t>
  </si>
  <si>
    <t>0477 449 021</t>
  </si>
  <si>
    <t>amelia.nguyen878@example.com</t>
  </si>
  <si>
    <t>0478 486 094</t>
  </si>
  <si>
    <t>oliver.nguyen879@example.com</t>
  </si>
  <si>
    <t>0479 523 167</t>
  </si>
  <si>
    <t>lucas.nguyen880@example.com</t>
  </si>
  <si>
    <t>0480 560 240</t>
  </si>
  <si>
    <t>henry.nguyen881@example.com</t>
  </si>
  <si>
    <t>0481 597 313</t>
  </si>
  <si>
    <t>sophie.nguyen882@example.com</t>
  </si>
  <si>
    <t>0482 634 386</t>
  </si>
  <si>
    <t>leo.nguyen883@example.com</t>
  </si>
  <si>
    <t>0483 671 459</t>
  </si>
  <si>
    <t>ella.nguyen884@example.com</t>
  </si>
  <si>
    <t>0484 708 532</t>
  </si>
  <si>
    <t>chloe.nguyen885@example.com</t>
  </si>
  <si>
    <t>0485 745 605</t>
  </si>
  <si>
    <t>william.nguyen886@example.com</t>
  </si>
  <si>
    <t>0486 782 678</t>
  </si>
  <si>
    <t>samuel.nguyen887@example.com</t>
  </si>
  <si>
    <t>0487 819 751</t>
  </si>
  <si>
    <t>zoe.nguyen888@example.com</t>
  </si>
  <si>
    <t>0488 856 824</t>
  </si>
  <si>
    <t>charlotte.patel889@example.com</t>
  </si>
  <si>
    <t>0489 893 897</t>
  </si>
  <si>
    <t>noah.patel890@example.com</t>
  </si>
  <si>
    <t>0490 930 970</t>
  </si>
  <si>
    <t>oliver.patel891@example.com</t>
  </si>
  <si>
    <t>0491 967 043</t>
  </si>
  <si>
    <t>lucas.patel892@example.com</t>
  </si>
  <si>
    <t>0492 004 116</t>
  </si>
  <si>
    <t>henry.patel893@example.com</t>
  </si>
  <si>
    <t>0493 041 189</t>
  </si>
  <si>
    <t>ethan.patel894@example.com</t>
  </si>
  <si>
    <t>0494 078 262</t>
  </si>
  <si>
    <t>grace.patel895@example.com</t>
  </si>
  <si>
    <t>0495 115 335</t>
  </si>
  <si>
    <t>ella.patel896@example.com</t>
  </si>
  <si>
    <t>0496 152 408</t>
  </si>
  <si>
    <t>chloe.patel897@example.com</t>
  </si>
  <si>
    <t>0497 189 481</t>
  </si>
  <si>
    <t>emily.patel898@example.com</t>
  </si>
  <si>
    <t>0498 226 554</t>
  </si>
  <si>
    <t>samuel.patel899@example.com</t>
  </si>
  <si>
    <t>0499 263 627</t>
  </si>
  <si>
    <t>daniel.patel900@example.com</t>
  </si>
  <si>
    <t>0400 300 700</t>
  </si>
  <si>
    <t>james.brown901@example.com</t>
  </si>
  <si>
    <t>0401 337 773</t>
  </si>
  <si>
    <t>amelia.brown902@example.com</t>
  </si>
  <si>
    <t>0402 374 846</t>
  </si>
  <si>
    <t>olivia.brown903@example.com</t>
  </si>
  <si>
    <t>0403 411 919</t>
  </si>
  <si>
    <t>lucas.brown904@example.com</t>
  </si>
  <si>
    <t>0404 448 992</t>
  </si>
  <si>
    <t>henry.brown905@example.com</t>
  </si>
  <si>
    <t>0405 485 065</t>
  </si>
  <si>
    <t>sophie.brown906@example.com</t>
  </si>
  <si>
    <t>0406 522 138</t>
  </si>
  <si>
    <t>grace.brown907@example.com</t>
  </si>
  <si>
    <t>0407 559 211</t>
  </si>
  <si>
    <t>jack.brown908@example.com</t>
  </si>
  <si>
    <t>0408 596 284</t>
  </si>
  <si>
    <t>mason.brown909@example.com</t>
  </si>
  <si>
    <t>0409 633 357</t>
  </si>
  <si>
    <t>emily.brown910@example.com</t>
  </si>
  <si>
    <t>0410 670 430</t>
  </si>
  <si>
    <t>samuel.brown911@example.com</t>
  </si>
  <si>
    <t>0411 707 503</t>
  </si>
  <si>
    <t>daniel.brown912@example.com</t>
  </si>
  <si>
    <t>0412 744 576</t>
  </si>
  <si>
    <t>james.wilson913@example.com</t>
  </si>
  <si>
    <t>0413 781 649</t>
  </si>
  <si>
    <t>amelia.wilson914@example.com</t>
  </si>
  <si>
    <t>0414 818 722</t>
  </si>
  <si>
    <t>olivia.wilson915@example.com</t>
  </si>
  <si>
    <t>0415 855 795</t>
  </si>
  <si>
    <t>isla.wilson916@example.com</t>
  </si>
  <si>
    <t>0416 892 868</t>
  </si>
  <si>
    <t>mia.wilson917@example.com</t>
  </si>
  <si>
    <t>0417 929 941</t>
  </si>
  <si>
    <t>sophie.wilson918@example.com</t>
  </si>
  <si>
    <t>0418 966 014</t>
  </si>
  <si>
    <t>grace.wilson919@example.com</t>
  </si>
  <si>
    <t>0419 003 087</t>
  </si>
  <si>
    <t>ella.wilson920@example.com</t>
  </si>
  <si>
    <t>0420 040 160</t>
  </si>
  <si>
    <t>mason.wilson921@example.com</t>
  </si>
  <si>
    <t>0421 077 233</t>
  </si>
  <si>
    <t>william.wilson922@example.com</t>
  </si>
  <si>
    <t>0422 114 306</t>
  </si>
  <si>
    <t>samuel.wilson923@example.com</t>
  </si>
  <si>
    <t>0423 151 379</t>
  </si>
  <si>
    <t>daniel.wilson924@example.com</t>
  </si>
  <si>
    <t>0424 188 452</t>
  </si>
  <si>
    <t>james.taylor925@example.com</t>
  </si>
  <si>
    <t>0425 225 525</t>
  </si>
  <si>
    <t>noah.taylor926@example.com</t>
  </si>
  <si>
    <t>0426 262 598</t>
  </si>
  <si>
    <t>oliver.taylor927@example.com</t>
  </si>
  <si>
    <t>0427 299 671</t>
  </si>
  <si>
    <t>isla.taylor928@example.com</t>
  </si>
  <si>
    <t>0428 336 744</t>
  </si>
  <si>
    <t>mia.taylor929@example.com</t>
  </si>
  <si>
    <t>0429 373 817</t>
  </si>
  <si>
    <t>ethan.taylor930@example.com</t>
  </si>
  <si>
    <t>0430 410 890</t>
  </si>
  <si>
    <t>leo.taylor931@example.com</t>
  </si>
  <si>
    <t>0431 447 963</t>
  </si>
  <si>
    <t>ella.taylor932@example.com</t>
  </si>
  <si>
    <t>0432 484 036</t>
  </si>
  <si>
    <t>mason.taylor933@example.com</t>
  </si>
  <si>
    <t>0433 521 109</t>
  </si>
  <si>
    <t>william.taylor934@example.com</t>
  </si>
  <si>
    <t>0434 558 182</t>
  </si>
  <si>
    <t>ava.taylor935@example.com</t>
  </si>
  <si>
    <t>0435 595 255</t>
  </si>
  <si>
    <t>daniel.taylor936@example.com</t>
  </si>
  <si>
    <t>0436 632 328</t>
  </si>
  <si>
    <t>charlotte.johnson937@example.com</t>
  </si>
  <si>
    <t>0437 669 401</t>
  </si>
  <si>
    <t>noah.johnson938@example.com</t>
  </si>
  <si>
    <t>0438 706 474</t>
  </si>
  <si>
    <t>olivia.johnson939@example.com</t>
  </si>
  <si>
    <t>0439 743 547</t>
  </si>
  <si>
    <t>isla.johnson940@example.com</t>
  </si>
  <si>
    <t>0440 780 620</t>
  </si>
  <si>
    <t>mia.johnson941@example.com</t>
  </si>
  <si>
    <t>0441 817 693</t>
  </si>
  <si>
    <t>ethan.johnson942@example.com</t>
  </si>
  <si>
    <t>0442 854 766</t>
  </si>
  <si>
    <t>grace.johnson943@example.com</t>
  </si>
  <si>
    <t>0443 891 839</t>
  </si>
  <si>
    <t>jack.johnson944@example.com</t>
  </si>
  <si>
    <t>0444 928 912</t>
  </si>
  <si>
    <t>mason.johnson945@example.com</t>
  </si>
  <si>
    <t>0445 965 985</t>
  </si>
  <si>
    <t>william.johnson946@example.com</t>
  </si>
  <si>
    <t>0446 002 058</t>
  </si>
  <si>
    <t>samuel.johnson947@example.com</t>
  </si>
  <si>
    <t>0447 039 131</t>
  </si>
  <si>
    <t>zoe.johnson948@example.com</t>
  </si>
  <si>
    <t>0448 076 204</t>
  </si>
  <si>
    <t>charlotte.lee949@example.com</t>
  </si>
  <si>
    <t>0449 113 277</t>
  </si>
  <si>
    <t>noah.lee950@example.com</t>
  </si>
  <si>
    <t>0450 150 350</t>
  </si>
  <si>
    <t>oliver.lee951@example.com</t>
  </si>
  <si>
    <t>0451 187 423</t>
  </si>
  <si>
    <t>isla.lee952@example.com</t>
  </si>
  <si>
    <t>0452 224 496</t>
  </si>
  <si>
    <t>henry.lee953@example.com</t>
  </si>
  <si>
    <t>0453 261 569</t>
  </si>
  <si>
    <t>sophie.lee954@example.com</t>
  </si>
  <si>
    <t>0454 298 642</t>
  </si>
  <si>
    <t>leo.lee955@example.com</t>
  </si>
  <si>
    <t>0455 335 715</t>
  </si>
  <si>
    <t>jack.lee956@example.com</t>
  </si>
  <si>
    <t>0456 372 788</t>
  </si>
  <si>
    <t>chloe.lee957@example.com</t>
  </si>
  <si>
    <t>0457 409 861</t>
  </si>
  <si>
    <t>william.lee958@example.com</t>
  </si>
  <si>
    <t>0458 446 934</t>
  </si>
  <si>
    <t>ava.lee959@example.com</t>
  </si>
  <si>
    <t>0459 483 007</t>
  </si>
  <si>
    <t>daniel.lee960@example.com</t>
  </si>
  <si>
    <t>0460 520 080</t>
  </si>
  <si>
    <t>james.martin961@example.com</t>
  </si>
  <si>
    <t>0461 557 153</t>
  </si>
  <si>
    <t>noah.martin962@example.com</t>
  </si>
  <si>
    <t>0462 594 226</t>
  </si>
  <si>
    <t>olivia.martin963@example.com</t>
  </si>
  <si>
    <t>0463 631 299</t>
  </si>
  <si>
    <t>lucas.martin964@example.com</t>
  </si>
  <si>
    <t>0464 668 372</t>
  </si>
  <si>
    <t>henry.martin965@example.com</t>
  </si>
  <si>
    <t>0465 705 445</t>
  </si>
  <si>
    <t>ethan.martin966@example.com</t>
  </si>
  <si>
    <t>0466 742 518</t>
  </si>
  <si>
    <t>leo.martin967@example.com</t>
  </si>
  <si>
    <t>0467 779 591</t>
  </si>
  <si>
    <t>ella.martin968@example.com</t>
  </si>
  <si>
    <t>0468 816 664</t>
  </si>
  <si>
    <t>chloe.martin969@example.com</t>
  </si>
  <si>
    <t>0469 853 737</t>
  </si>
  <si>
    <t>william.martin970@example.com</t>
  </si>
  <si>
    <t>0470 890 810</t>
  </si>
  <si>
    <t>ava.martin971@example.com</t>
  </si>
  <si>
    <t>0471 927 883</t>
  </si>
  <si>
    <t>daniel.martin972@example.com</t>
  </si>
  <si>
    <t>0472 964 956</t>
  </si>
  <si>
    <t>james.white973@example.com</t>
  </si>
  <si>
    <t>0473 001 029</t>
  </si>
  <si>
    <t>noah.white974@example.com</t>
  </si>
  <si>
    <t>0474 038 102</t>
  </si>
  <si>
    <t>olivia.white975@example.com</t>
  </si>
  <si>
    <t>0475 075 175</t>
  </si>
  <si>
    <t>isla.white976@example.com</t>
  </si>
  <si>
    <t>0476 112 248</t>
  </si>
  <si>
    <t>mia.white977@example.com</t>
  </si>
  <si>
    <t>0477 149 321</t>
  </si>
  <si>
    <t>sophie.white978@example.com</t>
  </si>
  <si>
    <t>0478 186 394</t>
  </si>
  <si>
    <t>grace.white979@example.com</t>
  </si>
  <si>
    <t>0479 223 467</t>
  </si>
  <si>
    <t>ella.white980@example.com</t>
  </si>
  <si>
    <t>0480 260 540</t>
  </si>
  <si>
    <t>chloe.white981@example.com</t>
  </si>
  <si>
    <t>0481 297 613</t>
  </si>
  <si>
    <t>emily.white982@example.com</t>
  </si>
  <si>
    <t>0482 334 686</t>
  </si>
  <si>
    <t>ava.white983@example.com</t>
  </si>
  <si>
    <t>0483 371 759</t>
  </si>
  <si>
    <t>daniel.white984@example.com</t>
  </si>
  <si>
    <t>0484 408 832</t>
  </si>
  <si>
    <t>charlotte.anderson985@example.com</t>
  </si>
  <si>
    <t>0485 445 905</t>
  </si>
  <si>
    <t>amelia.anderson986@example.com</t>
  </si>
  <si>
    <t>0486 482 978</t>
  </si>
  <si>
    <t>olivia.anderson987@example.com</t>
  </si>
  <si>
    <t>0487 519 051</t>
  </si>
  <si>
    <t>isla.anderson988@example.com</t>
  </si>
  <si>
    <t>0488 556 124</t>
  </si>
  <si>
    <t>mia.anderson989@example.com</t>
  </si>
  <si>
    <t>0489 593 197</t>
  </si>
  <si>
    <t>sophie.anderson990@example.com</t>
  </si>
  <si>
    <t>0490 630 270</t>
  </si>
  <si>
    <t>grace.anderson991@example.com</t>
  </si>
  <si>
    <t>0491 667 343</t>
  </si>
  <si>
    <t>ella.anderson992@example.com</t>
  </si>
  <si>
    <t>0492 704 416</t>
  </si>
  <si>
    <t>chloe.anderson993@example.com</t>
  </si>
  <si>
    <t>0493 741 489</t>
  </si>
  <si>
    <t>emily.anderson994@example.com</t>
  </si>
  <si>
    <t>0494 778 562</t>
  </si>
  <si>
    <t>ava.anderson995@example.com</t>
  </si>
  <si>
    <t>0495 815 635</t>
  </si>
  <si>
    <t>daniel.anderson996@example.com</t>
  </si>
  <si>
    <t>0496 852 708</t>
  </si>
  <si>
    <t>james.thomas997@example.com</t>
  </si>
  <si>
    <t>0497 889 781</t>
  </si>
  <si>
    <t>amelia.thomas998@example.com</t>
  </si>
  <si>
    <t>0498 926 854</t>
  </si>
  <si>
    <t>olivia.thomas999@example.com</t>
  </si>
  <si>
    <t>0499 963 927</t>
  </si>
  <si>
    <t>lucas.thomas1000@example.com</t>
  </si>
  <si>
    <t>0400 000 000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</si>
</sst>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0">
    <font>
      <sz val="10"/>
      <name val="Arial"/>
      <family val="2"/>
    </font>
    <font>
      <sz val="12"/>
      <color theme="1"/>
      <name val="Aptos Narrow"/>
      <family val="2"/>
      <charset val="1"/>
    </font>
    <font>
      <sz val="12"/>
      <color theme="0"/>
      <name val="Aptos Narrow"/>
      <family val="2"/>
      <charset val="1"/>
    </font>
    <font>
      <sz val="12"/>
      <color rgb="FF9C0006"/>
      <name val="Aptos Narrow"/>
      <family val="2"/>
      <charset val="1"/>
    </font>
    <font>
      <b/>
      <sz val="12"/>
      <color rgb="FFFA7D00"/>
      <name val="Aptos Narrow"/>
      <family val="2"/>
      <charset val="1"/>
    </font>
    <font>
      <b/>
      <sz val="12"/>
      <color theme="0"/>
      <name val="Aptos Narrow"/>
      <family val="2"/>
      <charset val="1"/>
    </font>
    <font>
      <i/>
      <sz val="12"/>
      <color rgb="FF7F7F7F"/>
      <name val="Aptos Narrow"/>
      <family val="2"/>
      <charset val="1"/>
    </font>
    <font>
      <sz val="12"/>
      <color rgb="FF006100"/>
      <name val="Aptos Narrow"/>
      <family val="2"/>
      <charset val="1"/>
    </font>
    <font>
      <b/>
      <sz val="15"/>
      <color theme="3"/>
      <name val="Aptos Narrow"/>
      <family val="2"/>
      <charset val="1"/>
    </font>
    <font>
      <b/>
      <sz val="13"/>
      <color theme="3"/>
      <name val="Aptos Narrow"/>
      <family val="2"/>
      <charset val="1"/>
    </font>
    <font>
      <b/>
      <sz val="11"/>
      <color theme="3"/>
      <name val="Aptos Narrow"/>
      <family val="2"/>
      <charset val="1"/>
    </font>
    <font>
      <sz val="12"/>
      <color rgb="FF3F3F76"/>
      <name val="Aptos Narrow"/>
      <family val="2"/>
      <charset val="1"/>
    </font>
    <font>
      <sz val="12"/>
      <color rgb="FFFA7D00"/>
      <name val="Aptos Narrow"/>
      <family val="2"/>
      <charset val="1"/>
    </font>
    <font>
      <sz val="12"/>
      <color rgb="FF9C5700"/>
      <name val="Aptos Narrow"/>
      <family val="2"/>
      <charset val="1"/>
    </font>
    <font>
      <b/>
      <sz val="12"/>
      <color rgb="FF3F3F3F"/>
      <name val="Aptos Narrow"/>
      <family val="2"/>
      <charset val="1"/>
    </font>
    <font>
      <sz val="18"/>
      <color theme="3"/>
      <name val="Aptos Display"/>
      <family val="2"/>
      <charset val="1"/>
    </font>
    <font>
      <b/>
      <sz val="12"/>
      <color theme="1"/>
      <name val="Aptos Narrow"/>
      <family val="2"/>
      <charset val="1"/>
    </font>
    <font>
      <sz val="12"/>
      <color rgb="FFFF0000"/>
      <name val="Aptos Narrow"/>
      <family val="2"/>
      <charset val="1"/>
    </font>
    <font>
      <b/>
      <sz val="11"/>
      <color rgb="FFFFFFFF"/>
      <name val="Cambria"/>
      <charset val="1"/>
    </font>
    <font>
      <sz val="12"/>
      <color rgb="FF000000"/>
      <name val="Aptos Narrow"/>
      <charset val="1"/>
    </font>
  </fonts>
  <fills count="34">
    <fill>
      <patternFill patternType="none"/>
    </fill>
    <fill>
      <patternFill patternType="gray125"/>
    </fill>
    <fill>
      <patternFill patternType="solid">
        <fgColor theme="4" tint="0.79989013336588644"/>
        <bgColor rgb="FFCAEEFB"/>
      </patternFill>
    </fill>
    <fill>
      <patternFill patternType="solid">
        <fgColor theme="5" tint="0.79989013336588644"/>
        <bgColor rgb="FFF2F2F2"/>
      </patternFill>
    </fill>
    <fill>
      <patternFill patternType="solid">
        <fgColor theme="6" tint="0.79989013336588644"/>
        <bgColor rgb="FFC6EFCE"/>
      </patternFill>
    </fill>
    <fill>
      <patternFill patternType="solid">
        <fgColor theme="7" tint="0.79989013336588644"/>
        <bgColor rgb="FFC1E5F5"/>
      </patternFill>
    </fill>
    <fill>
      <patternFill patternType="solid">
        <fgColor theme="8" tint="0.79989013336588644"/>
        <bgColor rgb="FFFFC7CE"/>
      </patternFill>
    </fill>
    <fill>
      <patternFill patternType="solid">
        <fgColor theme="9" tint="0.79989013336588644"/>
        <bgColor rgb="FFC6EFCE"/>
      </patternFill>
    </fill>
    <fill>
      <patternFill patternType="solid">
        <fgColor theme="4" tint="0.59987182226020086"/>
        <bgColor rgb="FF96DCF8"/>
      </patternFill>
    </fill>
    <fill>
      <patternFill patternType="solid">
        <fgColor theme="5" tint="0.59987182226020086"/>
        <bgColor rgb="FFFFCC99"/>
      </patternFill>
    </fill>
    <fill>
      <patternFill patternType="solid">
        <fgColor theme="6" tint="0.59987182226020086"/>
        <bgColor rgb="FF8ED973"/>
      </patternFill>
    </fill>
    <fill>
      <patternFill patternType="solid">
        <fgColor theme="7" tint="0.59987182226020086"/>
        <bgColor rgb="FF83CBEB"/>
      </patternFill>
    </fill>
    <fill>
      <patternFill patternType="solid">
        <fgColor theme="8" tint="0.59987182226020086"/>
        <bgColor rgb="FFF2AA84"/>
      </patternFill>
    </fill>
    <fill>
      <patternFill patternType="solid">
        <fgColor theme="9" tint="0.59987182226020086"/>
        <bgColor rgb="FFC2F1C8"/>
      </patternFill>
    </fill>
    <fill>
      <patternFill patternType="solid">
        <fgColor theme="4" tint="0.39988402966399123"/>
        <bgColor rgb="FF64BEE6"/>
      </patternFill>
    </fill>
    <fill>
      <patternFill patternType="solid">
        <fgColor theme="5" tint="0.39988402966399123"/>
        <bgColor rgb="FFF6C6AD"/>
      </patternFill>
    </fill>
    <fill>
      <patternFill patternType="solid">
        <fgColor theme="6" tint="0.39988402966399123"/>
        <bgColor rgb="FF4EA72E"/>
      </patternFill>
    </fill>
    <fill>
      <patternFill patternType="solid">
        <fgColor theme="7" tint="0.39988402966399123"/>
        <bgColor rgb="FF64BEE6"/>
      </patternFill>
    </fill>
    <fill>
      <patternFill patternType="solid">
        <fgColor theme="8" tint="0.39988402966399123"/>
        <bgColor rgb="FFE59EDD"/>
      </patternFill>
    </fill>
    <fill>
      <patternFill patternType="solid">
        <fgColor theme="9" tint="0.39988402966399123"/>
        <bgColor rgb="FF84E291"/>
      </patternFill>
    </fill>
    <fill>
      <patternFill patternType="solid">
        <fgColor theme="4"/>
        <bgColor rgb="FF1F4E78"/>
      </patternFill>
    </fill>
    <fill>
      <patternFill patternType="solid">
        <fgColor theme="5"/>
        <bgColor rgb="FFFA7D00"/>
      </patternFill>
    </fill>
    <fill>
      <patternFill patternType="solid">
        <fgColor theme="6"/>
        <bgColor rgb="FF006100"/>
      </patternFill>
    </fill>
    <fill>
      <patternFill patternType="solid">
        <fgColor theme="7"/>
        <bgColor rgb="FF46B1E1"/>
      </patternFill>
    </fill>
    <fill>
      <patternFill patternType="solid">
        <fgColor theme="8"/>
        <bgColor rgb="FF800080"/>
      </patternFill>
    </fill>
    <fill>
      <patternFill patternType="solid">
        <fgColor theme="9"/>
        <bgColor rgb="FF47D45A"/>
      </patternFill>
    </fill>
    <fill>
      <patternFill patternType="solid">
        <fgColor rgb="FFFFC7CE"/>
        <bgColor rgb="FFF6C6AD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B2B2B2"/>
      </patternFill>
    </fill>
    <fill>
      <patternFill patternType="solid">
        <fgColor rgb="FFC6EFCE"/>
        <bgColor rgb="FFC2F1C8"/>
      </patternFill>
    </fill>
    <fill>
      <patternFill patternType="solid">
        <fgColor rgb="FFFFCC99"/>
        <bgColor rgb="FFF6C6AD"/>
      </patternFill>
    </fill>
    <fill>
      <patternFill patternType="solid">
        <fgColor rgb="FFFFEB9C"/>
        <bgColor rgb="FFFBE3D6"/>
      </patternFill>
    </fill>
    <fill>
      <patternFill patternType="solid">
        <fgColor rgb="FFFFFFCC"/>
        <bgColor rgb="FFFFFFFF"/>
      </patternFill>
    </fill>
    <fill>
      <patternFill patternType="solid">
        <fgColor rgb="FF1F4E78"/>
        <bgColor rgb="FF156082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9318521683401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0D0D0"/>
      </bottom>
      <diagonal/>
    </border>
  </borders>
  <cellStyleXfs count="43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1" fillId="14" borderId="0"/>
    <xf numFmtId="0" fontId="1" fillId="15" borderId="0"/>
    <xf numFmtId="0" fontId="1" fillId="16" borderId="0"/>
    <xf numFmtId="0" fontId="1" fillId="17" borderId="0"/>
    <xf numFmtId="0" fontId="1" fillId="18" borderId="0"/>
    <xf numFmtId="0" fontId="1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3" fillId="26" borderId="0"/>
    <xf numFmtId="0" fontId="4" fillId="27" borderId="1"/>
    <xf numFmtId="0" fontId="5" fillId="28" borderId="2"/>
    <xf numFmtId="0" fontId="6" fillId="0" borderId="0"/>
    <xf numFmtId="0" fontId="7" fillId="29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0" borderId="1"/>
    <xf numFmtId="0" fontId="12" fillId="0" borderId="6"/>
    <xf numFmtId="0" fontId="13" fillId="31" borderId="0"/>
    <xf numFmtId="0" fontId="1" fillId="0" borderId="0"/>
    <xf numFmtId="0" fontId="1" fillId="32" borderId="7"/>
    <xf numFmtId="0" fontId="14" fillId="27" borderId="8"/>
    <xf numFmtId="0" fontId="15" fillId="0" borderId="0"/>
    <xf numFmtId="0" fontId="16" fillId="0" borderId="9"/>
    <xf numFmtId="0" fontId="17" fillId="0" borderId="0"/>
  </cellStyleXfs>
  <cellXfs count="6">
    <xf numFmtId="0" fontId="0" fillId="0" borderId="0" xfId="0"/>
    <xf numFmtId="0" fontId="18" fillId="33" borderId="0" xfId="37" applyFont="1" applyFill="1" applyAlignment="1">
      <alignment horizontal="center" vertical="center"/>
    </xf>
    <xf numFmtId="164" fontId="1" fillId="0" borderId="0" xfId="37" applyNumberFormat="1"/>
    <xf numFmtId="0" fontId="19" fillId="0" borderId="0" xfId="37" applyFont="1"/>
    <xf numFmtId="165" fontId="1" fillId="0" borderId="0" xfId="37" applyNumberFormat="1"/>
    <xf numFmtId="0" fontId="18" fillId="33" borderId="10" xfId="37" applyFont="1" applyFill="1" applyBorder="1" applyAlignment="1">
      <alignment horizontal="center" vertical="center"/>
    </xf>
  </cellXfs>
  <cellStyles count="43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40% - Accent1" xfId="7" xr:uid="{00000000-0005-0000-0000-00000C000000}"/>
    <cellStyle name="40% - Accent2" xfId="8" xr:uid="{00000000-0005-0000-0000-00000D000000}"/>
    <cellStyle name="40% - Accent3" xfId="9" xr:uid="{00000000-0005-0000-0000-00000E000000}"/>
    <cellStyle name="40% - Accent4" xfId="10" xr:uid="{00000000-0005-0000-0000-00000F000000}"/>
    <cellStyle name="40% - Accent5" xfId="11" xr:uid="{00000000-0005-0000-0000-000010000000}"/>
    <cellStyle name="40% - Accent6" xfId="12" xr:uid="{00000000-0005-0000-0000-000011000000}"/>
    <cellStyle name="60% - Accent1" xfId="13" xr:uid="{00000000-0005-0000-0000-000012000000}"/>
    <cellStyle name="60% - Accent2" xfId="14" xr:uid="{00000000-0005-0000-0000-000013000000}"/>
    <cellStyle name="60% - Accent3" xfId="15" xr:uid="{00000000-0005-0000-0000-000014000000}"/>
    <cellStyle name="60% - Accent4" xfId="16" xr:uid="{00000000-0005-0000-0000-000015000000}"/>
    <cellStyle name="60% - Accent5" xfId="17" xr:uid="{00000000-0005-0000-0000-000016000000}"/>
    <cellStyle name="60% - Accent6" xfId="18" xr:uid="{00000000-0005-0000-0000-000017000000}"/>
    <cellStyle name="Accent1" xfId="19" xr:uid="{00000000-0005-0000-0000-000018000000}"/>
    <cellStyle name="Accent2" xfId="20" xr:uid="{00000000-0005-0000-0000-000019000000}"/>
    <cellStyle name="Accent3" xfId="21" xr:uid="{00000000-0005-0000-0000-00001A000000}"/>
    <cellStyle name="Accent4" xfId="22" xr:uid="{00000000-0005-0000-0000-00001B000000}"/>
    <cellStyle name="Accent5" xfId="23" xr:uid="{00000000-0005-0000-0000-00001C000000}"/>
    <cellStyle name="Accent6" xfId="24" xr:uid="{00000000-0005-0000-0000-00001D000000}"/>
    <cellStyle name="Bad 4" xfId="25" xr:uid="{00000000-0005-0000-0000-00001E000000}"/>
    <cellStyle name="Calculation" xfId="26" xr:uid="{00000000-0005-0000-0000-00001F000000}"/>
    <cellStyle name="Check Cell" xfId="27" xr:uid="{00000000-0005-0000-0000-000020000000}"/>
    <cellStyle name="Explanatory Text" xfId="28" xr:uid="{00000000-0005-0000-0000-000021000000}"/>
    <cellStyle name="Good 3" xfId="29" xr:uid="{00000000-0005-0000-0000-000022000000}"/>
    <cellStyle name="Heading 1 1" xfId="30" xr:uid="{00000000-0005-0000-0000-000023000000}"/>
    <cellStyle name="Heading 2 2" xfId="31" xr:uid="{00000000-0005-0000-0000-000024000000}"/>
    <cellStyle name="Heading 3" xfId="32" xr:uid="{00000000-0005-0000-0000-000025000000}"/>
    <cellStyle name="Heading 4" xfId="33" xr:uid="{00000000-0005-0000-0000-000026000000}"/>
    <cellStyle name="Input" xfId="34" xr:uid="{00000000-0005-0000-0000-000027000000}"/>
    <cellStyle name="Linked Cell" xfId="35" xr:uid="{00000000-0005-0000-0000-000028000000}"/>
    <cellStyle name="Neutral 5" xfId="36" xr:uid="{00000000-0005-0000-0000-000029000000}"/>
    <cellStyle name="Normal" xfId="0" builtinId="0"/>
    <cellStyle name="Normal 2" xfId="37" xr:uid="{00000000-0005-0000-0000-00002A000000}"/>
    <cellStyle name="Note 6" xfId="38" xr:uid="{00000000-0005-0000-0000-00002B000000}"/>
    <cellStyle name="Output" xfId="39" xr:uid="{00000000-0005-0000-0000-00002C000000}"/>
    <cellStyle name="Title" xfId="40" xr:uid="{00000000-0005-0000-0000-00002D000000}"/>
    <cellStyle name="Total" xfId="41" xr:uid="{00000000-0005-0000-0000-00002E000000}"/>
    <cellStyle name="Warning Text" xfId="42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47D45A"/>
      <rgbColor rgb="FF0000FF"/>
      <rgbColor rgb="FFB4E5A2"/>
      <rgbColor rgb="FFFBE3D6"/>
      <rgbColor rgb="FF61CBF4"/>
      <rgbColor rgb="FF9C0006"/>
      <rgbColor rgb="FF006100"/>
      <rgbColor rgb="FF000080"/>
      <rgbColor rgb="FFFFC7CE"/>
      <rgbColor rgb="FF800080"/>
      <rgbColor rgb="FF156082"/>
      <rgbColor rgb="FFB2B2B2"/>
      <rgbColor rgb="FF7F7F7F"/>
      <rgbColor rgb="FF83CBEB"/>
      <rgbColor rgb="FFA02B93"/>
      <rgbColor rgb="FFFFFFCC"/>
      <rgbColor rgb="FFCAEEFB"/>
      <rgbColor rgb="FF660066"/>
      <rgbColor rgb="FFE97132"/>
      <rgbColor rgb="FF1F4E78"/>
      <rgbColor rgb="FFD0D0D0"/>
      <rgbColor rgb="FF000080"/>
      <rgbColor rgb="FFF2F2F2"/>
      <rgbColor rgb="FFF6C6AD"/>
      <rgbColor rgb="FF84E291"/>
      <rgbColor rgb="FF800080"/>
      <rgbColor rgb="FF800000"/>
      <rgbColor rgb="FF196B24"/>
      <rgbColor rgb="FF0000FF"/>
      <rgbColor rgb="FF0F9ED5"/>
      <rgbColor rgb="FFD9F2D0"/>
      <rgbColor rgb="FFC2F1C8"/>
      <rgbColor rgb="FFFFEB9C"/>
      <rgbColor rgb="FF96DCF8"/>
      <rgbColor rgb="FFE59EDD"/>
      <rgbColor rgb="FFD86ECC"/>
      <rgbColor rgb="FFFFCC99"/>
      <rgbColor rgb="FFC1E5F5"/>
      <rgbColor rgb="FF46B1E1"/>
      <rgbColor rgb="FF8ED973"/>
      <rgbColor rgb="FFF2AA84"/>
      <rgbColor rgb="FFFF8001"/>
      <rgbColor rgb="FFFA7D00"/>
      <rgbColor rgb="FF64BEE6"/>
      <rgbColor rgb="FFA5A5A5"/>
      <rgbColor rgb="FF0E2841"/>
      <rgbColor rgb="FF4EA72E"/>
      <rgbColor rgb="FF003300"/>
      <rgbColor rgb="FFC6EFCE"/>
      <rgbColor rgb="FF9C5700"/>
      <rgbColor rgb="FFF2CFEE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tail_sales_datasetTable" displayName="retail_sales_datasetTable" ref="A1:O1001" totalsRowShown="0">
  <autoFilter ref="A1:O1001" xr:uid="{00000000-0009-0000-0100-000003000000}"/>
  <tableColumns count="15">
    <tableColumn id="1" xr3:uid="{00000000-0010-0000-0000-000001000000}" name="Transaction ID"/>
    <tableColumn id="2" xr3:uid="{00000000-0010-0000-0000-000002000000}" name="Date"/>
    <tableColumn id="3" xr3:uid="{00000000-0010-0000-0000-000003000000}" name="Customer ID"/>
    <tableColumn id="4" xr3:uid="{00000000-0010-0000-0000-000004000000}" name="Gender"/>
    <tableColumn id="5" xr3:uid="{00000000-0010-0000-0000-000005000000}" name="Age"/>
    <tableColumn id="6" xr3:uid="{00000000-0010-0000-0000-000006000000}" name="Product Category"/>
    <tableColumn id="7" xr3:uid="{00000000-0010-0000-0000-000007000000}" name="Quantity"/>
    <tableColumn id="8" xr3:uid="{00000000-0010-0000-0000-000008000000}" name="Price per Unit"/>
    <tableColumn id="9" xr3:uid="{00000000-0010-0000-0000-000009000000}" name="Total Amount"/>
    <tableColumn id="10" xr3:uid="{00000000-0010-0000-0000-00000A000000}" name="Store Location"/>
    <tableColumn id="11" xr3:uid="{00000000-0010-0000-0000-00000B000000}" name="Specific Product (Item)"/>
    <tableColumn id="12" xr3:uid="{00000000-0010-0000-0000-00000C000000}" name="Supplier"/>
    <tableColumn id="13" xr3:uid="{00000000-0010-0000-0000-00000D000000}" name="Store Manager"/>
    <tableColumn id="14" xr3:uid="{00000000-0010-0000-0000-00000E000000}" name="Store ID"/>
    <tableColumn id="15" xr3:uid="{00000000-0010-0000-0000-00000F000000}" name="Store Manager I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eature_MappingsTable" displayName="Feature_MappingsTable" ref="A1:E16" totalsRowShown="0">
  <autoFilter ref="A1:E16" xr:uid="{00000000-0009-0000-0100-000002000000}"/>
  <tableColumns count="5">
    <tableColumn id="1" xr3:uid="{00000000-0010-0000-0100-000001000000}" name="Category_Price_Key"/>
    <tableColumn id="2" xr3:uid="{00000000-0010-0000-0100-000002000000}" name="Specific Product (Item)"/>
    <tableColumn id="3" xr3:uid="{00000000-0010-0000-0100-000003000000}" name="Supplier"/>
    <tableColumn id="5" xr3:uid="{00000000-0010-0000-0100-000005000000}" name="Store Location"/>
    <tableColumn id="6" xr3:uid="{00000000-0010-0000-0100-000006000000}" name="Store Manage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tore_ManagerTable" displayName="Store_ManagerTable" ref="A1:G5" totalsRowShown="0">
  <autoFilter ref="A1:G5" xr:uid="{00000000-0009-0000-0100-000004000000}"/>
  <tableColumns count="7">
    <tableColumn id="1" xr3:uid="{00000000-0010-0000-0200-000001000000}" name="Store Manager ID"/>
    <tableColumn id="2" xr3:uid="{00000000-0010-0000-0200-000002000000}" name="Full Name"/>
    <tableColumn id="3" xr3:uid="{00000000-0010-0000-0200-000003000000}" name="Email"/>
    <tableColumn id="4" xr3:uid="{00000000-0010-0000-0200-000004000000}" name="Phone"/>
    <tableColumn id="5" xr3:uid="{00000000-0010-0000-0200-000005000000}" name="Hire Date"/>
    <tableColumn id="7" xr3:uid="{00000000-0010-0000-0200-000007000000}" name="Leadership Level"/>
    <tableColumn id="8" xr3:uid="{00000000-0010-0000-0200-000008000000}" name="Store Locat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StoreTable" displayName="StoreTable" ref="A1:F5" totalsRowShown="0">
  <autoFilter ref="A1:F5" xr:uid="{00000000-0009-0000-0100-000005000000}"/>
  <tableColumns count="6">
    <tableColumn id="1" xr3:uid="{00000000-0010-0000-0300-000001000000}" name="Store ID"/>
    <tableColumn id="2" xr3:uid="{00000000-0010-0000-0300-000002000000}" name="Store Name"/>
    <tableColumn id="3" xr3:uid="{00000000-0010-0000-0300-000003000000}" name="Store Location"/>
    <tableColumn id="6" xr3:uid="{00000000-0010-0000-0300-000006000000}" name="Open Date"/>
    <tableColumn id="8" xr3:uid="{00000000-0010-0000-0300-000008000000}" name="Store Manager ID"/>
    <tableColumn id="9" xr3:uid="{00000000-0010-0000-0300-000009000000}" name="Store Manager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ustomerTable" displayName="CustomerTable" ref="A1:O1001" totalsRowShown="0">
  <autoFilter ref="A1:O1001" xr:uid="{00000000-0009-0000-0100-000001000000}"/>
  <tableColumns count="15">
    <tableColumn id="1" xr3:uid="{00000000-0010-0000-0400-000001000000}" name="Customer ID"/>
    <tableColumn id="2" xr3:uid="{00000000-0010-0000-0400-000002000000}" name="First Name"/>
    <tableColumn id="3" xr3:uid="{00000000-0010-0000-0400-000003000000}" name="Last Name"/>
    <tableColumn id="4" xr3:uid="{00000000-0010-0000-0400-000004000000}" name="Gender"/>
    <tableColumn id="5" xr3:uid="{00000000-0010-0000-0400-000005000000}" name="Age"/>
    <tableColumn id="6" xr3:uid="{00000000-0010-0000-0400-000006000000}" name="Age Group"/>
    <tableColumn id="7" xr3:uid="{00000000-0010-0000-0400-000007000000}" name="Email"/>
    <tableColumn id="8" xr3:uid="{00000000-0010-0000-0400-000008000000}" name="Phone"/>
    <tableColumn id="9" xr3:uid="{00000000-0010-0000-0400-000009000000}" name="Join Date"/>
    <tableColumn id="10" xr3:uid="{00000000-0010-0000-0400-00000A000000}" name="Loyalty Tier"/>
    <tableColumn id="12" xr3:uid="{00000000-0010-0000-0400-00000C000000}" name="Home Store ID"/>
    <tableColumn id="13" xr3:uid="{00000000-0010-0000-0400-00000D000000}" name="Home Store Location"/>
    <tableColumn id="14" xr3:uid="{00000000-0010-0000-0400-00000E000000}" name="Suburb"/>
    <tableColumn id="15" xr3:uid="{00000000-0010-0000-0400-00000F000000}" name="State"/>
    <tableColumn id="16" xr3:uid="{00000000-0010-0000-0400-000010000000}" name="Post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zoomScaleNormal="100" workbookViewId="0">
      <pane ySplit="1" topLeftCell="L966" activePane="bottomLeft" state="frozen"/>
      <selection pane="bottomLeft" activeCell="M1003" sqref="M1003"/>
    </sheetView>
  </sheetViews>
  <sheetFormatPr defaultColWidth="13.5703125" defaultRowHeight="15.75" customHeight="1"/>
  <cols>
    <col min="1" max="1" width="19.7109375" customWidth="1"/>
    <col min="2" max="2" width="25.85546875" customWidth="1"/>
    <col min="3" max="3" width="16" customWidth="1"/>
    <col min="4" max="5" width="14.85546875" customWidth="1"/>
    <col min="6" max="6" width="22.28515625" customWidth="1"/>
    <col min="7" max="7" width="14.85546875" customWidth="1"/>
    <col min="8" max="8" width="19.7109375" customWidth="1"/>
    <col min="9" max="9" width="17.28515625" customWidth="1"/>
    <col min="10" max="10" width="19.7109375" customWidth="1"/>
    <col min="11" max="15" width="29.5703125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>
      <c r="A2">
        <v>1</v>
      </c>
      <c r="B2" s="2">
        <v>45254</v>
      </c>
      <c r="C2" t="s">
        <v>15</v>
      </c>
      <c r="D2" t="s">
        <v>16</v>
      </c>
      <c r="E2">
        <v>34</v>
      </c>
      <c r="F2" s="3" t="s">
        <v>17</v>
      </c>
      <c r="G2">
        <v>3</v>
      </c>
      <c r="H2" s="4">
        <v>50</v>
      </c>
      <c r="I2" s="4">
        <v>150</v>
      </c>
      <c r="J2" t="s">
        <v>18</v>
      </c>
      <c r="K2" t="str">
        <f>IFERROR(VLOOKUP(F2&amp;"|"&amp;H2,Feature_Mappings!$A$2:$C$16,2,FALSE()),"")</f>
        <v>Eau de Parfum</v>
      </c>
      <c r="L2" t="str">
        <f>IFERROR(VLOOKUP(F2&amp;"|"&amp;H2,Feature_Mappings!$A$2:$C$16,3,FALSE()),"")</f>
        <v>Luxe Aroma Labs</v>
      </c>
      <c r="M2" t="str">
        <f>IFERROR(VLOOKUP(J2,Feature_Mappings!$D$2:$E$5,2,FALSE()),"")</f>
        <v>Olivia Bennett</v>
      </c>
      <c r="N2" t="s">
        <v>19</v>
      </c>
      <c r="O2" t="str">
        <f>IFERROR(INDEX(Store_Manager!$A$2:$A$5,MATCH(M2,Store_Manager!$B$2:$B$5,0)),"")</f>
        <v>MGR001</v>
      </c>
    </row>
    <row r="3" spans="1:15" ht="15.75" customHeight="1">
      <c r="A3">
        <v>2</v>
      </c>
      <c r="B3" s="2">
        <v>44984</v>
      </c>
      <c r="C3" t="s">
        <v>20</v>
      </c>
      <c r="D3" t="s">
        <v>21</v>
      </c>
      <c r="E3">
        <v>26</v>
      </c>
      <c r="F3" s="3" t="s">
        <v>22</v>
      </c>
      <c r="G3">
        <v>2</v>
      </c>
      <c r="H3" s="4">
        <v>500</v>
      </c>
      <c r="I3" s="4">
        <v>1000</v>
      </c>
      <c r="J3" t="s">
        <v>18</v>
      </c>
      <c r="K3" t="str">
        <f>IFERROR(VLOOKUP(F3&amp;"|"&amp;H3,Feature_Mappings!$A$2:$C$16,2,FALSE()),"")</f>
        <v>Designer Coat</v>
      </c>
      <c r="L3" t="str">
        <f>IFERROR(VLOOKUP(F3&amp;"|"&amp;H3,Feature_Mappings!$A$2:$C$16,3,FALSE()),"")</f>
        <v>Prestige Fashion House</v>
      </c>
      <c r="M3" t="str">
        <f>IFERROR(VLOOKUP(J3,Feature_Mappings!$D$2:$E$5,2,FALSE()),"")</f>
        <v>Olivia Bennett</v>
      </c>
      <c r="N3" t="s">
        <v>19</v>
      </c>
      <c r="O3" t="str">
        <f>IFERROR(INDEX(Store_Manager!$A$2:$A$5,MATCH(M3,Store_Manager!$B$2:$B$5,0)),"")</f>
        <v>MGR001</v>
      </c>
    </row>
    <row r="4" spans="1:15" ht="15.75" customHeight="1">
      <c r="A4">
        <v>3</v>
      </c>
      <c r="B4" s="2">
        <v>44939</v>
      </c>
      <c r="C4" t="s">
        <v>23</v>
      </c>
      <c r="D4" t="s">
        <v>16</v>
      </c>
      <c r="E4">
        <v>50</v>
      </c>
      <c r="F4" s="3" t="s">
        <v>24</v>
      </c>
      <c r="G4">
        <v>1</v>
      </c>
      <c r="H4" s="4">
        <v>30</v>
      </c>
      <c r="I4" s="4">
        <v>30</v>
      </c>
      <c r="J4" t="s">
        <v>18</v>
      </c>
      <c r="K4" t="str">
        <f>IFERROR(VLOOKUP(F4&amp;"|"&amp;H4,Feature_Mappings!$A$2:$C$16,2,FALSE()),"")</f>
        <v>Wireless Mouse</v>
      </c>
      <c r="L4" t="str">
        <f>IFERROR(VLOOKUP(F4&amp;"|"&amp;H4,Feature_Mappings!$A$2:$C$16,3,FALSE()),"")</f>
        <v>ByteWave Distributors</v>
      </c>
      <c r="M4" t="str">
        <f>IFERROR(VLOOKUP(J4,Feature_Mappings!$D$2:$E$5,2,FALSE()),"")</f>
        <v>Olivia Bennett</v>
      </c>
      <c r="N4" t="s">
        <v>19</v>
      </c>
      <c r="O4" t="str">
        <f>IFERROR(INDEX(Store_Manager!$A$2:$A$5,MATCH(M4,Store_Manager!$B$2:$B$5,0)),"")</f>
        <v>MGR001</v>
      </c>
    </row>
    <row r="5" spans="1:15" ht="15.75" customHeight="1">
      <c r="A5">
        <v>4</v>
      </c>
      <c r="B5" s="2">
        <v>45067</v>
      </c>
      <c r="C5" t="s">
        <v>25</v>
      </c>
      <c r="D5" t="s">
        <v>16</v>
      </c>
      <c r="E5">
        <v>37</v>
      </c>
      <c r="F5" s="3" t="s">
        <v>22</v>
      </c>
      <c r="G5">
        <v>1</v>
      </c>
      <c r="H5" s="4">
        <v>500</v>
      </c>
      <c r="I5" s="4">
        <v>500</v>
      </c>
      <c r="J5" t="s">
        <v>18</v>
      </c>
      <c r="K5" t="str">
        <f>IFERROR(VLOOKUP(F5&amp;"|"&amp;H5,Feature_Mappings!$A$2:$C$16,2,FALSE()),"")</f>
        <v>Designer Coat</v>
      </c>
      <c r="L5" t="str">
        <f>IFERROR(VLOOKUP(F5&amp;"|"&amp;H5,Feature_Mappings!$A$2:$C$16,3,FALSE()),"")</f>
        <v>Prestige Fashion House</v>
      </c>
      <c r="M5" t="str">
        <f>IFERROR(VLOOKUP(J5,Feature_Mappings!$D$2:$E$5,2,FALSE()),"")</f>
        <v>Olivia Bennett</v>
      </c>
      <c r="N5" t="s">
        <v>19</v>
      </c>
      <c r="O5" t="str">
        <f>IFERROR(INDEX(Store_Manager!$A$2:$A$5,MATCH(M5,Store_Manager!$B$2:$B$5,0)),"")</f>
        <v>MGR001</v>
      </c>
    </row>
    <row r="6" spans="1:15" ht="15.75" customHeight="1">
      <c r="A6">
        <v>5</v>
      </c>
      <c r="B6" s="2">
        <v>45052</v>
      </c>
      <c r="C6" t="s">
        <v>26</v>
      </c>
      <c r="D6" t="s">
        <v>16</v>
      </c>
      <c r="E6">
        <v>30</v>
      </c>
      <c r="F6" s="3" t="s">
        <v>17</v>
      </c>
      <c r="G6">
        <v>2</v>
      </c>
      <c r="H6" s="4">
        <v>50</v>
      </c>
      <c r="I6" s="4">
        <v>100</v>
      </c>
      <c r="J6" t="s">
        <v>18</v>
      </c>
      <c r="K6" t="str">
        <f>IFERROR(VLOOKUP(F6&amp;"|"&amp;H6,Feature_Mappings!$A$2:$C$16,2,FALSE()),"")</f>
        <v>Eau de Parfum</v>
      </c>
      <c r="L6" t="str">
        <f>IFERROR(VLOOKUP(F6&amp;"|"&amp;H6,Feature_Mappings!$A$2:$C$16,3,FALSE()),"")</f>
        <v>Luxe Aroma Labs</v>
      </c>
      <c r="M6" t="str">
        <f>IFERROR(VLOOKUP(J6,Feature_Mappings!$D$2:$E$5,2,FALSE()),"")</f>
        <v>Olivia Bennett</v>
      </c>
      <c r="N6" t="s">
        <v>19</v>
      </c>
      <c r="O6" t="str">
        <f>IFERROR(INDEX(Store_Manager!$A$2:$A$5,MATCH(M6,Store_Manager!$B$2:$B$5,0)),"")</f>
        <v>MGR001</v>
      </c>
    </row>
    <row r="7" spans="1:15" ht="15.75" customHeight="1">
      <c r="A7">
        <v>6</v>
      </c>
      <c r="B7" s="2">
        <v>45041</v>
      </c>
      <c r="C7" t="s">
        <v>27</v>
      </c>
      <c r="D7" t="s">
        <v>21</v>
      </c>
      <c r="E7">
        <v>45</v>
      </c>
      <c r="F7" s="3" t="s">
        <v>17</v>
      </c>
      <c r="G7">
        <v>1</v>
      </c>
      <c r="H7" s="4">
        <v>30</v>
      </c>
      <c r="I7" s="4">
        <v>30</v>
      </c>
      <c r="J7" t="s">
        <v>18</v>
      </c>
      <c r="K7" t="str">
        <f>IFERROR(VLOOKUP(F7&amp;"|"&amp;H7,Feature_Mappings!$A$2:$C$16,2,FALSE()),"")</f>
        <v>Facial Cleanser</v>
      </c>
      <c r="L7" t="str">
        <f>IFERROR(VLOOKUP(F7&amp;"|"&amp;H7,Feature_Mappings!$A$2:$C$16,3,FALSE()),"")</f>
        <v>PureDerma Supplies</v>
      </c>
      <c r="M7" t="str">
        <f>IFERROR(VLOOKUP(J7,Feature_Mappings!$D$2:$E$5,2,FALSE()),"")</f>
        <v>Olivia Bennett</v>
      </c>
      <c r="N7" t="s">
        <v>19</v>
      </c>
      <c r="O7" t="str">
        <f>IFERROR(INDEX(Store_Manager!$A$2:$A$5,MATCH(M7,Store_Manager!$B$2:$B$5,0)),"")</f>
        <v>MGR001</v>
      </c>
    </row>
    <row r="8" spans="1:15" ht="15.75" customHeight="1">
      <c r="A8">
        <v>7</v>
      </c>
      <c r="B8" s="2">
        <v>44998</v>
      </c>
      <c r="C8" t="s">
        <v>28</v>
      </c>
      <c r="D8" t="s">
        <v>16</v>
      </c>
      <c r="E8">
        <v>46</v>
      </c>
      <c r="F8" s="3" t="s">
        <v>22</v>
      </c>
      <c r="G8">
        <v>2</v>
      </c>
      <c r="H8" s="4">
        <v>25</v>
      </c>
      <c r="I8" s="4">
        <v>50</v>
      </c>
      <c r="J8" t="s">
        <v>18</v>
      </c>
      <c r="K8" t="str">
        <f>IFERROR(VLOOKUP(F8&amp;"|"&amp;H8,Feature_Mappings!$A$2:$C$16,2,FALSE()),"")</f>
        <v>Cotton Socks</v>
      </c>
      <c r="L8" t="str">
        <f>IFERROR(VLOOKUP(F8&amp;"|"&amp;H8,Feature_Mappings!$A$2:$C$16,3,FALSE()),"")</f>
        <v>Urban Basics Co.</v>
      </c>
      <c r="M8" t="str">
        <f>IFERROR(VLOOKUP(J8,Feature_Mappings!$D$2:$E$5,2,FALSE()),"")</f>
        <v>Olivia Bennett</v>
      </c>
      <c r="N8" t="s">
        <v>19</v>
      </c>
      <c r="O8" t="str">
        <f>IFERROR(INDEX(Store_Manager!$A$2:$A$5,MATCH(M8,Store_Manager!$B$2:$B$5,0)),"")</f>
        <v>MGR001</v>
      </c>
    </row>
    <row r="9" spans="1:15" ht="15.75" customHeight="1">
      <c r="A9">
        <v>8</v>
      </c>
      <c r="B9" s="2">
        <v>44979</v>
      </c>
      <c r="C9" t="s">
        <v>29</v>
      </c>
      <c r="D9" t="s">
        <v>16</v>
      </c>
      <c r="E9">
        <v>30</v>
      </c>
      <c r="F9" s="3" t="s">
        <v>24</v>
      </c>
      <c r="G9">
        <v>4</v>
      </c>
      <c r="H9" s="4">
        <v>25</v>
      </c>
      <c r="I9" s="4">
        <v>100</v>
      </c>
      <c r="J9" t="s">
        <v>18</v>
      </c>
      <c r="K9" t="str">
        <f>IFERROR(VLOOKUP(F9&amp;"|"&amp;H9,Feature_Mappings!$A$2:$C$16,2,FALSE()),"")</f>
        <v>USB-C Charger</v>
      </c>
      <c r="L9" t="str">
        <f>IFERROR(VLOOKUP(F9&amp;"|"&amp;H9,Feature_Mappings!$A$2:$C$16,3,FALSE()),"")</f>
        <v>VoltEdge Electronics</v>
      </c>
      <c r="M9" t="str">
        <f>IFERROR(VLOOKUP(J9,Feature_Mappings!$D$2:$E$5,2,FALSE()),"")</f>
        <v>Olivia Bennett</v>
      </c>
      <c r="N9" t="s">
        <v>19</v>
      </c>
      <c r="O9" t="str">
        <f>IFERROR(INDEX(Store_Manager!$A$2:$A$5,MATCH(M9,Store_Manager!$B$2:$B$5,0)),"")</f>
        <v>MGR001</v>
      </c>
    </row>
    <row r="10" spans="1:15" ht="15.75" customHeight="1">
      <c r="A10">
        <v>9</v>
      </c>
      <c r="B10" s="2">
        <v>45273</v>
      </c>
      <c r="C10" t="s">
        <v>30</v>
      </c>
      <c r="D10" t="s">
        <v>16</v>
      </c>
      <c r="E10">
        <v>63</v>
      </c>
      <c r="F10" s="3" t="s">
        <v>24</v>
      </c>
      <c r="G10">
        <v>2</v>
      </c>
      <c r="H10" s="4">
        <v>300</v>
      </c>
      <c r="I10" s="4">
        <v>600</v>
      </c>
      <c r="J10" t="s">
        <v>18</v>
      </c>
      <c r="K10" t="str">
        <f>IFERROR(VLOOKUP(F10&amp;"|"&amp;H10,Feature_Mappings!$A$2:$C$16,2,FALSE()),"")</f>
        <v>Tablet</v>
      </c>
      <c r="L10" t="str">
        <f>IFERROR(VLOOKUP(F10&amp;"|"&amp;H10,Feature_Mappings!$A$2:$C$16,3,FALSE()),"")</f>
        <v>NextGen Devices</v>
      </c>
      <c r="M10" t="str">
        <f>IFERROR(VLOOKUP(J10,Feature_Mappings!$D$2:$E$5,2,FALSE()),"")</f>
        <v>Olivia Bennett</v>
      </c>
      <c r="N10" t="s">
        <v>19</v>
      </c>
      <c r="O10" t="str">
        <f>IFERROR(INDEX(Store_Manager!$A$2:$A$5,MATCH(M10,Store_Manager!$B$2:$B$5,0)),"")</f>
        <v>MGR001</v>
      </c>
    </row>
    <row r="11" spans="1:15" ht="15.75" customHeight="1">
      <c r="A11">
        <v>10</v>
      </c>
      <c r="B11" s="2">
        <v>45206</v>
      </c>
      <c r="C11" t="s">
        <v>31</v>
      </c>
      <c r="D11" t="s">
        <v>21</v>
      </c>
      <c r="E11">
        <v>52</v>
      </c>
      <c r="F11" s="3" t="s">
        <v>22</v>
      </c>
      <c r="G11">
        <v>4</v>
      </c>
      <c r="H11" s="4">
        <v>50</v>
      </c>
      <c r="I11" s="4">
        <v>200</v>
      </c>
      <c r="J11" t="s">
        <v>18</v>
      </c>
      <c r="K11" t="str">
        <f>IFERROR(VLOOKUP(F11&amp;"|"&amp;H11,Feature_Mappings!$A$2:$C$16,2,FALSE()),"")</f>
        <v>Denim Jeans</v>
      </c>
      <c r="L11" t="str">
        <f>IFERROR(VLOOKUP(F11&amp;"|"&amp;H11,Feature_Mappings!$A$2:$C$16,3,FALSE()),"")</f>
        <v>BlueFit Garments</v>
      </c>
      <c r="M11" t="str">
        <f>IFERROR(VLOOKUP(J11,Feature_Mappings!$D$2:$E$5,2,FALSE()),"")</f>
        <v>Olivia Bennett</v>
      </c>
      <c r="N11" t="s">
        <v>19</v>
      </c>
      <c r="O11" t="str">
        <f>IFERROR(INDEX(Store_Manager!$A$2:$A$5,MATCH(M11,Store_Manager!$B$2:$B$5,0)),"")</f>
        <v>MGR001</v>
      </c>
    </row>
    <row r="12" spans="1:15" ht="15.75" customHeight="1">
      <c r="A12">
        <v>11</v>
      </c>
      <c r="B12" s="2">
        <v>44971</v>
      </c>
      <c r="C12" t="s">
        <v>32</v>
      </c>
      <c r="D12" t="s">
        <v>16</v>
      </c>
      <c r="E12">
        <v>23</v>
      </c>
      <c r="F12" s="3" t="s">
        <v>22</v>
      </c>
      <c r="G12">
        <v>2</v>
      </c>
      <c r="H12" s="4">
        <v>50</v>
      </c>
      <c r="I12" s="4">
        <v>100</v>
      </c>
      <c r="J12" t="s">
        <v>18</v>
      </c>
      <c r="K12" t="str">
        <f>IFERROR(VLOOKUP(F12&amp;"|"&amp;H12,Feature_Mappings!$A$2:$C$16,2,FALSE()),"")</f>
        <v>Denim Jeans</v>
      </c>
      <c r="L12" t="str">
        <f>IFERROR(VLOOKUP(F12&amp;"|"&amp;H12,Feature_Mappings!$A$2:$C$16,3,FALSE()),"")</f>
        <v>BlueFit Garments</v>
      </c>
      <c r="M12" t="str">
        <f>IFERROR(VLOOKUP(J12,Feature_Mappings!$D$2:$E$5,2,FALSE()),"")</f>
        <v>Olivia Bennett</v>
      </c>
      <c r="N12" t="s">
        <v>19</v>
      </c>
      <c r="O12" t="str">
        <f>IFERROR(INDEX(Store_Manager!$A$2:$A$5,MATCH(M12,Store_Manager!$B$2:$B$5,0)),"")</f>
        <v>MGR001</v>
      </c>
    </row>
    <row r="13" spans="1:15" ht="15.75" customHeight="1">
      <c r="A13">
        <v>12</v>
      </c>
      <c r="B13" s="2">
        <v>45229</v>
      </c>
      <c r="C13" t="s">
        <v>33</v>
      </c>
      <c r="D13" t="s">
        <v>16</v>
      </c>
      <c r="E13">
        <v>35</v>
      </c>
      <c r="F13" s="3" t="s">
        <v>17</v>
      </c>
      <c r="G13">
        <v>3</v>
      </c>
      <c r="H13" s="4">
        <v>25</v>
      </c>
      <c r="I13" s="4">
        <v>75</v>
      </c>
      <c r="J13" t="s">
        <v>18</v>
      </c>
      <c r="K13" t="str">
        <f>IFERROR(VLOOKUP(F13&amp;"|"&amp;H13,Feature_Mappings!$A$2:$C$16,2,FALSE()),"")</f>
        <v>Lip Balm</v>
      </c>
      <c r="L13" t="str">
        <f>IFERROR(VLOOKUP(F13&amp;"|"&amp;H13,Feature_Mappings!$A$2:$C$16,3,FALSE()),"")</f>
        <v>GlowSource Cosmetics</v>
      </c>
      <c r="M13" t="str">
        <f>IFERROR(VLOOKUP(J13,Feature_Mappings!$D$2:$E$5,2,FALSE()),"")</f>
        <v>Olivia Bennett</v>
      </c>
      <c r="N13" t="s">
        <v>19</v>
      </c>
      <c r="O13" t="str">
        <f>IFERROR(INDEX(Store_Manager!$A$2:$A$5,MATCH(M13,Store_Manager!$B$2:$B$5,0)),"")</f>
        <v>MGR001</v>
      </c>
    </row>
    <row r="14" spans="1:15" ht="15.75" customHeight="1">
      <c r="A14">
        <v>13</v>
      </c>
      <c r="B14" s="2">
        <v>45143</v>
      </c>
      <c r="C14" t="s">
        <v>34</v>
      </c>
      <c r="D14" t="s">
        <v>16</v>
      </c>
      <c r="E14">
        <v>22</v>
      </c>
      <c r="F14" s="3" t="s">
        <v>24</v>
      </c>
      <c r="G14">
        <v>3</v>
      </c>
      <c r="H14" s="4">
        <v>500</v>
      </c>
      <c r="I14" s="4">
        <v>1500</v>
      </c>
      <c r="J14" t="s">
        <v>18</v>
      </c>
      <c r="K14" t="str">
        <f>IFERROR(VLOOKUP(F14&amp;"|"&amp;H14,Feature_Mappings!$A$2:$C$16,2,FALSE()),"")</f>
        <v>Smartphone</v>
      </c>
      <c r="L14" t="str">
        <f>IFERROR(VLOOKUP(F14&amp;"|"&amp;H14,Feature_Mappings!$A$2:$C$16,3,FALSE()),"")</f>
        <v>NovaTech Wholesale</v>
      </c>
      <c r="M14" t="str">
        <f>IFERROR(VLOOKUP(J14,Feature_Mappings!$D$2:$E$5,2,FALSE()),"")</f>
        <v>Olivia Bennett</v>
      </c>
      <c r="N14" t="s">
        <v>19</v>
      </c>
      <c r="O14" t="str">
        <f>IFERROR(INDEX(Store_Manager!$A$2:$A$5,MATCH(M14,Store_Manager!$B$2:$B$5,0)),"")</f>
        <v>MGR001</v>
      </c>
    </row>
    <row r="15" spans="1:15" ht="15.75" customHeight="1">
      <c r="A15">
        <v>14</v>
      </c>
      <c r="B15" s="2">
        <v>44943</v>
      </c>
      <c r="C15" t="s">
        <v>35</v>
      </c>
      <c r="D15" t="s">
        <v>16</v>
      </c>
      <c r="E15">
        <v>64</v>
      </c>
      <c r="F15" s="3" t="s">
        <v>22</v>
      </c>
      <c r="G15">
        <v>4</v>
      </c>
      <c r="H15" s="4">
        <v>30</v>
      </c>
      <c r="I15" s="4">
        <v>120</v>
      </c>
      <c r="J15" t="s">
        <v>18</v>
      </c>
      <c r="K15" t="str">
        <f>IFERROR(VLOOKUP(F15&amp;"|"&amp;H15,Feature_Mappings!$A$2:$C$16,2,FALSE()),"")</f>
        <v>Graphic T-Shirt</v>
      </c>
      <c r="L15" t="str">
        <f>IFERROR(VLOOKUP(F15&amp;"|"&amp;H15,Feature_Mappings!$A$2:$C$16,3,FALSE()),"")</f>
        <v>ThreadWorks Apparel</v>
      </c>
      <c r="M15" t="str">
        <f>IFERROR(VLOOKUP(J15,Feature_Mappings!$D$2:$E$5,2,FALSE()),"")</f>
        <v>Olivia Bennett</v>
      </c>
      <c r="N15" t="s">
        <v>19</v>
      </c>
      <c r="O15" t="str">
        <f>IFERROR(INDEX(Store_Manager!$A$2:$A$5,MATCH(M15,Store_Manager!$B$2:$B$5,0)),"")</f>
        <v>MGR001</v>
      </c>
    </row>
    <row r="16" spans="1:15" ht="15.75" customHeight="1">
      <c r="A16">
        <v>15</v>
      </c>
      <c r="B16" s="2">
        <v>44942</v>
      </c>
      <c r="C16" t="s">
        <v>36</v>
      </c>
      <c r="D16" t="s">
        <v>21</v>
      </c>
      <c r="E16">
        <v>42</v>
      </c>
      <c r="F16" s="3" t="s">
        <v>24</v>
      </c>
      <c r="G16">
        <v>4</v>
      </c>
      <c r="H16" s="4">
        <v>500</v>
      </c>
      <c r="I16" s="4">
        <v>2000</v>
      </c>
      <c r="J16" t="s">
        <v>18</v>
      </c>
      <c r="K16" t="str">
        <f>IFERROR(VLOOKUP(F16&amp;"|"&amp;H16,Feature_Mappings!$A$2:$C$16,2,FALSE()),"")</f>
        <v>Smartphone</v>
      </c>
      <c r="L16" t="str">
        <f>IFERROR(VLOOKUP(F16&amp;"|"&amp;H16,Feature_Mappings!$A$2:$C$16,3,FALSE()),"")</f>
        <v>NovaTech Wholesale</v>
      </c>
      <c r="M16" t="str">
        <f>IFERROR(VLOOKUP(J16,Feature_Mappings!$D$2:$E$5,2,FALSE()),"")</f>
        <v>Olivia Bennett</v>
      </c>
      <c r="N16" t="s">
        <v>19</v>
      </c>
      <c r="O16" t="str">
        <f>IFERROR(INDEX(Store_Manager!$A$2:$A$5,MATCH(M16,Store_Manager!$B$2:$B$5,0)),"")</f>
        <v>MGR001</v>
      </c>
    </row>
    <row r="17" spans="1:15" ht="15.75" customHeight="1">
      <c r="A17">
        <v>16</v>
      </c>
      <c r="B17" s="2">
        <v>44974</v>
      </c>
      <c r="C17" t="s">
        <v>37</v>
      </c>
      <c r="D17" t="s">
        <v>16</v>
      </c>
      <c r="E17">
        <v>19</v>
      </c>
      <c r="F17" s="3" t="s">
        <v>22</v>
      </c>
      <c r="G17">
        <v>3</v>
      </c>
      <c r="H17" s="4">
        <v>500</v>
      </c>
      <c r="I17" s="4">
        <v>1500</v>
      </c>
      <c r="J17" t="s">
        <v>18</v>
      </c>
      <c r="K17" t="str">
        <f>IFERROR(VLOOKUP(F17&amp;"|"&amp;H17,Feature_Mappings!$A$2:$C$16,2,FALSE()),"")</f>
        <v>Designer Coat</v>
      </c>
      <c r="L17" t="str">
        <f>IFERROR(VLOOKUP(F17&amp;"|"&amp;H17,Feature_Mappings!$A$2:$C$16,3,FALSE()),"")</f>
        <v>Prestige Fashion House</v>
      </c>
      <c r="M17" t="str">
        <f>IFERROR(VLOOKUP(J17,Feature_Mappings!$D$2:$E$5,2,FALSE()),"")</f>
        <v>Olivia Bennett</v>
      </c>
      <c r="N17" t="s">
        <v>19</v>
      </c>
      <c r="O17" t="str">
        <f>IFERROR(INDEX(Store_Manager!$A$2:$A$5,MATCH(M17,Store_Manager!$B$2:$B$5,0)),"")</f>
        <v>MGR001</v>
      </c>
    </row>
    <row r="18" spans="1:15" ht="15.75" customHeight="1">
      <c r="A18">
        <v>17</v>
      </c>
      <c r="B18" s="2">
        <v>45038</v>
      </c>
      <c r="C18" t="s">
        <v>38</v>
      </c>
      <c r="D18" t="s">
        <v>21</v>
      </c>
      <c r="E18">
        <v>27</v>
      </c>
      <c r="F18" s="3" t="s">
        <v>22</v>
      </c>
      <c r="G18">
        <v>4</v>
      </c>
      <c r="H18" s="4">
        <v>25</v>
      </c>
      <c r="I18" s="4">
        <v>100</v>
      </c>
      <c r="J18" t="s">
        <v>18</v>
      </c>
      <c r="K18" t="str">
        <f>IFERROR(VLOOKUP(F18&amp;"|"&amp;H18,Feature_Mappings!$A$2:$C$16,2,FALSE()),"")</f>
        <v>Cotton Socks</v>
      </c>
      <c r="L18" t="str">
        <f>IFERROR(VLOOKUP(F18&amp;"|"&amp;H18,Feature_Mappings!$A$2:$C$16,3,FALSE()),"")</f>
        <v>Urban Basics Co.</v>
      </c>
      <c r="M18" t="str">
        <f>IFERROR(VLOOKUP(J18,Feature_Mappings!$D$2:$E$5,2,FALSE()),"")</f>
        <v>Olivia Bennett</v>
      </c>
      <c r="N18" t="s">
        <v>19</v>
      </c>
      <c r="O18" t="str">
        <f>IFERROR(INDEX(Store_Manager!$A$2:$A$5,MATCH(M18,Store_Manager!$B$2:$B$5,0)),"")</f>
        <v>MGR001</v>
      </c>
    </row>
    <row r="19" spans="1:15" ht="15.75" customHeight="1">
      <c r="A19">
        <v>18</v>
      </c>
      <c r="B19" s="2">
        <v>45046</v>
      </c>
      <c r="C19" t="s">
        <v>39</v>
      </c>
      <c r="D19" t="s">
        <v>21</v>
      </c>
      <c r="E19">
        <v>47</v>
      </c>
      <c r="F19" s="3" t="s">
        <v>24</v>
      </c>
      <c r="G19">
        <v>2</v>
      </c>
      <c r="H19" s="4">
        <v>25</v>
      </c>
      <c r="I19" s="4">
        <v>50</v>
      </c>
      <c r="J19" t="s">
        <v>18</v>
      </c>
      <c r="K19" t="str">
        <f>IFERROR(VLOOKUP(F19&amp;"|"&amp;H19,Feature_Mappings!$A$2:$C$16,2,FALSE()),"")</f>
        <v>USB-C Charger</v>
      </c>
      <c r="L19" t="str">
        <f>IFERROR(VLOOKUP(F19&amp;"|"&amp;H19,Feature_Mappings!$A$2:$C$16,3,FALSE()),"")</f>
        <v>VoltEdge Electronics</v>
      </c>
      <c r="M19" t="str">
        <f>IFERROR(VLOOKUP(J19,Feature_Mappings!$D$2:$E$5,2,FALSE()),"")</f>
        <v>Olivia Bennett</v>
      </c>
      <c r="N19" t="s">
        <v>19</v>
      </c>
      <c r="O19" t="str">
        <f>IFERROR(INDEX(Store_Manager!$A$2:$A$5,MATCH(M19,Store_Manager!$B$2:$B$5,0)),"")</f>
        <v>MGR001</v>
      </c>
    </row>
    <row r="20" spans="1:15" ht="15.75" customHeight="1">
      <c r="A20">
        <v>19</v>
      </c>
      <c r="B20" s="2">
        <v>45185</v>
      </c>
      <c r="C20" t="s">
        <v>40</v>
      </c>
      <c r="D20" t="s">
        <v>21</v>
      </c>
      <c r="E20">
        <v>62</v>
      </c>
      <c r="F20" s="3" t="s">
        <v>22</v>
      </c>
      <c r="G20">
        <v>2</v>
      </c>
      <c r="H20" s="4">
        <v>25</v>
      </c>
      <c r="I20" s="4">
        <v>50</v>
      </c>
      <c r="J20" t="s">
        <v>18</v>
      </c>
      <c r="K20" t="str">
        <f>IFERROR(VLOOKUP(F20&amp;"|"&amp;H20,Feature_Mappings!$A$2:$C$16,2,FALSE()),"")</f>
        <v>Cotton Socks</v>
      </c>
      <c r="L20" t="str">
        <f>IFERROR(VLOOKUP(F20&amp;"|"&amp;H20,Feature_Mappings!$A$2:$C$16,3,FALSE()),"")</f>
        <v>Urban Basics Co.</v>
      </c>
      <c r="M20" t="str">
        <f>IFERROR(VLOOKUP(J20,Feature_Mappings!$D$2:$E$5,2,FALSE()),"")</f>
        <v>Olivia Bennett</v>
      </c>
      <c r="N20" t="s">
        <v>19</v>
      </c>
      <c r="O20" t="str">
        <f>IFERROR(INDEX(Store_Manager!$A$2:$A$5,MATCH(M20,Store_Manager!$B$2:$B$5,0)),"")</f>
        <v>MGR001</v>
      </c>
    </row>
    <row r="21" spans="1:15" ht="15.75" customHeight="1">
      <c r="A21">
        <v>20</v>
      </c>
      <c r="B21" s="2">
        <v>45235</v>
      </c>
      <c r="C21" t="s">
        <v>41</v>
      </c>
      <c r="D21" t="s">
        <v>16</v>
      </c>
      <c r="E21">
        <v>22</v>
      </c>
      <c r="F21" s="3" t="s">
        <v>22</v>
      </c>
      <c r="G21">
        <v>3</v>
      </c>
      <c r="H21" s="4">
        <v>300</v>
      </c>
      <c r="I21" s="4">
        <v>900</v>
      </c>
      <c r="J21" t="s">
        <v>18</v>
      </c>
      <c r="K21" t="str">
        <f>IFERROR(VLOOKUP(F21&amp;"|"&amp;H21,Feature_Mappings!$A$2:$C$16,2,FALSE()),"")</f>
        <v>Leather Jacket</v>
      </c>
      <c r="L21" t="str">
        <f>IFERROR(VLOOKUP(F21&amp;"|"&amp;H21,Feature_Mappings!$A$2:$C$16,3,FALSE()),"")</f>
        <v>Metro Style Manufacturing</v>
      </c>
      <c r="M21" t="str">
        <f>IFERROR(VLOOKUP(J21,Feature_Mappings!$D$2:$E$5,2,FALSE()),"")</f>
        <v>Olivia Bennett</v>
      </c>
      <c r="N21" t="s">
        <v>19</v>
      </c>
      <c r="O21" t="str">
        <f>IFERROR(INDEX(Store_Manager!$A$2:$A$5,MATCH(M21,Store_Manager!$B$2:$B$5,0)),"")</f>
        <v>MGR001</v>
      </c>
    </row>
    <row r="22" spans="1:15" ht="15.75" customHeight="1">
      <c r="A22">
        <v>21</v>
      </c>
      <c r="B22" s="2">
        <v>44940</v>
      </c>
      <c r="C22" t="s">
        <v>42</v>
      </c>
      <c r="D22" t="s">
        <v>21</v>
      </c>
      <c r="E22">
        <v>50</v>
      </c>
      <c r="F22" s="3" t="s">
        <v>17</v>
      </c>
      <c r="G22">
        <v>1</v>
      </c>
      <c r="H22" s="4">
        <v>500</v>
      </c>
      <c r="I22" s="4">
        <v>500</v>
      </c>
      <c r="J22" t="s">
        <v>18</v>
      </c>
      <c r="K22" t="str">
        <f>IFERROR(VLOOKUP(F22&amp;"|"&amp;H22,Feature_Mappings!$A$2:$C$16,2,FALSE()),"")</f>
        <v>LED Beauty Device</v>
      </c>
      <c r="L22" t="str">
        <f>IFERROR(VLOOKUP(F22&amp;"|"&amp;H22,Feature_Mappings!$A$2:$C$16,3,FALSE()),"")</f>
        <v>BeautyTech Pro</v>
      </c>
      <c r="M22" t="str">
        <f>IFERROR(VLOOKUP(J22,Feature_Mappings!$D$2:$E$5,2,FALSE()),"")</f>
        <v>Olivia Bennett</v>
      </c>
      <c r="N22" t="s">
        <v>19</v>
      </c>
      <c r="O22" t="str">
        <f>IFERROR(INDEX(Store_Manager!$A$2:$A$5,MATCH(M22,Store_Manager!$B$2:$B$5,0)),"")</f>
        <v>MGR001</v>
      </c>
    </row>
    <row r="23" spans="1:15" ht="15.75" customHeight="1">
      <c r="A23">
        <v>22</v>
      </c>
      <c r="B23" s="2">
        <v>45214</v>
      </c>
      <c r="C23" t="s">
        <v>43</v>
      </c>
      <c r="D23" t="s">
        <v>16</v>
      </c>
      <c r="E23">
        <v>18</v>
      </c>
      <c r="F23" s="3" t="s">
        <v>22</v>
      </c>
      <c r="G23">
        <v>2</v>
      </c>
      <c r="H23" s="4">
        <v>50</v>
      </c>
      <c r="I23" s="4">
        <v>100</v>
      </c>
      <c r="J23" t="s">
        <v>18</v>
      </c>
      <c r="K23" t="str">
        <f>IFERROR(VLOOKUP(F23&amp;"|"&amp;H23,Feature_Mappings!$A$2:$C$16,2,FALSE()),"")</f>
        <v>Denim Jeans</v>
      </c>
      <c r="L23" t="str">
        <f>IFERROR(VLOOKUP(F23&amp;"|"&amp;H23,Feature_Mappings!$A$2:$C$16,3,FALSE()),"")</f>
        <v>BlueFit Garments</v>
      </c>
      <c r="M23" t="str">
        <f>IFERROR(VLOOKUP(J23,Feature_Mappings!$D$2:$E$5,2,FALSE()),"")</f>
        <v>Olivia Bennett</v>
      </c>
      <c r="N23" t="s">
        <v>19</v>
      </c>
      <c r="O23" t="str">
        <f>IFERROR(INDEX(Store_Manager!$A$2:$A$5,MATCH(M23,Store_Manager!$B$2:$B$5,0)),"")</f>
        <v>MGR001</v>
      </c>
    </row>
    <row r="24" spans="1:15" ht="15.75" customHeight="1">
      <c r="A24">
        <v>23</v>
      </c>
      <c r="B24" s="2">
        <v>45028</v>
      </c>
      <c r="C24" t="s">
        <v>44</v>
      </c>
      <c r="D24" t="s">
        <v>21</v>
      </c>
      <c r="E24">
        <v>35</v>
      </c>
      <c r="F24" s="3" t="s">
        <v>22</v>
      </c>
      <c r="G24">
        <v>4</v>
      </c>
      <c r="H24" s="4">
        <v>30</v>
      </c>
      <c r="I24" s="4">
        <v>120</v>
      </c>
      <c r="J24" t="s">
        <v>18</v>
      </c>
      <c r="K24" t="str">
        <f>IFERROR(VLOOKUP(F24&amp;"|"&amp;H24,Feature_Mappings!$A$2:$C$16,2,FALSE()),"")</f>
        <v>Graphic T-Shirt</v>
      </c>
      <c r="L24" t="str">
        <f>IFERROR(VLOOKUP(F24&amp;"|"&amp;H24,Feature_Mappings!$A$2:$C$16,3,FALSE()),"")</f>
        <v>ThreadWorks Apparel</v>
      </c>
      <c r="M24" t="str">
        <f>IFERROR(VLOOKUP(J24,Feature_Mappings!$D$2:$E$5,2,FALSE()),"")</f>
        <v>Olivia Bennett</v>
      </c>
      <c r="N24" t="s">
        <v>19</v>
      </c>
      <c r="O24" t="str">
        <f>IFERROR(INDEX(Store_Manager!$A$2:$A$5,MATCH(M24,Store_Manager!$B$2:$B$5,0)),"")</f>
        <v>MGR001</v>
      </c>
    </row>
    <row r="25" spans="1:15" ht="15.75" customHeight="1">
      <c r="A25">
        <v>24</v>
      </c>
      <c r="B25" s="2">
        <v>45259</v>
      </c>
      <c r="C25" t="s">
        <v>45</v>
      </c>
      <c r="D25" t="s">
        <v>21</v>
      </c>
      <c r="E25">
        <v>49</v>
      </c>
      <c r="F25" s="3" t="s">
        <v>22</v>
      </c>
      <c r="G25">
        <v>1</v>
      </c>
      <c r="H25" s="4">
        <v>300</v>
      </c>
      <c r="I25" s="4">
        <v>300</v>
      </c>
      <c r="J25" t="s">
        <v>18</v>
      </c>
      <c r="K25" t="str">
        <f>IFERROR(VLOOKUP(F25&amp;"|"&amp;H25,Feature_Mappings!$A$2:$C$16,2,FALSE()),"")</f>
        <v>Leather Jacket</v>
      </c>
      <c r="L25" t="str">
        <f>IFERROR(VLOOKUP(F25&amp;"|"&amp;H25,Feature_Mappings!$A$2:$C$16,3,FALSE()),"")</f>
        <v>Metro Style Manufacturing</v>
      </c>
      <c r="M25" t="str">
        <f>IFERROR(VLOOKUP(J25,Feature_Mappings!$D$2:$E$5,2,FALSE()),"")</f>
        <v>Olivia Bennett</v>
      </c>
      <c r="N25" t="s">
        <v>19</v>
      </c>
      <c r="O25" t="str">
        <f>IFERROR(INDEX(Store_Manager!$A$2:$A$5,MATCH(M25,Store_Manager!$B$2:$B$5,0)),"")</f>
        <v>MGR001</v>
      </c>
    </row>
    <row r="26" spans="1:15" ht="15.75" customHeight="1">
      <c r="A26">
        <v>25</v>
      </c>
      <c r="B26" s="2">
        <v>45286</v>
      </c>
      <c r="C26" t="s">
        <v>46</v>
      </c>
      <c r="D26" t="s">
        <v>21</v>
      </c>
      <c r="E26">
        <v>64</v>
      </c>
      <c r="F26" s="3" t="s">
        <v>17</v>
      </c>
      <c r="G26">
        <v>1</v>
      </c>
      <c r="H26" s="4">
        <v>50</v>
      </c>
      <c r="I26" s="4">
        <v>50</v>
      </c>
      <c r="J26" t="s">
        <v>18</v>
      </c>
      <c r="K26" t="str">
        <f>IFERROR(VLOOKUP(F26&amp;"|"&amp;H26,Feature_Mappings!$A$2:$C$16,2,FALSE()),"")</f>
        <v>Eau de Parfum</v>
      </c>
      <c r="L26" t="str">
        <f>IFERROR(VLOOKUP(F26&amp;"|"&amp;H26,Feature_Mappings!$A$2:$C$16,3,FALSE()),"")</f>
        <v>Luxe Aroma Labs</v>
      </c>
      <c r="M26" t="str">
        <f>IFERROR(VLOOKUP(J26,Feature_Mappings!$D$2:$E$5,2,FALSE()),"")</f>
        <v>Olivia Bennett</v>
      </c>
      <c r="N26" t="s">
        <v>19</v>
      </c>
      <c r="O26" t="str">
        <f>IFERROR(INDEX(Store_Manager!$A$2:$A$5,MATCH(M26,Store_Manager!$B$2:$B$5,0)),"")</f>
        <v>MGR001</v>
      </c>
    </row>
    <row r="27" spans="1:15" ht="15.75" customHeight="1">
      <c r="A27">
        <v>26</v>
      </c>
      <c r="B27" s="2">
        <v>45206</v>
      </c>
      <c r="C27" t="s">
        <v>47</v>
      </c>
      <c r="D27" t="s">
        <v>21</v>
      </c>
      <c r="E27">
        <v>28</v>
      </c>
      <c r="F27" s="3" t="s">
        <v>24</v>
      </c>
      <c r="G27">
        <v>2</v>
      </c>
      <c r="H27" s="4">
        <v>500</v>
      </c>
      <c r="I27" s="4">
        <v>1000</v>
      </c>
      <c r="J27" t="s">
        <v>18</v>
      </c>
      <c r="K27" t="str">
        <f>IFERROR(VLOOKUP(F27&amp;"|"&amp;H27,Feature_Mappings!$A$2:$C$16,2,FALSE()),"")</f>
        <v>Smartphone</v>
      </c>
      <c r="L27" t="str">
        <f>IFERROR(VLOOKUP(F27&amp;"|"&amp;H27,Feature_Mappings!$A$2:$C$16,3,FALSE()),"")</f>
        <v>NovaTech Wholesale</v>
      </c>
      <c r="M27" t="str">
        <f>IFERROR(VLOOKUP(J27,Feature_Mappings!$D$2:$E$5,2,FALSE()),"")</f>
        <v>Olivia Bennett</v>
      </c>
      <c r="N27" t="s">
        <v>19</v>
      </c>
      <c r="O27" t="str">
        <f>IFERROR(INDEX(Store_Manager!$A$2:$A$5,MATCH(M27,Store_Manager!$B$2:$B$5,0)),"")</f>
        <v>MGR001</v>
      </c>
    </row>
    <row r="28" spans="1:15" ht="15.75" customHeight="1">
      <c r="A28">
        <v>27</v>
      </c>
      <c r="B28" s="2">
        <v>45141</v>
      </c>
      <c r="C28" t="s">
        <v>48</v>
      </c>
      <c r="D28" t="s">
        <v>21</v>
      </c>
      <c r="E28">
        <v>38</v>
      </c>
      <c r="F28" s="3" t="s">
        <v>17</v>
      </c>
      <c r="G28">
        <v>2</v>
      </c>
      <c r="H28" s="4">
        <v>25</v>
      </c>
      <c r="I28" s="4">
        <v>50</v>
      </c>
      <c r="J28" t="s">
        <v>18</v>
      </c>
      <c r="K28" t="str">
        <f>IFERROR(VLOOKUP(F28&amp;"|"&amp;H28,Feature_Mappings!$A$2:$C$16,2,FALSE()),"")</f>
        <v>Lip Balm</v>
      </c>
      <c r="L28" t="str">
        <f>IFERROR(VLOOKUP(F28&amp;"|"&amp;H28,Feature_Mappings!$A$2:$C$16,3,FALSE()),"")</f>
        <v>GlowSource Cosmetics</v>
      </c>
      <c r="M28" t="str">
        <f>IFERROR(VLOOKUP(J28,Feature_Mappings!$D$2:$E$5,2,FALSE()),"")</f>
        <v>Olivia Bennett</v>
      </c>
      <c r="N28" t="s">
        <v>19</v>
      </c>
      <c r="O28" t="str">
        <f>IFERROR(INDEX(Store_Manager!$A$2:$A$5,MATCH(M28,Store_Manager!$B$2:$B$5,0)),"")</f>
        <v>MGR001</v>
      </c>
    </row>
    <row r="29" spans="1:15" ht="15.75" customHeight="1">
      <c r="A29">
        <v>28</v>
      </c>
      <c r="B29" s="2">
        <v>45039</v>
      </c>
      <c r="C29" t="s">
        <v>49</v>
      </c>
      <c r="D29" t="s">
        <v>21</v>
      </c>
      <c r="E29">
        <v>43</v>
      </c>
      <c r="F29" s="3" t="s">
        <v>17</v>
      </c>
      <c r="G29">
        <v>1</v>
      </c>
      <c r="H29" s="4">
        <v>500</v>
      </c>
      <c r="I29" s="4">
        <v>500</v>
      </c>
      <c r="J29" t="s">
        <v>18</v>
      </c>
      <c r="K29" t="str">
        <f>IFERROR(VLOOKUP(F29&amp;"|"&amp;H29,Feature_Mappings!$A$2:$C$16,2,FALSE()),"")</f>
        <v>LED Beauty Device</v>
      </c>
      <c r="L29" t="str">
        <f>IFERROR(VLOOKUP(F29&amp;"|"&amp;H29,Feature_Mappings!$A$2:$C$16,3,FALSE()),"")</f>
        <v>BeautyTech Pro</v>
      </c>
      <c r="M29" t="str">
        <f>IFERROR(VLOOKUP(J29,Feature_Mappings!$D$2:$E$5,2,FALSE()),"")</f>
        <v>Olivia Bennett</v>
      </c>
      <c r="N29" t="s">
        <v>19</v>
      </c>
      <c r="O29" t="str">
        <f>IFERROR(INDEX(Store_Manager!$A$2:$A$5,MATCH(M29,Store_Manager!$B$2:$B$5,0)),"")</f>
        <v>MGR001</v>
      </c>
    </row>
    <row r="30" spans="1:15" ht="15.75" customHeight="1">
      <c r="A30">
        <v>29</v>
      </c>
      <c r="B30" s="2">
        <v>45156</v>
      </c>
      <c r="C30" t="s">
        <v>50</v>
      </c>
      <c r="D30" t="s">
        <v>21</v>
      </c>
      <c r="E30">
        <v>42</v>
      </c>
      <c r="F30" s="3" t="s">
        <v>24</v>
      </c>
      <c r="G30">
        <v>1</v>
      </c>
      <c r="H30" s="4">
        <v>30</v>
      </c>
      <c r="I30" s="4">
        <v>30</v>
      </c>
      <c r="J30" t="s">
        <v>18</v>
      </c>
      <c r="K30" t="str">
        <f>IFERROR(VLOOKUP(F30&amp;"|"&amp;H30,Feature_Mappings!$A$2:$C$16,2,FALSE()),"")</f>
        <v>Wireless Mouse</v>
      </c>
      <c r="L30" t="str">
        <f>IFERROR(VLOOKUP(F30&amp;"|"&amp;H30,Feature_Mappings!$A$2:$C$16,3,FALSE()),"")</f>
        <v>ByteWave Distributors</v>
      </c>
      <c r="M30" t="str">
        <f>IFERROR(VLOOKUP(J30,Feature_Mappings!$D$2:$E$5,2,FALSE()),"")</f>
        <v>Olivia Bennett</v>
      </c>
      <c r="N30" t="s">
        <v>19</v>
      </c>
      <c r="O30" t="str">
        <f>IFERROR(INDEX(Store_Manager!$A$2:$A$5,MATCH(M30,Store_Manager!$B$2:$B$5,0)),"")</f>
        <v>MGR001</v>
      </c>
    </row>
    <row r="31" spans="1:15" ht="15.75" customHeight="1">
      <c r="A31">
        <v>30</v>
      </c>
      <c r="B31" s="2">
        <v>45228</v>
      </c>
      <c r="C31" t="s">
        <v>51</v>
      </c>
      <c r="D31" t="s">
        <v>21</v>
      </c>
      <c r="E31">
        <v>39</v>
      </c>
      <c r="F31" s="3" t="s">
        <v>17</v>
      </c>
      <c r="G31">
        <v>3</v>
      </c>
      <c r="H31" s="4">
        <v>300</v>
      </c>
      <c r="I31" s="4">
        <v>900</v>
      </c>
      <c r="J31" t="s">
        <v>18</v>
      </c>
      <c r="K31" t="str">
        <f>IFERROR(VLOOKUP(F31&amp;"|"&amp;H31,Feature_Mappings!$A$2:$C$16,2,FALSE()),"")</f>
        <v>Skincare Gift Set</v>
      </c>
      <c r="L31" t="str">
        <f>IFERROR(VLOOKUP(F31&amp;"|"&amp;H31,Feature_Mappings!$A$2:$C$16,3,FALSE()),"")</f>
        <v>Radiant Beauty Wholesale</v>
      </c>
      <c r="M31" t="str">
        <f>IFERROR(VLOOKUP(J31,Feature_Mappings!$D$2:$E$5,2,FALSE()),"")</f>
        <v>Olivia Bennett</v>
      </c>
      <c r="N31" t="s">
        <v>19</v>
      </c>
      <c r="O31" t="str">
        <f>IFERROR(INDEX(Store_Manager!$A$2:$A$5,MATCH(M31,Store_Manager!$B$2:$B$5,0)),"")</f>
        <v>MGR001</v>
      </c>
    </row>
    <row r="32" spans="1:15" ht="15.75" customHeight="1">
      <c r="A32">
        <v>31</v>
      </c>
      <c r="B32" s="2">
        <v>45069</v>
      </c>
      <c r="C32" t="s">
        <v>52</v>
      </c>
      <c r="D32" t="s">
        <v>16</v>
      </c>
      <c r="E32">
        <v>44</v>
      </c>
      <c r="F32" s="3" t="s">
        <v>24</v>
      </c>
      <c r="G32">
        <v>4</v>
      </c>
      <c r="H32" s="4">
        <v>300</v>
      </c>
      <c r="I32" s="4">
        <v>1200</v>
      </c>
      <c r="J32" t="s">
        <v>18</v>
      </c>
      <c r="K32" t="str">
        <f>IFERROR(VLOOKUP(F32&amp;"|"&amp;H32,Feature_Mappings!$A$2:$C$16,2,FALSE()),"")</f>
        <v>Tablet</v>
      </c>
      <c r="L32" t="str">
        <f>IFERROR(VLOOKUP(F32&amp;"|"&amp;H32,Feature_Mappings!$A$2:$C$16,3,FALSE()),"")</f>
        <v>NextGen Devices</v>
      </c>
      <c r="M32" t="str">
        <f>IFERROR(VLOOKUP(J32,Feature_Mappings!$D$2:$E$5,2,FALSE()),"")</f>
        <v>Olivia Bennett</v>
      </c>
      <c r="N32" t="s">
        <v>19</v>
      </c>
      <c r="O32" t="str">
        <f>IFERROR(INDEX(Store_Manager!$A$2:$A$5,MATCH(M32,Store_Manager!$B$2:$B$5,0)),"")</f>
        <v>MGR001</v>
      </c>
    </row>
    <row r="33" spans="1:15" ht="15.75" customHeight="1">
      <c r="A33">
        <v>32</v>
      </c>
      <c r="B33" s="2">
        <v>44930</v>
      </c>
      <c r="C33" t="s">
        <v>53</v>
      </c>
      <c r="D33" t="s">
        <v>16</v>
      </c>
      <c r="E33">
        <v>30</v>
      </c>
      <c r="F33" s="3" t="s">
        <v>17</v>
      </c>
      <c r="G33">
        <v>3</v>
      </c>
      <c r="H33" s="4">
        <v>30</v>
      </c>
      <c r="I33" s="4">
        <v>90</v>
      </c>
      <c r="J33" t="s">
        <v>18</v>
      </c>
      <c r="K33" t="str">
        <f>IFERROR(VLOOKUP(F33&amp;"|"&amp;H33,Feature_Mappings!$A$2:$C$16,2,FALSE()),"")</f>
        <v>Facial Cleanser</v>
      </c>
      <c r="L33" t="str">
        <f>IFERROR(VLOOKUP(F33&amp;"|"&amp;H33,Feature_Mappings!$A$2:$C$16,3,FALSE()),"")</f>
        <v>PureDerma Supplies</v>
      </c>
      <c r="M33" t="str">
        <f>IFERROR(VLOOKUP(J33,Feature_Mappings!$D$2:$E$5,2,FALSE()),"")</f>
        <v>Olivia Bennett</v>
      </c>
      <c r="N33" t="s">
        <v>19</v>
      </c>
      <c r="O33" t="str">
        <f>IFERROR(INDEX(Store_Manager!$A$2:$A$5,MATCH(M33,Store_Manager!$B$2:$B$5,0)),"")</f>
        <v>MGR001</v>
      </c>
    </row>
    <row r="34" spans="1:15" ht="15.75" customHeight="1">
      <c r="A34">
        <v>33</v>
      </c>
      <c r="B34" s="2">
        <v>45008</v>
      </c>
      <c r="C34" t="s">
        <v>54</v>
      </c>
      <c r="D34" t="s">
        <v>21</v>
      </c>
      <c r="E34">
        <v>50</v>
      </c>
      <c r="F34" s="3" t="s">
        <v>24</v>
      </c>
      <c r="G34">
        <v>2</v>
      </c>
      <c r="H34" s="4">
        <v>50</v>
      </c>
      <c r="I34" s="4">
        <v>100</v>
      </c>
      <c r="J34" t="s">
        <v>18</v>
      </c>
      <c r="K34" t="str">
        <f>IFERROR(VLOOKUP(F34&amp;"|"&amp;H34,Feature_Mappings!$A$2:$C$16,2,FALSE()),"")</f>
        <v>Bluetooth Speaker</v>
      </c>
      <c r="L34" t="str">
        <f>IFERROR(VLOOKUP(F34&amp;"|"&amp;H34,Feature_Mappings!$A$2:$C$16,3,FALSE()),"")</f>
        <v>SoundSphere Supply</v>
      </c>
      <c r="M34" t="str">
        <f>IFERROR(VLOOKUP(J34,Feature_Mappings!$D$2:$E$5,2,FALSE()),"")</f>
        <v>Olivia Bennett</v>
      </c>
      <c r="N34" t="s">
        <v>19</v>
      </c>
      <c r="O34" t="str">
        <f>IFERROR(INDEX(Store_Manager!$A$2:$A$5,MATCH(M34,Store_Manager!$B$2:$B$5,0)),"")</f>
        <v>MGR001</v>
      </c>
    </row>
    <row r="35" spans="1:15" ht="15.75" customHeight="1">
      <c r="A35">
        <v>34</v>
      </c>
      <c r="B35" s="2">
        <v>45284</v>
      </c>
      <c r="C35" t="s">
        <v>55</v>
      </c>
      <c r="D35" t="s">
        <v>21</v>
      </c>
      <c r="E35">
        <v>51</v>
      </c>
      <c r="F35" s="3" t="s">
        <v>22</v>
      </c>
      <c r="G35">
        <v>3</v>
      </c>
      <c r="H35" s="4">
        <v>50</v>
      </c>
      <c r="I35" s="4">
        <v>150</v>
      </c>
      <c r="J35" t="s">
        <v>18</v>
      </c>
      <c r="K35" t="str">
        <f>IFERROR(VLOOKUP(F35&amp;"|"&amp;H35,Feature_Mappings!$A$2:$C$16,2,FALSE()),"")</f>
        <v>Denim Jeans</v>
      </c>
      <c r="L35" t="str">
        <f>IFERROR(VLOOKUP(F35&amp;"|"&amp;H35,Feature_Mappings!$A$2:$C$16,3,FALSE()),"")</f>
        <v>BlueFit Garments</v>
      </c>
      <c r="M35" t="str">
        <f>IFERROR(VLOOKUP(J35,Feature_Mappings!$D$2:$E$5,2,FALSE()),"")</f>
        <v>Olivia Bennett</v>
      </c>
      <c r="N35" t="s">
        <v>19</v>
      </c>
      <c r="O35" t="str">
        <f>IFERROR(INDEX(Store_Manager!$A$2:$A$5,MATCH(M35,Store_Manager!$B$2:$B$5,0)),"")</f>
        <v>MGR001</v>
      </c>
    </row>
    <row r="36" spans="1:15" ht="15.75" customHeight="1">
      <c r="A36">
        <v>35</v>
      </c>
      <c r="B36" s="2">
        <v>45143</v>
      </c>
      <c r="C36" t="s">
        <v>56</v>
      </c>
      <c r="D36" t="s">
        <v>21</v>
      </c>
      <c r="E36">
        <v>58</v>
      </c>
      <c r="F36" s="3" t="s">
        <v>17</v>
      </c>
      <c r="G36">
        <v>3</v>
      </c>
      <c r="H36" s="4">
        <v>300</v>
      </c>
      <c r="I36" s="4">
        <v>900</v>
      </c>
      <c r="J36" t="s">
        <v>18</v>
      </c>
      <c r="K36" t="str">
        <f>IFERROR(VLOOKUP(F36&amp;"|"&amp;H36,Feature_Mappings!$A$2:$C$16,2,FALSE()),"")</f>
        <v>Skincare Gift Set</v>
      </c>
      <c r="L36" t="str">
        <f>IFERROR(VLOOKUP(F36&amp;"|"&amp;H36,Feature_Mappings!$A$2:$C$16,3,FALSE()),"")</f>
        <v>Radiant Beauty Wholesale</v>
      </c>
      <c r="M36" t="str">
        <f>IFERROR(VLOOKUP(J36,Feature_Mappings!$D$2:$E$5,2,FALSE()),"")</f>
        <v>Olivia Bennett</v>
      </c>
      <c r="N36" t="s">
        <v>19</v>
      </c>
      <c r="O36" t="str">
        <f>IFERROR(INDEX(Store_Manager!$A$2:$A$5,MATCH(M36,Store_Manager!$B$2:$B$5,0)),"")</f>
        <v>MGR001</v>
      </c>
    </row>
    <row r="37" spans="1:15" ht="15.75" customHeight="1">
      <c r="A37">
        <v>36</v>
      </c>
      <c r="B37" s="2">
        <v>45101</v>
      </c>
      <c r="C37" t="s">
        <v>57</v>
      </c>
      <c r="D37" t="s">
        <v>16</v>
      </c>
      <c r="E37">
        <v>52</v>
      </c>
      <c r="F37" s="3" t="s">
        <v>17</v>
      </c>
      <c r="G37">
        <v>3</v>
      </c>
      <c r="H37" s="4">
        <v>300</v>
      </c>
      <c r="I37" s="4">
        <v>900</v>
      </c>
      <c r="J37" t="s">
        <v>18</v>
      </c>
      <c r="K37" t="str">
        <f>IFERROR(VLOOKUP(F37&amp;"|"&amp;H37,Feature_Mappings!$A$2:$C$16,2,FALSE()),"")</f>
        <v>Skincare Gift Set</v>
      </c>
      <c r="L37" t="str">
        <f>IFERROR(VLOOKUP(F37&amp;"|"&amp;H37,Feature_Mappings!$A$2:$C$16,3,FALSE()),"")</f>
        <v>Radiant Beauty Wholesale</v>
      </c>
      <c r="M37" t="str">
        <f>IFERROR(VLOOKUP(J37,Feature_Mappings!$D$2:$E$5,2,FALSE()),"")</f>
        <v>Olivia Bennett</v>
      </c>
      <c r="N37" t="s">
        <v>19</v>
      </c>
      <c r="O37" t="str">
        <f>IFERROR(INDEX(Store_Manager!$A$2:$A$5,MATCH(M37,Store_Manager!$B$2:$B$5,0)),"")</f>
        <v>MGR001</v>
      </c>
    </row>
    <row r="38" spans="1:15" ht="15.75" customHeight="1">
      <c r="A38">
        <v>37</v>
      </c>
      <c r="B38" s="2">
        <v>45069</v>
      </c>
      <c r="C38" t="s">
        <v>58</v>
      </c>
      <c r="D38" t="s">
        <v>21</v>
      </c>
      <c r="E38">
        <v>18</v>
      </c>
      <c r="F38" s="3" t="s">
        <v>17</v>
      </c>
      <c r="G38">
        <v>3</v>
      </c>
      <c r="H38" s="4">
        <v>25</v>
      </c>
      <c r="I38" s="4">
        <v>75</v>
      </c>
      <c r="J38" t="s">
        <v>18</v>
      </c>
      <c r="K38" t="str">
        <f>IFERROR(VLOOKUP(F38&amp;"|"&amp;H38,Feature_Mappings!$A$2:$C$16,2,FALSE()),"")</f>
        <v>Lip Balm</v>
      </c>
      <c r="L38" t="str">
        <f>IFERROR(VLOOKUP(F38&amp;"|"&amp;H38,Feature_Mappings!$A$2:$C$16,3,FALSE()),"")</f>
        <v>GlowSource Cosmetics</v>
      </c>
      <c r="M38" t="str">
        <f>IFERROR(VLOOKUP(J38,Feature_Mappings!$D$2:$E$5,2,FALSE()),"")</f>
        <v>Olivia Bennett</v>
      </c>
      <c r="N38" t="s">
        <v>19</v>
      </c>
      <c r="O38" t="str">
        <f>IFERROR(INDEX(Store_Manager!$A$2:$A$5,MATCH(M38,Store_Manager!$B$2:$B$5,0)),"")</f>
        <v>MGR001</v>
      </c>
    </row>
    <row r="39" spans="1:15" ht="15.75" customHeight="1">
      <c r="A39">
        <v>38</v>
      </c>
      <c r="B39" s="2">
        <v>45006</v>
      </c>
      <c r="C39" t="s">
        <v>59</v>
      </c>
      <c r="D39" t="s">
        <v>16</v>
      </c>
      <c r="E39">
        <v>38</v>
      </c>
      <c r="F39" s="3" t="s">
        <v>17</v>
      </c>
      <c r="G39">
        <v>4</v>
      </c>
      <c r="H39" s="4">
        <v>50</v>
      </c>
      <c r="I39" s="4">
        <v>200</v>
      </c>
      <c r="J39" t="s">
        <v>18</v>
      </c>
      <c r="K39" t="str">
        <f>IFERROR(VLOOKUP(F39&amp;"|"&amp;H39,Feature_Mappings!$A$2:$C$16,2,FALSE()),"")</f>
        <v>Eau de Parfum</v>
      </c>
      <c r="L39" t="str">
        <f>IFERROR(VLOOKUP(F39&amp;"|"&amp;H39,Feature_Mappings!$A$2:$C$16,3,FALSE()),"")</f>
        <v>Luxe Aroma Labs</v>
      </c>
      <c r="M39" t="str">
        <f>IFERROR(VLOOKUP(J39,Feature_Mappings!$D$2:$E$5,2,FALSE()),"")</f>
        <v>Olivia Bennett</v>
      </c>
      <c r="N39" t="s">
        <v>19</v>
      </c>
      <c r="O39" t="str">
        <f>IFERROR(INDEX(Store_Manager!$A$2:$A$5,MATCH(M39,Store_Manager!$B$2:$B$5,0)),"")</f>
        <v>MGR001</v>
      </c>
    </row>
    <row r="40" spans="1:15" ht="15.75" customHeight="1">
      <c r="A40">
        <v>39</v>
      </c>
      <c r="B40" s="2">
        <v>45037</v>
      </c>
      <c r="C40" t="s">
        <v>60</v>
      </c>
      <c r="D40" t="s">
        <v>16</v>
      </c>
      <c r="E40">
        <v>23</v>
      </c>
      <c r="F40" s="3" t="s">
        <v>22</v>
      </c>
      <c r="G40">
        <v>4</v>
      </c>
      <c r="H40" s="4">
        <v>30</v>
      </c>
      <c r="I40" s="4">
        <v>120</v>
      </c>
      <c r="J40" t="s">
        <v>18</v>
      </c>
      <c r="K40" t="str">
        <f>IFERROR(VLOOKUP(F40&amp;"|"&amp;H40,Feature_Mappings!$A$2:$C$16,2,FALSE()),"")</f>
        <v>Graphic T-Shirt</v>
      </c>
      <c r="L40" t="str">
        <f>IFERROR(VLOOKUP(F40&amp;"|"&amp;H40,Feature_Mappings!$A$2:$C$16,3,FALSE()),"")</f>
        <v>ThreadWorks Apparel</v>
      </c>
      <c r="M40" t="str">
        <f>IFERROR(VLOOKUP(J40,Feature_Mappings!$D$2:$E$5,2,FALSE()),"")</f>
        <v>Olivia Bennett</v>
      </c>
      <c r="N40" t="s">
        <v>19</v>
      </c>
      <c r="O40" t="str">
        <f>IFERROR(INDEX(Store_Manager!$A$2:$A$5,MATCH(M40,Store_Manager!$B$2:$B$5,0)),"")</f>
        <v>MGR001</v>
      </c>
    </row>
    <row r="41" spans="1:15" ht="15.75" customHeight="1">
      <c r="A41">
        <v>40</v>
      </c>
      <c r="B41" s="2">
        <v>45099</v>
      </c>
      <c r="C41" t="s">
        <v>61</v>
      </c>
      <c r="D41" t="s">
        <v>16</v>
      </c>
      <c r="E41">
        <v>45</v>
      </c>
      <c r="F41" s="3" t="s">
        <v>17</v>
      </c>
      <c r="G41">
        <v>1</v>
      </c>
      <c r="H41" s="4">
        <v>50</v>
      </c>
      <c r="I41" s="4">
        <v>50</v>
      </c>
      <c r="J41" t="s">
        <v>18</v>
      </c>
      <c r="K41" t="str">
        <f>IFERROR(VLOOKUP(F41&amp;"|"&amp;H41,Feature_Mappings!$A$2:$C$16,2,FALSE()),"")</f>
        <v>Eau de Parfum</v>
      </c>
      <c r="L41" t="str">
        <f>IFERROR(VLOOKUP(F41&amp;"|"&amp;H41,Feature_Mappings!$A$2:$C$16,3,FALSE()),"")</f>
        <v>Luxe Aroma Labs</v>
      </c>
      <c r="M41" t="str">
        <f>IFERROR(VLOOKUP(J41,Feature_Mappings!$D$2:$E$5,2,FALSE()),"")</f>
        <v>Olivia Bennett</v>
      </c>
      <c r="N41" t="s">
        <v>19</v>
      </c>
      <c r="O41" t="str">
        <f>IFERROR(INDEX(Store_Manager!$A$2:$A$5,MATCH(M41,Store_Manager!$B$2:$B$5,0)),"")</f>
        <v>MGR001</v>
      </c>
    </row>
    <row r="42" spans="1:15" ht="15.75" customHeight="1">
      <c r="A42">
        <v>41</v>
      </c>
      <c r="B42" s="2">
        <v>44979</v>
      </c>
      <c r="C42" t="s">
        <v>62</v>
      </c>
      <c r="D42" t="s">
        <v>16</v>
      </c>
      <c r="E42">
        <v>34</v>
      </c>
      <c r="F42" s="3" t="s">
        <v>22</v>
      </c>
      <c r="G42">
        <v>2</v>
      </c>
      <c r="H42" s="4">
        <v>25</v>
      </c>
      <c r="I42" s="4">
        <v>50</v>
      </c>
      <c r="J42" t="s">
        <v>18</v>
      </c>
      <c r="K42" t="str">
        <f>IFERROR(VLOOKUP(F42&amp;"|"&amp;H42,Feature_Mappings!$A$2:$C$16,2,FALSE()),"")</f>
        <v>Cotton Socks</v>
      </c>
      <c r="L42" t="str">
        <f>IFERROR(VLOOKUP(F42&amp;"|"&amp;H42,Feature_Mappings!$A$2:$C$16,3,FALSE()),"")</f>
        <v>Urban Basics Co.</v>
      </c>
      <c r="M42" t="str">
        <f>IFERROR(VLOOKUP(J42,Feature_Mappings!$D$2:$E$5,2,FALSE()),"")</f>
        <v>Olivia Bennett</v>
      </c>
      <c r="N42" t="s">
        <v>19</v>
      </c>
      <c r="O42" t="str">
        <f>IFERROR(INDEX(Store_Manager!$A$2:$A$5,MATCH(M42,Store_Manager!$B$2:$B$5,0)),"")</f>
        <v>MGR001</v>
      </c>
    </row>
    <row r="43" spans="1:15" ht="15.75" customHeight="1">
      <c r="A43">
        <v>42</v>
      </c>
      <c r="B43" s="2">
        <v>44974</v>
      </c>
      <c r="C43" t="s">
        <v>63</v>
      </c>
      <c r="D43" t="s">
        <v>16</v>
      </c>
      <c r="E43">
        <v>22</v>
      </c>
      <c r="F43" s="3" t="s">
        <v>22</v>
      </c>
      <c r="G43">
        <v>3</v>
      </c>
      <c r="H43" s="4">
        <v>300</v>
      </c>
      <c r="I43" s="4">
        <v>900</v>
      </c>
      <c r="J43" t="s">
        <v>18</v>
      </c>
      <c r="K43" t="str">
        <f>IFERROR(VLOOKUP(F43&amp;"|"&amp;H43,Feature_Mappings!$A$2:$C$16,2,FALSE()),"")</f>
        <v>Leather Jacket</v>
      </c>
      <c r="L43" t="str">
        <f>IFERROR(VLOOKUP(F43&amp;"|"&amp;H43,Feature_Mappings!$A$2:$C$16,3,FALSE()),"")</f>
        <v>Metro Style Manufacturing</v>
      </c>
      <c r="M43" t="str">
        <f>IFERROR(VLOOKUP(J43,Feature_Mappings!$D$2:$E$5,2,FALSE()),"")</f>
        <v>Olivia Bennett</v>
      </c>
      <c r="N43" t="s">
        <v>19</v>
      </c>
      <c r="O43" t="str">
        <f>IFERROR(INDEX(Store_Manager!$A$2:$A$5,MATCH(M43,Store_Manager!$B$2:$B$5,0)),"")</f>
        <v>MGR001</v>
      </c>
    </row>
    <row r="44" spans="1:15" ht="15.75" customHeight="1">
      <c r="A44">
        <v>43</v>
      </c>
      <c r="B44" s="2">
        <v>45121</v>
      </c>
      <c r="C44" t="s">
        <v>64</v>
      </c>
      <c r="D44" t="s">
        <v>21</v>
      </c>
      <c r="E44">
        <v>48</v>
      </c>
      <c r="F44" s="3" t="s">
        <v>22</v>
      </c>
      <c r="G44">
        <v>1</v>
      </c>
      <c r="H44" s="4">
        <v>300</v>
      </c>
      <c r="I44" s="4">
        <v>300</v>
      </c>
      <c r="J44" t="s">
        <v>18</v>
      </c>
      <c r="K44" t="str">
        <f>IFERROR(VLOOKUP(F44&amp;"|"&amp;H44,Feature_Mappings!$A$2:$C$16,2,FALSE()),"")</f>
        <v>Leather Jacket</v>
      </c>
      <c r="L44" t="str">
        <f>IFERROR(VLOOKUP(F44&amp;"|"&amp;H44,Feature_Mappings!$A$2:$C$16,3,FALSE()),"")</f>
        <v>Metro Style Manufacturing</v>
      </c>
      <c r="M44" t="str">
        <f>IFERROR(VLOOKUP(J44,Feature_Mappings!$D$2:$E$5,2,FALSE()),"")</f>
        <v>Olivia Bennett</v>
      </c>
      <c r="N44" t="s">
        <v>19</v>
      </c>
      <c r="O44" t="str">
        <f>IFERROR(INDEX(Store_Manager!$A$2:$A$5,MATCH(M44,Store_Manager!$B$2:$B$5,0)),"")</f>
        <v>MGR001</v>
      </c>
    </row>
    <row r="45" spans="1:15" ht="15.75" customHeight="1">
      <c r="A45">
        <v>44</v>
      </c>
      <c r="B45" s="2">
        <v>44976</v>
      </c>
      <c r="C45" t="s">
        <v>65</v>
      </c>
      <c r="D45" t="s">
        <v>21</v>
      </c>
      <c r="E45">
        <v>22</v>
      </c>
      <c r="F45" s="3" t="s">
        <v>22</v>
      </c>
      <c r="G45">
        <v>1</v>
      </c>
      <c r="H45" s="4">
        <v>25</v>
      </c>
      <c r="I45" s="4">
        <v>25</v>
      </c>
      <c r="J45" t="s">
        <v>18</v>
      </c>
      <c r="K45" t="str">
        <f>IFERROR(VLOOKUP(F45&amp;"|"&amp;H45,Feature_Mappings!$A$2:$C$16,2,FALSE()),"")</f>
        <v>Cotton Socks</v>
      </c>
      <c r="L45" t="str">
        <f>IFERROR(VLOOKUP(F45&amp;"|"&amp;H45,Feature_Mappings!$A$2:$C$16,3,FALSE()),"")</f>
        <v>Urban Basics Co.</v>
      </c>
      <c r="M45" t="str">
        <f>IFERROR(VLOOKUP(J45,Feature_Mappings!$D$2:$E$5,2,FALSE()),"")</f>
        <v>Olivia Bennett</v>
      </c>
      <c r="N45" t="s">
        <v>19</v>
      </c>
      <c r="O45" t="str">
        <f>IFERROR(INDEX(Store_Manager!$A$2:$A$5,MATCH(M45,Store_Manager!$B$2:$B$5,0)),"")</f>
        <v>MGR001</v>
      </c>
    </row>
    <row r="46" spans="1:15" ht="15.75" customHeight="1">
      <c r="A46">
        <v>45</v>
      </c>
      <c r="B46" s="2">
        <v>45110</v>
      </c>
      <c r="C46" t="s">
        <v>66</v>
      </c>
      <c r="D46" t="s">
        <v>21</v>
      </c>
      <c r="E46">
        <v>55</v>
      </c>
      <c r="F46" s="3" t="s">
        <v>24</v>
      </c>
      <c r="G46">
        <v>1</v>
      </c>
      <c r="H46" s="4">
        <v>30</v>
      </c>
      <c r="I46" s="4">
        <v>30</v>
      </c>
      <c r="J46" t="s">
        <v>18</v>
      </c>
      <c r="K46" t="str">
        <f>IFERROR(VLOOKUP(F46&amp;"|"&amp;H46,Feature_Mappings!$A$2:$C$16,2,FALSE()),"")</f>
        <v>Wireless Mouse</v>
      </c>
      <c r="L46" t="str">
        <f>IFERROR(VLOOKUP(F46&amp;"|"&amp;H46,Feature_Mappings!$A$2:$C$16,3,FALSE()),"")</f>
        <v>ByteWave Distributors</v>
      </c>
      <c r="M46" t="str">
        <f>IFERROR(VLOOKUP(J46,Feature_Mappings!$D$2:$E$5,2,FALSE()),"")</f>
        <v>Olivia Bennett</v>
      </c>
      <c r="N46" t="s">
        <v>19</v>
      </c>
      <c r="O46" t="str">
        <f>IFERROR(INDEX(Store_Manager!$A$2:$A$5,MATCH(M46,Store_Manager!$B$2:$B$5,0)),"")</f>
        <v>MGR001</v>
      </c>
    </row>
    <row r="47" spans="1:15" ht="15.75" customHeight="1">
      <c r="A47">
        <v>46</v>
      </c>
      <c r="B47" s="2">
        <v>45103</v>
      </c>
      <c r="C47" t="s">
        <v>67</v>
      </c>
      <c r="D47" t="s">
        <v>21</v>
      </c>
      <c r="E47">
        <v>20</v>
      </c>
      <c r="F47" s="3" t="s">
        <v>24</v>
      </c>
      <c r="G47">
        <v>4</v>
      </c>
      <c r="H47" s="4">
        <v>300</v>
      </c>
      <c r="I47" s="4">
        <v>1200</v>
      </c>
      <c r="J47" t="s">
        <v>18</v>
      </c>
      <c r="K47" t="str">
        <f>IFERROR(VLOOKUP(F47&amp;"|"&amp;H47,Feature_Mappings!$A$2:$C$16,2,FALSE()),"")</f>
        <v>Tablet</v>
      </c>
      <c r="L47" t="str">
        <f>IFERROR(VLOOKUP(F47&amp;"|"&amp;H47,Feature_Mappings!$A$2:$C$16,3,FALSE()),"")</f>
        <v>NextGen Devices</v>
      </c>
      <c r="M47" t="str">
        <f>IFERROR(VLOOKUP(J47,Feature_Mappings!$D$2:$E$5,2,FALSE()),"")</f>
        <v>Olivia Bennett</v>
      </c>
      <c r="N47" t="s">
        <v>19</v>
      </c>
      <c r="O47" t="str">
        <f>IFERROR(INDEX(Store_Manager!$A$2:$A$5,MATCH(M47,Store_Manager!$B$2:$B$5,0)),"")</f>
        <v>MGR001</v>
      </c>
    </row>
    <row r="48" spans="1:15" ht="15.75" customHeight="1">
      <c r="A48">
        <v>47</v>
      </c>
      <c r="B48" s="2">
        <v>45236</v>
      </c>
      <c r="C48" t="s">
        <v>68</v>
      </c>
      <c r="D48" t="s">
        <v>21</v>
      </c>
      <c r="E48">
        <v>40</v>
      </c>
      <c r="F48" s="3" t="s">
        <v>17</v>
      </c>
      <c r="G48">
        <v>3</v>
      </c>
      <c r="H48" s="4">
        <v>500</v>
      </c>
      <c r="I48" s="4">
        <v>1500</v>
      </c>
      <c r="J48" t="s">
        <v>18</v>
      </c>
      <c r="K48" t="str">
        <f>IFERROR(VLOOKUP(F48&amp;"|"&amp;H48,Feature_Mappings!$A$2:$C$16,2,FALSE()),"")</f>
        <v>LED Beauty Device</v>
      </c>
      <c r="L48" t="str">
        <f>IFERROR(VLOOKUP(F48&amp;"|"&amp;H48,Feature_Mappings!$A$2:$C$16,3,FALSE()),"")</f>
        <v>BeautyTech Pro</v>
      </c>
      <c r="M48" t="str">
        <f>IFERROR(VLOOKUP(J48,Feature_Mappings!$D$2:$E$5,2,FALSE()),"")</f>
        <v>Olivia Bennett</v>
      </c>
      <c r="N48" t="s">
        <v>19</v>
      </c>
      <c r="O48" t="str">
        <f>IFERROR(INDEX(Store_Manager!$A$2:$A$5,MATCH(M48,Store_Manager!$B$2:$B$5,0)),"")</f>
        <v>MGR001</v>
      </c>
    </row>
    <row r="49" spans="1:15" ht="15.75" customHeight="1">
      <c r="A49">
        <v>48</v>
      </c>
      <c r="B49" s="2">
        <v>45062</v>
      </c>
      <c r="C49" t="s">
        <v>69</v>
      </c>
      <c r="D49" t="s">
        <v>16</v>
      </c>
      <c r="E49">
        <v>54</v>
      </c>
      <c r="F49" s="3" t="s">
        <v>24</v>
      </c>
      <c r="G49">
        <v>3</v>
      </c>
      <c r="H49" s="4">
        <v>300</v>
      </c>
      <c r="I49" s="4">
        <v>900</v>
      </c>
      <c r="J49" t="s">
        <v>18</v>
      </c>
      <c r="K49" t="str">
        <f>IFERROR(VLOOKUP(F49&amp;"|"&amp;H49,Feature_Mappings!$A$2:$C$16,2,FALSE()),"")</f>
        <v>Tablet</v>
      </c>
      <c r="L49" t="str">
        <f>IFERROR(VLOOKUP(F49&amp;"|"&amp;H49,Feature_Mappings!$A$2:$C$16,3,FALSE()),"")</f>
        <v>NextGen Devices</v>
      </c>
      <c r="M49" t="str">
        <f>IFERROR(VLOOKUP(J49,Feature_Mappings!$D$2:$E$5,2,FALSE()),"")</f>
        <v>Olivia Bennett</v>
      </c>
      <c r="N49" t="s">
        <v>19</v>
      </c>
      <c r="O49" t="str">
        <f>IFERROR(INDEX(Store_Manager!$A$2:$A$5,MATCH(M49,Store_Manager!$B$2:$B$5,0)),"")</f>
        <v>MGR001</v>
      </c>
    </row>
    <row r="50" spans="1:15" ht="15.75" customHeight="1">
      <c r="A50">
        <v>49</v>
      </c>
      <c r="B50" s="2">
        <v>44949</v>
      </c>
      <c r="C50" t="s">
        <v>70</v>
      </c>
      <c r="D50" t="s">
        <v>21</v>
      </c>
      <c r="E50">
        <v>54</v>
      </c>
      <c r="F50" s="3" t="s">
        <v>24</v>
      </c>
      <c r="G50">
        <v>2</v>
      </c>
      <c r="H50" s="4">
        <v>500</v>
      </c>
      <c r="I50" s="4">
        <v>1000</v>
      </c>
      <c r="J50" t="s">
        <v>18</v>
      </c>
      <c r="K50" t="str">
        <f>IFERROR(VLOOKUP(F50&amp;"|"&amp;H50,Feature_Mappings!$A$2:$C$16,2,FALSE()),"")</f>
        <v>Smartphone</v>
      </c>
      <c r="L50" t="str">
        <f>IFERROR(VLOOKUP(F50&amp;"|"&amp;H50,Feature_Mappings!$A$2:$C$16,3,FALSE()),"")</f>
        <v>NovaTech Wholesale</v>
      </c>
      <c r="M50" t="str">
        <f>IFERROR(VLOOKUP(J50,Feature_Mappings!$D$2:$E$5,2,FALSE()),"")</f>
        <v>Olivia Bennett</v>
      </c>
      <c r="N50" t="s">
        <v>19</v>
      </c>
      <c r="O50" t="str">
        <f>IFERROR(INDEX(Store_Manager!$A$2:$A$5,MATCH(M50,Store_Manager!$B$2:$B$5,0)),"")</f>
        <v>MGR001</v>
      </c>
    </row>
    <row r="51" spans="1:15" ht="15.75" customHeight="1">
      <c r="A51">
        <v>50</v>
      </c>
      <c r="B51" s="2">
        <v>45162</v>
      </c>
      <c r="C51" t="s">
        <v>71</v>
      </c>
      <c r="D51" t="s">
        <v>21</v>
      </c>
      <c r="E51">
        <v>27</v>
      </c>
      <c r="F51" s="3" t="s">
        <v>17</v>
      </c>
      <c r="G51">
        <v>3</v>
      </c>
      <c r="H51" s="4">
        <v>25</v>
      </c>
      <c r="I51" s="4">
        <v>75</v>
      </c>
      <c r="J51" t="s">
        <v>18</v>
      </c>
      <c r="K51" t="str">
        <f>IFERROR(VLOOKUP(F51&amp;"|"&amp;H51,Feature_Mappings!$A$2:$C$16,2,FALSE()),"")</f>
        <v>Lip Balm</v>
      </c>
      <c r="L51" t="str">
        <f>IFERROR(VLOOKUP(F51&amp;"|"&amp;H51,Feature_Mappings!$A$2:$C$16,3,FALSE()),"")</f>
        <v>GlowSource Cosmetics</v>
      </c>
      <c r="M51" t="str">
        <f>IFERROR(VLOOKUP(J51,Feature_Mappings!$D$2:$E$5,2,FALSE()),"")</f>
        <v>Olivia Bennett</v>
      </c>
      <c r="N51" t="s">
        <v>19</v>
      </c>
      <c r="O51" t="str">
        <f>IFERROR(INDEX(Store_Manager!$A$2:$A$5,MATCH(M51,Store_Manager!$B$2:$B$5,0)),"")</f>
        <v>MGR001</v>
      </c>
    </row>
    <row r="52" spans="1:15" ht="15.75" customHeight="1">
      <c r="A52">
        <v>51</v>
      </c>
      <c r="B52" s="2">
        <v>45201</v>
      </c>
      <c r="C52" t="s">
        <v>72</v>
      </c>
      <c r="D52" t="s">
        <v>16</v>
      </c>
      <c r="E52">
        <v>27</v>
      </c>
      <c r="F52" s="3" t="s">
        <v>17</v>
      </c>
      <c r="G52">
        <v>3</v>
      </c>
      <c r="H52" s="4">
        <v>25</v>
      </c>
      <c r="I52" s="4">
        <v>75</v>
      </c>
      <c r="J52" t="s">
        <v>18</v>
      </c>
      <c r="K52" t="str">
        <f>IFERROR(VLOOKUP(F52&amp;"|"&amp;H52,Feature_Mappings!$A$2:$C$16,2,FALSE()),"")</f>
        <v>Lip Balm</v>
      </c>
      <c r="L52" t="str">
        <f>IFERROR(VLOOKUP(F52&amp;"|"&amp;H52,Feature_Mappings!$A$2:$C$16,3,FALSE()),"")</f>
        <v>GlowSource Cosmetics</v>
      </c>
      <c r="M52" t="str">
        <f>IFERROR(VLOOKUP(J52,Feature_Mappings!$D$2:$E$5,2,FALSE()),"")</f>
        <v>Olivia Bennett</v>
      </c>
      <c r="N52" t="s">
        <v>19</v>
      </c>
      <c r="O52" t="str">
        <f>IFERROR(INDEX(Store_Manager!$A$2:$A$5,MATCH(M52,Store_Manager!$B$2:$B$5,0)),"")</f>
        <v>MGR001</v>
      </c>
    </row>
    <row r="53" spans="1:15" ht="15.75" customHeight="1">
      <c r="A53">
        <v>52</v>
      </c>
      <c r="B53" s="2">
        <v>44990</v>
      </c>
      <c r="C53" t="s">
        <v>73</v>
      </c>
      <c r="D53" t="s">
        <v>21</v>
      </c>
      <c r="E53">
        <v>36</v>
      </c>
      <c r="F53" s="3" t="s">
        <v>17</v>
      </c>
      <c r="G53">
        <v>1</v>
      </c>
      <c r="H53" s="4">
        <v>300</v>
      </c>
      <c r="I53" s="4">
        <v>300</v>
      </c>
      <c r="J53" t="s">
        <v>18</v>
      </c>
      <c r="K53" t="str">
        <f>IFERROR(VLOOKUP(F53&amp;"|"&amp;H53,Feature_Mappings!$A$2:$C$16,2,FALSE()),"")</f>
        <v>Skincare Gift Set</v>
      </c>
      <c r="L53" t="str">
        <f>IFERROR(VLOOKUP(F53&amp;"|"&amp;H53,Feature_Mappings!$A$2:$C$16,3,FALSE()),"")</f>
        <v>Radiant Beauty Wholesale</v>
      </c>
      <c r="M53" t="str">
        <f>IFERROR(VLOOKUP(J53,Feature_Mappings!$D$2:$E$5,2,FALSE()),"")</f>
        <v>Olivia Bennett</v>
      </c>
      <c r="N53" t="s">
        <v>19</v>
      </c>
      <c r="O53" t="str">
        <f>IFERROR(INDEX(Store_Manager!$A$2:$A$5,MATCH(M53,Store_Manager!$B$2:$B$5,0)),"")</f>
        <v>MGR001</v>
      </c>
    </row>
    <row r="54" spans="1:15" ht="15.75" customHeight="1">
      <c r="A54">
        <v>53</v>
      </c>
      <c r="B54" s="2">
        <v>45120</v>
      </c>
      <c r="C54" t="s">
        <v>74</v>
      </c>
      <c r="D54" t="s">
        <v>16</v>
      </c>
      <c r="E54">
        <v>34</v>
      </c>
      <c r="F54" s="3" t="s">
        <v>24</v>
      </c>
      <c r="G54">
        <v>2</v>
      </c>
      <c r="H54" s="4">
        <v>50</v>
      </c>
      <c r="I54" s="4">
        <v>100</v>
      </c>
      <c r="J54" t="s">
        <v>18</v>
      </c>
      <c r="K54" t="str">
        <f>IFERROR(VLOOKUP(F54&amp;"|"&amp;H54,Feature_Mappings!$A$2:$C$16,2,FALSE()),"")</f>
        <v>Bluetooth Speaker</v>
      </c>
      <c r="L54" t="str">
        <f>IFERROR(VLOOKUP(F54&amp;"|"&amp;H54,Feature_Mappings!$A$2:$C$16,3,FALSE()),"")</f>
        <v>SoundSphere Supply</v>
      </c>
      <c r="M54" t="str">
        <f>IFERROR(VLOOKUP(J54,Feature_Mappings!$D$2:$E$5,2,FALSE()),"")</f>
        <v>Olivia Bennett</v>
      </c>
      <c r="N54" t="s">
        <v>19</v>
      </c>
      <c r="O54" t="str">
        <f>IFERROR(INDEX(Store_Manager!$A$2:$A$5,MATCH(M54,Store_Manager!$B$2:$B$5,0)),"")</f>
        <v>MGR001</v>
      </c>
    </row>
    <row r="55" spans="1:15" ht="15.75" customHeight="1">
      <c r="A55">
        <v>54</v>
      </c>
      <c r="B55" s="2">
        <v>44967</v>
      </c>
      <c r="C55" t="s">
        <v>75</v>
      </c>
      <c r="D55" t="s">
        <v>21</v>
      </c>
      <c r="E55">
        <v>38</v>
      </c>
      <c r="F55" s="3" t="s">
        <v>24</v>
      </c>
      <c r="G55">
        <v>3</v>
      </c>
      <c r="H55" s="4">
        <v>500</v>
      </c>
      <c r="I55" s="4">
        <v>1500</v>
      </c>
      <c r="J55" t="s">
        <v>18</v>
      </c>
      <c r="K55" t="str">
        <f>IFERROR(VLOOKUP(F55&amp;"|"&amp;H55,Feature_Mappings!$A$2:$C$16,2,FALSE()),"")</f>
        <v>Smartphone</v>
      </c>
      <c r="L55" t="str">
        <f>IFERROR(VLOOKUP(F55&amp;"|"&amp;H55,Feature_Mappings!$A$2:$C$16,3,FALSE()),"")</f>
        <v>NovaTech Wholesale</v>
      </c>
      <c r="M55" t="str">
        <f>IFERROR(VLOOKUP(J55,Feature_Mappings!$D$2:$E$5,2,FALSE()),"")</f>
        <v>Olivia Bennett</v>
      </c>
      <c r="N55" t="s">
        <v>19</v>
      </c>
      <c r="O55" t="str">
        <f>IFERROR(INDEX(Store_Manager!$A$2:$A$5,MATCH(M55,Store_Manager!$B$2:$B$5,0)),"")</f>
        <v>MGR001</v>
      </c>
    </row>
    <row r="56" spans="1:15" ht="15.75" customHeight="1">
      <c r="A56">
        <v>55</v>
      </c>
      <c r="B56" s="2">
        <v>45209</v>
      </c>
      <c r="C56" t="s">
        <v>76</v>
      </c>
      <c r="D56" t="s">
        <v>16</v>
      </c>
      <c r="E56">
        <v>31</v>
      </c>
      <c r="F56" s="3" t="s">
        <v>17</v>
      </c>
      <c r="G56">
        <v>4</v>
      </c>
      <c r="H56" s="4">
        <v>30</v>
      </c>
      <c r="I56" s="4">
        <v>120</v>
      </c>
      <c r="J56" t="s">
        <v>18</v>
      </c>
      <c r="K56" t="str">
        <f>IFERROR(VLOOKUP(F56&amp;"|"&amp;H56,Feature_Mappings!$A$2:$C$16,2,FALSE()),"")</f>
        <v>Facial Cleanser</v>
      </c>
      <c r="L56" t="str">
        <f>IFERROR(VLOOKUP(F56&amp;"|"&amp;H56,Feature_Mappings!$A$2:$C$16,3,FALSE()),"")</f>
        <v>PureDerma Supplies</v>
      </c>
      <c r="M56" t="str">
        <f>IFERROR(VLOOKUP(J56,Feature_Mappings!$D$2:$E$5,2,FALSE()),"")</f>
        <v>Olivia Bennett</v>
      </c>
      <c r="N56" t="s">
        <v>19</v>
      </c>
      <c r="O56" t="str">
        <f>IFERROR(INDEX(Store_Manager!$A$2:$A$5,MATCH(M56,Store_Manager!$B$2:$B$5,0)),"")</f>
        <v>MGR001</v>
      </c>
    </row>
    <row r="57" spans="1:15" ht="15.75" customHeight="1">
      <c r="A57">
        <v>56</v>
      </c>
      <c r="B57" s="2">
        <v>45077</v>
      </c>
      <c r="C57" t="s">
        <v>77</v>
      </c>
      <c r="D57" t="s">
        <v>21</v>
      </c>
      <c r="E57">
        <v>26</v>
      </c>
      <c r="F57" s="3" t="s">
        <v>22</v>
      </c>
      <c r="G57">
        <v>3</v>
      </c>
      <c r="H57" s="4">
        <v>300</v>
      </c>
      <c r="I57" s="4">
        <v>900</v>
      </c>
      <c r="J57" t="s">
        <v>18</v>
      </c>
      <c r="K57" t="str">
        <f>IFERROR(VLOOKUP(F57&amp;"|"&amp;H57,Feature_Mappings!$A$2:$C$16,2,FALSE()),"")</f>
        <v>Leather Jacket</v>
      </c>
      <c r="L57" t="str">
        <f>IFERROR(VLOOKUP(F57&amp;"|"&amp;H57,Feature_Mappings!$A$2:$C$16,3,FALSE()),"")</f>
        <v>Metro Style Manufacturing</v>
      </c>
      <c r="M57" t="str">
        <f>IFERROR(VLOOKUP(J57,Feature_Mappings!$D$2:$E$5,2,FALSE()),"")</f>
        <v>Olivia Bennett</v>
      </c>
      <c r="N57" t="s">
        <v>19</v>
      </c>
      <c r="O57" t="str">
        <f>IFERROR(INDEX(Store_Manager!$A$2:$A$5,MATCH(M57,Store_Manager!$B$2:$B$5,0)),"")</f>
        <v>MGR001</v>
      </c>
    </row>
    <row r="58" spans="1:15" ht="15.75" customHeight="1">
      <c r="A58">
        <v>57</v>
      </c>
      <c r="B58" s="2">
        <v>45248</v>
      </c>
      <c r="C58" t="s">
        <v>78</v>
      </c>
      <c r="D58" t="s">
        <v>21</v>
      </c>
      <c r="E58">
        <v>63</v>
      </c>
      <c r="F58" s="3" t="s">
        <v>17</v>
      </c>
      <c r="G58">
        <v>1</v>
      </c>
      <c r="H58" s="4">
        <v>30</v>
      </c>
      <c r="I58" s="4">
        <v>30</v>
      </c>
      <c r="J58" t="s">
        <v>18</v>
      </c>
      <c r="K58" t="str">
        <f>IFERROR(VLOOKUP(F58&amp;"|"&amp;H58,Feature_Mappings!$A$2:$C$16,2,FALSE()),"")</f>
        <v>Facial Cleanser</v>
      </c>
      <c r="L58" t="str">
        <f>IFERROR(VLOOKUP(F58&amp;"|"&amp;H58,Feature_Mappings!$A$2:$C$16,3,FALSE()),"")</f>
        <v>PureDerma Supplies</v>
      </c>
      <c r="M58" t="str">
        <f>IFERROR(VLOOKUP(J58,Feature_Mappings!$D$2:$E$5,2,FALSE()),"")</f>
        <v>Olivia Bennett</v>
      </c>
      <c r="N58" t="s">
        <v>19</v>
      </c>
      <c r="O58" t="str">
        <f>IFERROR(INDEX(Store_Manager!$A$2:$A$5,MATCH(M58,Store_Manager!$B$2:$B$5,0)),"")</f>
        <v>MGR001</v>
      </c>
    </row>
    <row r="59" spans="1:15" ht="15.75" customHeight="1">
      <c r="A59">
        <v>58</v>
      </c>
      <c r="B59" s="2">
        <v>45243</v>
      </c>
      <c r="C59" t="s">
        <v>79</v>
      </c>
      <c r="D59" t="s">
        <v>16</v>
      </c>
      <c r="E59">
        <v>18</v>
      </c>
      <c r="F59" s="3" t="s">
        <v>22</v>
      </c>
      <c r="G59">
        <v>4</v>
      </c>
      <c r="H59" s="4">
        <v>300</v>
      </c>
      <c r="I59" s="4">
        <v>1200</v>
      </c>
      <c r="J59" t="s">
        <v>18</v>
      </c>
      <c r="K59" t="str">
        <f>IFERROR(VLOOKUP(F59&amp;"|"&amp;H59,Feature_Mappings!$A$2:$C$16,2,FALSE()),"")</f>
        <v>Leather Jacket</v>
      </c>
      <c r="L59" t="str">
        <f>IFERROR(VLOOKUP(F59&amp;"|"&amp;H59,Feature_Mappings!$A$2:$C$16,3,FALSE()),"")</f>
        <v>Metro Style Manufacturing</v>
      </c>
      <c r="M59" t="str">
        <f>IFERROR(VLOOKUP(J59,Feature_Mappings!$D$2:$E$5,2,FALSE()),"")</f>
        <v>Olivia Bennett</v>
      </c>
      <c r="N59" t="s">
        <v>19</v>
      </c>
      <c r="O59" t="str">
        <f>IFERROR(INDEX(Store_Manager!$A$2:$A$5,MATCH(M59,Store_Manager!$B$2:$B$5,0)),"")</f>
        <v>MGR001</v>
      </c>
    </row>
    <row r="60" spans="1:15" ht="15.75" customHeight="1">
      <c r="A60">
        <v>59</v>
      </c>
      <c r="B60" s="2">
        <v>45112</v>
      </c>
      <c r="C60" t="s">
        <v>80</v>
      </c>
      <c r="D60" t="s">
        <v>16</v>
      </c>
      <c r="E60">
        <v>62</v>
      </c>
      <c r="F60" s="3" t="s">
        <v>22</v>
      </c>
      <c r="G60">
        <v>1</v>
      </c>
      <c r="H60" s="4">
        <v>50</v>
      </c>
      <c r="I60" s="4">
        <v>50</v>
      </c>
      <c r="J60" t="s">
        <v>18</v>
      </c>
      <c r="K60" t="str">
        <f>IFERROR(VLOOKUP(F60&amp;"|"&amp;H60,Feature_Mappings!$A$2:$C$16,2,FALSE()),"")</f>
        <v>Denim Jeans</v>
      </c>
      <c r="L60" t="str">
        <f>IFERROR(VLOOKUP(F60&amp;"|"&amp;H60,Feature_Mappings!$A$2:$C$16,3,FALSE()),"")</f>
        <v>BlueFit Garments</v>
      </c>
      <c r="M60" t="str">
        <f>IFERROR(VLOOKUP(J60,Feature_Mappings!$D$2:$E$5,2,FALSE()),"")</f>
        <v>Olivia Bennett</v>
      </c>
      <c r="N60" t="s">
        <v>19</v>
      </c>
      <c r="O60" t="str">
        <f>IFERROR(INDEX(Store_Manager!$A$2:$A$5,MATCH(M60,Store_Manager!$B$2:$B$5,0)),"")</f>
        <v>MGR001</v>
      </c>
    </row>
    <row r="61" spans="1:15" ht="15.75" customHeight="1">
      <c r="A61">
        <v>60</v>
      </c>
      <c r="B61" s="2">
        <v>45222</v>
      </c>
      <c r="C61" t="s">
        <v>81</v>
      </c>
      <c r="D61" t="s">
        <v>16</v>
      </c>
      <c r="E61">
        <v>30</v>
      </c>
      <c r="F61" s="3" t="s">
        <v>17</v>
      </c>
      <c r="G61">
        <v>3</v>
      </c>
      <c r="H61" s="4">
        <v>50</v>
      </c>
      <c r="I61" s="4">
        <v>150</v>
      </c>
      <c r="J61" t="s">
        <v>18</v>
      </c>
      <c r="K61" t="str">
        <f>IFERROR(VLOOKUP(F61&amp;"|"&amp;H61,Feature_Mappings!$A$2:$C$16,2,FALSE()),"")</f>
        <v>Eau de Parfum</v>
      </c>
      <c r="L61" t="str">
        <f>IFERROR(VLOOKUP(F61&amp;"|"&amp;H61,Feature_Mappings!$A$2:$C$16,3,FALSE()),"")</f>
        <v>Luxe Aroma Labs</v>
      </c>
      <c r="M61" t="str">
        <f>IFERROR(VLOOKUP(J61,Feature_Mappings!$D$2:$E$5,2,FALSE()),"")</f>
        <v>Olivia Bennett</v>
      </c>
      <c r="N61" t="s">
        <v>19</v>
      </c>
      <c r="O61" t="str">
        <f>IFERROR(INDEX(Store_Manager!$A$2:$A$5,MATCH(M61,Store_Manager!$B$2:$B$5,0)),"")</f>
        <v>MGR001</v>
      </c>
    </row>
    <row r="62" spans="1:15" ht="15.75" customHeight="1">
      <c r="A62">
        <v>61</v>
      </c>
      <c r="B62" s="2">
        <v>45025</v>
      </c>
      <c r="C62" t="s">
        <v>82</v>
      </c>
      <c r="D62" t="s">
        <v>16</v>
      </c>
      <c r="E62">
        <v>21</v>
      </c>
      <c r="F62" s="3" t="s">
        <v>17</v>
      </c>
      <c r="G62">
        <v>4</v>
      </c>
      <c r="H62" s="4">
        <v>50</v>
      </c>
      <c r="I62" s="4">
        <v>200</v>
      </c>
      <c r="J62" t="s">
        <v>18</v>
      </c>
      <c r="K62" t="str">
        <f>IFERROR(VLOOKUP(F62&amp;"|"&amp;H62,Feature_Mappings!$A$2:$C$16,2,FALSE()),"")</f>
        <v>Eau de Parfum</v>
      </c>
      <c r="L62" t="str">
        <f>IFERROR(VLOOKUP(F62&amp;"|"&amp;H62,Feature_Mappings!$A$2:$C$16,3,FALSE()),"")</f>
        <v>Luxe Aroma Labs</v>
      </c>
      <c r="M62" t="str">
        <f>IFERROR(VLOOKUP(J62,Feature_Mappings!$D$2:$E$5,2,FALSE()),"")</f>
        <v>Olivia Bennett</v>
      </c>
      <c r="N62" t="s">
        <v>19</v>
      </c>
      <c r="O62" t="str">
        <f>IFERROR(INDEX(Store_Manager!$A$2:$A$5,MATCH(M62,Store_Manager!$B$2:$B$5,0)),"")</f>
        <v>MGR001</v>
      </c>
    </row>
    <row r="63" spans="1:15" ht="15.75" customHeight="1">
      <c r="A63">
        <v>62</v>
      </c>
      <c r="B63" s="2">
        <v>45287</v>
      </c>
      <c r="C63" t="s">
        <v>83</v>
      </c>
      <c r="D63" t="s">
        <v>16</v>
      </c>
      <c r="E63">
        <v>18</v>
      </c>
      <c r="F63" s="3" t="s">
        <v>17</v>
      </c>
      <c r="G63">
        <v>2</v>
      </c>
      <c r="H63" s="4">
        <v>50</v>
      </c>
      <c r="I63" s="4">
        <v>100</v>
      </c>
      <c r="J63" t="s">
        <v>18</v>
      </c>
      <c r="K63" t="str">
        <f>IFERROR(VLOOKUP(F63&amp;"|"&amp;H63,Feature_Mappings!$A$2:$C$16,2,FALSE()),"")</f>
        <v>Eau de Parfum</v>
      </c>
      <c r="L63" t="str">
        <f>IFERROR(VLOOKUP(F63&amp;"|"&amp;H63,Feature_Mappings!$A$2:$C$16,3,FALSE()),"")</f>
        <v>Luxe Aroma Labs</v>
      </c>
      <c r="M63" t="str">
        <f>IFERROR(VLOOKUP(J63,Feature_Mappings!$D$2:$E$5,2,FALSE()),"")</f>
        <v>Olivia Bennett</v>
      </c>
      <c r="N63" t="s">
        <v>19</v>
      </c>
      <c r="O63" t="str">
        <f>IFERROR(INDEX(Store_Manager!$A$2:$A$5,MATCH(M63,Store_Manager!$B$2:$B$5,0)),"")</f>
        <v>MGR001</v>
      </c>
    </row>
    <row r="64" spans="1:15" ht="15.75" customHeight="1">
      <c r="A64">
        <v>63</v>
      </c>
      <c r="B64" s="2">
        <v>44962</v>
      </c>
      <c r="C64" t="s">
        <v>84</v>
      </c>
      <c r="D64" t="s">
        <v>16</v>
      </c>
      <c r="E64">
        <v>57</v>
      </c>
      <c r="F64" s="3" t="s">
        <v>24</v>
      </c>
      <c r="G64">
        <v>2</v>
      </c>
      <c r="H64" s="4">
        <v>25</v>
      </c>
      <c r="I64" s="4">
        <v>50</v>
      </c>
      <c r="J64" t="s">
        <v>18</v>
      </c>
      <c r="K64" t="str">
        <f>IFERROR(VLOOKUP(F64&amp;"|"&amp;H64,Feature_Mappings!$A$2:$C$16,2,FALSE()),"")</f>
        <v>USB-C Charger</v>
      </c>
      <c r="L64" t="str">
        <f>IFERROR(VLOOKUP(F64&amp;"|"&amp;H64,Feature_Mappings!$A$2:$C$16,3,FALSE()),"")</f>
        <v>VoltEdge Electronics</v>
      </c>
      <c r="M64" t="str">
        <f>IFERROR(VLOOKUP(J64,Feature_Mappings!$D$2:$E$5,2,FALSE()),"")</f>
        <v>Olivia Bennett</v>
      </c>
      <c r="N64" t="s">
        <v>19</v>
      </c>
      <c r="O64" t="str">
        <f>IFERROR(INDEX(Store_Manager!$A$2:$A$5,MATCH(M64,Store_Manager!$B$2:$B$5,0)),"")</f>
        <v>MGR001</v>
      </c>
    </row>
    <row r="65" spans="1:15" ht="15.75" customHeight="1">
      <c r="A65">
        <v>64</v>
      </c>
      <c r="B65" s="2">
        <v>44950</v>
      </c>
      <c r="C65" t="s">
        <v>85</v>
      </c>
      <c r="D65" t="s">
        <v>16</v>
      </c>
      <c r="E65">
        <v>49</v>
      </c>
      <c r="F65" s="3" t="s">
        <v>22</v>
      </c>
      <c r="G65">
        <v>4</v>
      </c>
      <c r="H65" s="4">
        <v>25</v>
      </c>
      <c r="I65" s="4">
        <v>100</v>
      </c>
      <c r="J65" t="s">
        <v>18</v>
      </c>
      <c r="K65" t="str">
        <f>IFERROR(VLOOKUP(F65&amp;"|"&amp;H65,Feature_Mappings!$A$2:$C$16,2,FALSE()),"")</f>
        <v>Cotton Socks</v>
      </c>
      <c r="L65" t="str">
        <f>IFERROR(VLOOKUP(F65&amp;"|"&amp;H65,Feature_Mappings!$A$2:$C$16,3,FALSE()),"")</f>
        <v>Urban Basics Co.</v>
      </c>
      <c r="M65" t="str">
        <f>IFERROR(VLOOKUP(J65,Feature_Mappings!$D$2:$E$5,2,FALSE()),"")</f>
        <v>Olivia Bennett</v>
      </c>
      <c r="N65" t="s">
        <v>19</v>
      </c>
      <c r="O65" t="str">
        <f>IFERROR(INDEX(Store_Manager!$A$2:$A$5,MATCH(M65,Store_Manager!$B$2:$B$5,0)),"")</f>
        <v>MGR001</v>
      </c>
    </row>
    <row r="66" spans="1:15" ht="15.75" customHeight="1">
      <c r="A66">
        <v>65</v>
      </c>
      <c r="B66" s="2">
        <v>45265</v>
      </c>
      <c r="C66" t="s">
        <v>86</v>
      </c>
      <c r="D66" t="s">
        <v>16</v>
      </c>
      <c r="E66">
        <v>51</v>
      </c>
      <c r="F66" s="3" t="s">
        <v>24</v>
      </c>
      <c r="G66">
        <v>4</v>
      </c>
      <c r="H66" s="4">
        <v>500</v>
      </c>
      <c r="I66" s="4">
        <v>2000</v>
      </c>
      <c r="J66" t="s">
        <v>18</v>
      </c>
      <c r="K66" t="str">
        <f>IFERROR(VLOOKUP(F66&amp;"|"&amp;H66,Feature_Mappings!$A$2:$C$16,2,FALSE()),"")</f>
        <v>Smartphone</v>
      </c>
      <c r="L66" t="str">
        <f>IFERROR(VLOOKUP(F66&amp;"|"&amp;H66,Feature_Mappings!$A$2:$C$16,3,FALSE()),"")</f>
        <v>NovaTech Wholesale</v>
      </c>
      <c r="M66" t="str">
        <f>IFERROR(VLOOKUP(J66,Feature_Mappings!$D$2:$E$5,2,FALSE()),"")</f>
        <v>Olivia Bennett</v>
      </c>
      <c r="N66" t="s">
        <v>19</v>
      </c>
      <c r="O66" t="str">
        <f>IFERROR(INDEX(Store_Manager!$A$2:$A$5,MATCH(M66,Store_Manager!$B$2:$B$5,0)),"")</f>
        <v>MGR001</v>
      </c>
    </row>
    <row r="67" spans="1:15" ht="15.75" customHeight="1">
      <c r="A67">
        <v>66</v>
      </c>
      <c r="B67" s="2">
        <v>45043</v>
      </c>
      <c r="C67" t="s">
        <v>87</v>
      </c>
      <c r="D67" t="s">
        <v>21</v>
      </c>
      <c r="E67">
        <v>45</v>
      </c>
      <c r="F67" s="3" t="s">
        <v>24</v>
      </c>
      <c r="G67">
        <v>1</v>
      </c>
      <c r="H67" s="4">
        <v>30</v>
      </c>
      <c r="I67" s="4">
        <v>30</v>
      </c>
      <c r="J67" t="s">
        <v>18</v>
      </c>
      <c r="K67" t="str">
        <f>IFERROR(VLOOKUP(F67&amp;"|"&amp;H67,Feature_Mappings!$A$2:$C$16,2,FALSE()),"")</f>
        <v>Wireless Mouse</v>
      </c>
      <c r="L67" t="str">
        <f>IFERROR(VLOOKUP(F67&amp;"|"&amp;H67,Feature_Mappings!$A$2:$C$16,3,FALSE()),"")</f>
        <v>ByteWave Distributors</v>
      </c>
      <c r="M67" t="str">
        <f>IFERROR(VLOOKUP(J67,Feature_Mappings!$D$2:$E$5,2,FALSE()),"")</f>
        <v>Olivia Bennett</v>
      </c>
      <c r="N67" t="s">
        <v>19</v>
      </c>
      <c r="O67" t="str">
        <f>IFERROR(INDEX(Store_Manager!$A$2:$A$5,MATCH(M67,Store_Manager!$B$2:$B$5,0)),"")</f>
        <v>MGR001</v>
      </c>
    </row>
    <row r="68" spans="1:15" ht="15.75" customHeight="1">
      <c r="A68">
        <v>67</v>
      </c>
      <c r="B68" s="2">
        <v>45075</v>
      </c>
      <c r="C68" t="s">
        <v>88</v>
      </c>
      <c r="D68" t="s">
        <v>21</v>
      </c>
      <c r="E68">
        <v>48</v>
      </c>
      <c r="F68" s="3" t="s">
        <v>17</v>
      </c>
      <c r="G68">
        <v>4</v>
      </c>
      <c r="H68" s="4">
        <v>300</v>
      </c>
      <c r="I68" s="4">
        <v>1200</v>
      </c>
      <c r="J68" t="s">
        <v>18</v>
      </c>
      <c r="K68" t="str">
        <f>IFERROR(VLOOKUP(F68&amp;"|"&amp;H68,Feature_Mappings!$A$2:$C$16,2,FALSE()),"")</f>
        <v>Skincare Gift Set</v>
      </c>
      <c r="L68" t="str">
        <f>IFERROR(VLOOKUP(F68&amp;"|"&amp;H68,Feature_Mappings!$A$2:$C$16,3,FALSE()),"")</f>
        <v>Radiant Beauty Wholesale</v>
      </c>
      <c r="M68" t="str">
        <f>IFERROR(VLOOKUP(J68,Feature_Mappings!$D$2:$E$5,2,FALSE()),"")</f>
        <v>Olivia Bennett</v>
      </c>
      <c r="N68" t="s">
        <v>19</v>
      </c>
      <c r="O68" t="str">
        <f>IFERROR(INDEX(Store_Manager!$A$2:$A$5,MATCH(M68,Store_Manager!$B$2:$B$5,0)),"")</f>
        <v>MGR001</v>
      </c>
    </row>
    <row r="69" spans="1:15" ht="15.75" customHeight="1">
      <c r="A69">
        <v>68</v>
      </c>
      <c r="B69" s="2">
        <v>44967</v>
      </c>
      <c r="C69" t="s">
        <v>89</v>
      </c>
      <c r="D69" t="s">
        <v>16</v>
      </c>
      <c r="E69">
        <v>25</v>
      </c>
      <c r="F69" s="3" t="s">
        <v>24</v>
      </c>
      <c r="G69">
        <v>1</v>
      </c>
      <c r="H69" s="4">
        <v>300</v>
      </c>
      <c r="I69" s="4">
        <v>300</v>
      </c>
      <c r="J69" t="s">
        <v>18</v>
      </c>
      <c r="K69" t="str">
        <f>IFERROR(VLOOKUP(F69&amp;"|"&amp;H69,Feature_Mappings!$A$2:$C$16,2,FALSE()),"")</f>
        <v>Tablet</v>
      </c>
      <c r="L69" t="str">
        <f>IFERROR(VLOOKUP(F69&amp;"|"&amp;H69,Feature_Mappings!$A$2:$C$16,3,FALSE()),"")</f>
        <v>NextGen Devices</v>
      </c>
      <c r="M69" t="str">
        <f>IFERROR(VLOOKUP(J69,Feature_Mappings!$D$2:$E$5,2,FALSE()),"")</f>
        <v>Olivia Bennett</v>
      </c>
      <c r="N69" t="s">
        <v>19</v>
      </c>
      <c r="O69" t="str">
        <f>IFERROR(INDEX(Store_Manager!$A$2:$A$5,MATCH(M69,Store_Manager!$B$2:$B$5,0)),"")</f>
        <v>MGR001</v>
      </c>
    </row>
    <row r="70" spans="1:15" ht="15.75" customHeight="1">
      <c r="A70">
        <v>69</v>
      </c>
      <c r="B70" s="2">
        <v>45046</v>
      </c>
      <c r="C70" t="s">
        <v>90</v>
      </c>
      <c r="D70" t="s">
        <v>21</v>
      </c>
      <c r="E70">
        <v>56</v>
      </c>
      <c r="F70" s="3" t="s">
        <v>17</v>
      </c>
      <c r="G70">
        <v>3</v>
      </c>
      <c r="H70" s="4">
        <v>25</v>
      </c>
      <c r="I70" s="4">
        <v>75</v>
      </c>
      <c r="J70" t="s">
        <v>18</v>
      </c>
      <c r="K70" t="str">
        <f>IFERROR(VLOOKUP(F70&amp;"|"&amp;H70,Feature_Mappings!$A$2:$C$16,2,FALSE()),"")</f>
        <v>Lip Balm</v>
      </c>
      <c r="L70" t="str">
        <f>IFERROR(VLOOKUP(F70&amp;"|"&amp;H70,Feature_Mappings!$A$2:$C$16,3,FALSE()),"")</f>
        <v>GlowSource Cosmetics</v>
      </c>
      <c r="M70" t="str">
        <f>IFERROR(VLOOKUP(J70,Feature_Mappings!$D$2:$E$5,2,FALSE()),"")</f>
        <v>Olivia Bennett</v>
      </c>
      <c r="N70" t="s">
        <v>19</v>
      </c>
      <c r="O70" t="str">
        <f>IFERROR(INDEX(Store_Manager!$A$2:$A$5,MATCH(M70,Store_Manager!$B$2:$B$5,0)),"")</f>
        <v>MGR001</v>
      </c>
    </row>
    <row r="71" spans="1:15" ht="15.75" customHeight="1">
      <c r="A71">
        <v>70</v>
      </c>
      <c r="B71" s="2">
        <v>44978</v>
      </c>
      <c r="C71" t="s">
        <v>91</v>
      </c>
      <c r="D71" t="s">
        <v>21</v>
      </c>
      <c r="E71">
        <v>43</v>
      </c>
      <c r="F71" s="3" t="s">
        <v>22</v>
      </c>
      <c r="G71">
        <v>1</v>
      </c>
      <c r="H71" s="4">
        <v>300</v>
      </c>
      <c r="I71" s="4">
        <v>300</v>
      </c>
      <c r="J71" t="s">
        <v>18</v>
      </c>
      <c r="K71" t="str">
        <f>IFERROR(VLOOKUP(F71&amp;"|"&amp;H71,Feature_Mappings!$A$2:$C$16,2,FALSE()),"")</f>
        <v>Leather Jacket</v>
      </c>
      <c r="L71" t="str">
        <f>IFERROR(VLOOKUP(F71&amp;"|"&amp;H71,Feature_Mappings!$A$2:$C$16,3,FALSE()),"")</f>
        <v>Metro Style Manufacturing</v>
      </c>
      <c r="M71" t="str">
        <f>IFERROR(VLOOKUP(J71,Feature_Mappings!$D$2:$E$5,2,FALSE()),"")</f>
        <v>Olivia Bennett</v>
      </c>
      <c r="N71" t="s">
        <v>19</v>
      </c>
      <c r="O71" t="str">
        <f>IFERROR(INDEX(Store_Manager!$A$2:$A$5,MATCH(M71,Store_Manager!$B$2:$B$5,0)),"")</f>
        <v>MGR001</v>
      </c>
    </row>
    <row r="72" spans="1:15" ht="15.75" customHeight="1">
      <c r="A72">
        <v>71</v>
      </c>
      <c r="B72" s="2">
        <v>45121</v>
      </c>
      <c r="C72" t="s">
        <v>92</v>
      </c>
      <c r="D72" t="s">
        <v>21</v>
      </c>
      <c r="E72">
        <v>51</v>
      </c>
      <c r="F72" s="3" t="s">
        <v>17</v>
      </c>
      <c r="G72">
        <v>4</v>
      </c>
      <c r="H72" s="4">
        <v>25</v>
      </c>
      <c r="I72" s="4">
        <v>100</v>
      </c>
      <c r="J72" t="s">
        <v>18</v>
      </c>
      <c r="K72" t="str">
        <f>IFERROR(VLOOKUP(F72&amp;"|"&amp;H72,Feature_Mappings!$A$2:$C$16,2,FALSE()),"")</f>
        <v>Lip Balm</v>
      </c>
      <c r="L72" t="str">
        <f>IFERROR(VLOOKUP(F72&amp;"|"&amp;H72,Feature_Mappings!$A$2:$C$16,3,FALSE()),"")</f>
        <v>GlowSource Cosmetics</v>
      </c>
      <c r="M72" t="str">
        <f>IFERROR(VLOOKUP(J72,Feature_Mappings!$D$2:$E$5,2,FALSE()),"")</f>
        <v>Olivia Bennett</v>
      </c>
      <c r="N72" t="s">
        <v>19</v>
      </c>
      <c r="O72" t="str">
        <f>IFERROR(INDEX(Store_Manager!$A$2:$A$5,MATCH(M72,Store_Manager!$B$2:$B$5,0)),"")</f>
        <v>MGR001</v>
      </c>
    </row>
    <row r="73" spans="1:15" ht="15.75" customHeight="1">
      <c r="A73">
        <v>72</v>
      </c>
      <c r="B73" s="2">
        <v>45069</v>
      </c>
      <c r="C73" t="s">
        <v>93</v>
      </c>
      <c r="D73" t="s">
        <v>21</v>
      </c>
      <c r="E73">
        <v>20</v>
      </c>
      <c r="F73" s="3" t="s">
        <v>24</v>
      </c>
      <c r="G73">
        <v>4</v>
      </c>
      <c r="H73" s="4">
        <v>500</v>
      </c>
      <c r="I73" s="4">
        <v>2000</v>
      </c>
      <c r="J73" t="s">
        <v>18</v>
      </c>
      <c r="K73" t="str">
        <f>IFERROR(VLOOKUP(F73&amp;"|"&amp;H73,Feature_Mappings!$A$2:$C$16,2,FALSE()),"")</f>
        <v>Smartphone</v>
      </c>
      <c r="L73" t="str">
        <f>IFERROR(VLOOKUP(F73&amp;"|"&amp;H73,Feature_Mappings!$A$2:$C$16,3,FALSE()),"")</f>
        <v>NovaTech Wholesale</v>
      </c>
      <c r="M73" t="str">
        <f>IFERROR(VLOOKUP(J73,Feature_Mappings!$D$2:$E$5,2,FALSE()),"")</f>
        <v>Olivia Bennett</v>
      </c>
      <c r="N73" t="s">
        <v>19</v>
      </c>
      <c r="O73" t="str">
        <f>IFERROR(INDEX(Store_Manager!$A$2:$A$5,MATCH(M73,Store_Manager!$B$2:$B$5,0)),"")</f>
        <v>MGR001</v>
      </c>
    </row>
    <row r="74" spans="1:15" ht="15.75" customHeight="1">
      <c r="A74">
        <v>73</v>
      </c>
      <c r="B74" s="2">
        <v>45159</v>
      </c>
      <c r="C74" t="s">
        <v>94</v>
      </c>
      <c r="D74" t="s">
        <v>16</v>
      </c>
      <c r="E74">
        <v>29</v>
      </c>
      <c r="F74" s="3" t="s">
        <v>24</v>
      </c>
      <c r="G74">
        <v>3</v>
      </c>
      <c r="H74" s="4">
        <v>30</v>
      </c>
      <c r="I74" s="4">
        <v>90</v>
      </c>
      <c r="J74" t="s">
        <v>18</v>
      </c>
      <c r="K74" t="str">
        <f>IFERROR(VLOOKUP(F74&amp;"|"&amp;H74,Feature_Mappings!$A$2:$C$16,2,FALSE()),"")</f>
        <v>Wireless Mouse</v>
      </c>
      <c r="L74" t="str">
        <f>IFERROR(VLOOKUP(F74&amp;"|"&amp;H74,Feature_Mappings!$A$2:$C$16,3,FALSE()),"")</f>
        <v>ByteWave Distributors</v>
      </c>
      <c r="M74" t="str">
        <f>IFERROR(VLOOKUP(J74,Feature_Mappings!$D$2:$E$5,2,FALSE()),"")</f>
        <v>Olivia Bennett</v>
      </c>
      <c r="N74" t="s">
        <v>19</v>
      </c>
      <c r="O74" t="str">
        <f>IFERROR(INDEX(Store_Manager!$A$2:$A$5,MATCH(M74,Store_Manager!$B$2:$B$5,0)),"")</f>
        <v>MGR001</v>
      </c>
    </row>
    <row r="75" spans="1:15" ht="15.75" customHeight="1">
      <c r="A75">
        <v>74</v>
      </c>
      <c r="B75" s="2">
        <v>45252</v>
      </c>
      <c r="C75" t="s">
        <v>95</v>
      </c>
      <c r="D75" t="s">
        <v>21</v>
      </c>
      <c r="E75">
        <v>18</v>
      </c>
      <c r="F75" s="3" t="s">
        <v>17</v>
      </c>
      <c r="G75">
        <v>4</v>
      </c>
      <c r="H75" s="4">
        <v>500</v>
      </c>
      <c r="I75" s="4">
        <v>2000</v>
      </c>
      <c r="J75" t="s">
        <v>18</v>
      </c>
      <c r="K75" t="str">
        <f>IFERROR(VLOOKUP(F75&amp;"|"&amp;H75,Feature_Mappings!$A$2:$C$16,2,FALSE()),"")</f>
        <v>LED Beauty Device</v>
      </c>
      <c r="L75" t="str">
        <f>IFERROR(VLOOKUP(F75&amp;"|"&amp;H75,Feature_Mappings!$A$2:$C$16,3,FALSE()),"")</f>
        <v>BeautyTech Pro</v>
      </c>
      <c r="M75" t="str">
        <f>IFERROR(VLOOKUP(J75,Feature_Mappings!$D$2:$E$5,2,FALSE()),"")</f>
        <v>Olivia Bennett</v>
      </c>
      <c r="N75" t="s">
        <v>19</v>
      </c>
      <c r="O75" t="str">
        <f>IFERROR(INDEX(Store_Manager!$A$2:$A$5,MATCH(M75,Store_Manager!$B$2:$B$5,0)),"")</f>
        <v>MGR001</v>
      </c>
    </row>
    <row r="76" spans="1:15" ht="15.75" customHeight="1">
      <c r="A76">
        <v>75</v>
      </c>
      <c r="B76" s="2">
        <v>45113</v>
      </c>
      <c r="C76" t="s">
        <v>96</v>
      </c>
      <c r="D76" t="s">
        <v>16</v>
      </c>
      <c r="E76">
        <v>61</v>
      </c>
      <c r="F76" s="3" t="s">
        <v>17</v>
      </c>
      <c r="G76">
        <v>4</v>
      </c>
      <c r="H76" s="4">
        <v>50</v>
      </c>
      <c r="I76" s="4">
        <v>200</v>
      </c>
      <c r="J76" t="s">
        <v>18</v>
      </c>
      <c r="K76" t="str">
        <f>IFERROR(VLOOKUP(F76&amp;"|"&amp;H76,Feature_Mappings!$A$2:$C$16,2,FALSE()),"")</f>
        <v>Eau de Parfum</v>
      </c>
      <c r="L76" t="str">
        <f>IFERROR(VLOOKUP(F76&amp;"|"&amp;H76,Feature_Mappings!$A$2:$C$16,3,FALSE()),"")</f>
        <v>Luxe Aroma Labs</v>
      </c>
      <c r="M76" t="str">
        <f>IFERROR(VLOOKUP(J76,Feature_Mappings!$D$2:$E$5,2,FALSE()),"")</f>
        <v>Olivia Bennett</v>
      </c>
      <c r="N76" t="s">
        <v>19</v>
      </c>
      <c r="O76" t="str">
        <f>IFERROR(INDEX(Store_Manager!$A$2:$A$5,MATCH(M76,Store_Manager!$B$2:$B$5,0)),"")</f>
        <v>MGR001</v>
      </c>
    </row>
    <row r="77" spans="1:15" ht="15.75" customHeight="1">
      <c r="A77">
        <v>76</v>
      </c>
      <c r="B77" s="2">
        <v>45010</v>
      </c>
      <c r="C77" t="s">
        <v>97</v>
      </c>
      <c r="D77" t="s">
        <v>21</v>
      </c>
      <c r="E77">
        <v>22</v>
      </c>
      <c r="F77" s="3" t="s">
        <v>24</v>
      </c>
      <c r="G77">
        <v>2</v>
      </c>
      <c r="H77" s="4">
        <v>50</v>
      </c>
      <c r="I77" s="4">
        <v>100</v>
      </c>
      <c r="J77" t="s">
        <v>18</v>
      </c>
      <c r="K77" t="str">
        <f>IFERROR(VLOOKUP(F77&amp;"|"&amp;H77,Feature_Mappings!$A$2:$C$16,2,FALSE()),"")</f>
        <v>Bluetooth Speaker</v>
      </c>
      <c r="L77" t="str">
        <f>IFERROR(VLOOKUP(F77&amp;"|"&amp;H77,Feature_Mappings!$A$2:$C$16,3,FALSE()),"")</f>
        <v>SoundSphere Supply</v>
      </c>
      <c r="M77" t="str">
        <f>IFERROR(VLOOKUP(J77,Feature_Mappings!$D$2:$E$5,2,FALSE()),"")</f>
        <v>Olivia Bennett</v>
      </c>
      <c r="N77" t="s">
        <v>19</v>
      </c>
      <c r="O77" t="str">
        <f>IFERROR(INDEX(Store_Manager!$A$2:$A$5,MATCH(M77,Store_Manager!$B$2:$B$5,0)),"")</f>
        <v>MGR001</v>
      </c>
    </row>
    <row r="78" spans="1:15" ht="15.75" customHeight="1">
      <c r="A78">
        <v>77</v>
      </c>
      <c r="B78" s="2">
        <v>45116</v>
      </c>
      <c r="C78" t="s">
        <v>98</v>
      </c>
      <c r="D78" t="s">
        <v>21</v>
      </c>
      <c r="E78">
        <v>47</v>
      </c>
      <c r="F78" s="3" t="s">
        <v>22</v>
      </c>
      <c r="G78">
        <v>2</v>
      </c>
      <c r="H78" s="4">
        <v>50</v>
      </c>
      <c r="I78" s="4">
        <v>100</v>
      </c>
      <c r="J78" t="s">
        <v>18</v>
      </c>
      <c r="K78" t="str">
        <f>IFERROR(VLOOKUP(F78&amp;"|"&amp;H78,Feature_Mappings!$A$2:$C$16,2,FALSE()),"")</f>
        <v>Denim Jeans</v>
      </c>
      <c r="L78" t="str">
        <f>IFERROR(VLOOKUP(F78&amp;"|"&amp;H78,Feature_Mappings!$A$2:$C$16,3,FALSE()),"")</f>
        <v>BlueFit Garments</v>
      </c>
      <c r="M78" t="str">
        <f>IFERROR(VLOOKUP(J78,Feature_Mappings!$D$2:$E$5,2,FALSE()),"")</f>
        <v>Olivia Bennett</v>
      </c>
      <c r="N78" t="s">
        <v>19</v>
      </c>
      <c r="O78" t="str">
        <f>IFERROR(INDEX(Store_Manager!$A$2:$A$5,MATCH(M78,Store_Manager!$B$2:$B$5,0)),"")</f>
        <v>MGR001</v>
      </c>
    </row>
    <row r="79" spans="1:15" ht="15.75" customHeight="1">
      <c r="A79">
        <v>78</v>
      </c>
      <c r="B79" s="2">
        <v>45108</v>
      </c>
      <c r="C79" t="s">
        <v>99</v>
      </c>
      <c r="D79" t="s">
        <v>21</v>
      </c>
      <c r="E79">
        <v>47</v>
      </c>
      <c r="F79" s="3" t="s">
        <v>22</v>
      </c>
      <c r="G79">
        <v>3</v>
      </c>
      <c r="H79" s="4">
        <v>500</v>
      </c>
      <c r="I79" s="4">
        <v>1500</v>
      </c>
      <c r="J79" t="s">
        <v>18</v>
      </c>
      <c r="K79" t="str">
        <f>IFERROR(VLOOKUP(F79&amp;"|"&amp;H79,Feature_Mappings!$A$2:$C$16,2,FALSE()),"")</f>
        <v>Designer Coat</v>
      </c>
      <c r="L79" t="str">
        <f>IFERROR(VLOOKUP(F79&amp;"|"&amp;H79,Feature_Mappings!$A$2:$C$16,3,FALSE()),"")</f>
        <v>Prestige Fashion House</v>
      </c>
      <c r="M79" t="str">
        <f>IFERROR(VLOOKUP(J79,Feature_Mappings!$D$2:$E$5,2,FALSE()),"")</f>
        <v>Olivia Bennett</v>
      </c>
      <c r="N79" t="s">
        <v>19</v>
      </c>
      <c r="O79" t="str">
        <f>IFERROR(INDEX(Store_Manager!$A$2:$A$5,MATCH(M79,Store_Manager!$B$2:$B$5,0)),"")</f>
        <v>MGR001</v>
      </c>
    </row>
    <row r="80" spans="1:15" ht="15.75" customHeight="1">
      <c r="A80">
        <v>79</v>
      </c>
      <c r="B80" s="2">
        <v>45034</v>
      </c>
      <c r="C80" t="s">
        <v>100</v>
      </c>
      <c r="D80" t="s">
        <v>16</v>
      </c>
      <c r="E80">
        <v>34</v>
      </c>
      <c r="F80" s="3" t="s">
        <v>17</v>
      </c>
      <c r="G80">
        <v>1</v>
      </c>
      <c r="H80" s="4">
        <v>300</v>
      </c>
      <c r="I80" s="4">
        <v>300</v>
      </c>
      <c r="J80" t="s">
        <v>18</v>
      </c>
      <c r="K80" t="str">
        <f>IFERROR(VLOOKUP(F80&amp;"|"&amp;H80,Feature_Mappings!$A$2:$C$16,2,FALSE()),"")</f>
        <v>Skincare Gift Set</v>
      </c>
      <c r="L80" t="str">
        <f>IFERROR(VLOOKUP(F80&amp;"|"&amp;H80,Feature_Mappings!$A$2:$C$16,3,FALSE()),"")</f>
        <v>Radiant Beauty Wholesale</v>
      </c>
      <c r="M80" t="str">
        <f>IFERROR(VLOOKUP(J80,Feature_Mappings!$D$2:$E$5,2,FALSE()),"")</f>
        <v>Olivia Bennett</v>
      </c>
      <c r="N80" t="s">
        <v>19</v>
      </c>
      <c r="O80" t="str">
        <f>IFERROR(INDEX(Store_Manager!$A$2:$A$5,MATCH(M80,Store_Manager!$B$2:$B$5,0)),"")</f>
        <v>MGR001</v>
      </c>
    </row>
    <row r="81" spans="1:15" ht="15.75" customHeight="1">
      <c r="A81">
        <v>80</v>
      </c>
      <c r="B81" s="2">
        <v>45270</v>
      </c>
      <c r="C81" t="s">
        <v>101</v>
      </c>
      <c r="D81" t="s">
        <v>21</v>
      </c>
      <c r="E81">
        <v>64</v>
      </c>
      <c r="F81" s="3" t="s">
        <v>22</v>
      </c>
      <c r="G81">
        <v>2</v>
      </c>
      <c r="H81" s="4">
        <v>30</v>
      </c>
      <c r="I81" s="4">
        <v>60</v>
      </c>
      <c r="J81" t="s">
        <v>18</v>
      </c>
      <c r="K81" t="str">
        <f>IFERROR(VLOOKUP(F81&amp;"|"&amp;H81,Feature_Mappings!$A$2:$C$16,2,FALSE()),"")</f>
        <v>Graphic T-Shirt</v>
      </c>
      <c r="L81" t="str">
        <f>IFERROR(VLOOKUP(F81&amp;"|"&amp;H81,Feature_Mappings!$A$2:$C$16,3,FALSE()),"")</f>
        <v>ThreadWorks Apparel</v>
      </c>
      <c r="M81" t="str">
        <f>IFERROR(VLOOKUP(J81,Feature_Mappings!$D$2:$E$5,2,FALSE()),"")</f>
        <v>Olivia Bennett</v>
      </c>
      <c r="N81" t="s">
        <v>19</v>
      </c>
      <c r="O81" t="str">
        <f>IFERROR(INDEX(Store_Manager!$A$2:$A$5,MATCH(M81,Store_Manager!$B$2:$B$5,0)),"")</f>
        <v>MGR001</v>
      </c>
    </row>
    <row r="82" spans="1:15" ht="15.75" customHeight="1">
      <c r="A82">
        <v>81</v>
      </c>
      <c r="B82" s="2">
        <v>45063</v>
      </c>
      <c r="C82" t="s">
        <v>102</v>
      </c>
      <c r="D82" t="s">
        <v>16</v>
      </c>
      <c r="E82">
        <v>40</v>
      </c>
      <c r="F82" s="3" t="s">
        <v>24</v>
      </c>
      <c r="G82">
        <v>1</v>
      </c>
      <c r="H82" s="4">
        <v>50</v>
      </c>
      <c r="I82" s="4">
        <v>50</v>
      </c>
      <c r="J82" t="s">
        <v>18</v>
      </c>
      <c r="K82" t="str">
        <f>IFERROR(VLOOKUP(F82&amp;"|"&amp;H82,Feature_Mappings!$A$2:$C$16,2,FALSE()),"")</f>
        <v>Bluetooth Speaker</v>
      </c>
      <c r="L82" t="str">
        <f>IFERROR(VLOOKUP(F82&amp;"|"&amp;H82,Feature_Mappings!$A$2:$C$16,3,FALSE()),"")</f>
        <v>SoundSphere Supply</v>
      </c>
      <c r="M82" t="str">
        <f>IFERROR(VLOOKUP(J82,Feature_Mappings!$D$2:$E$5,2,FALSE()),"")</f>
        <v>Olivia Bennett</v>
      </c>
      <c r="N82" t="s">
        <v>19</v>
      </c>
      <c r="O82" t="str">
        <f>IFERROR(INDEX(Store_Manager!$A$2:$A$5,MATCH(M82,Store_Manager!$B$2:$B$5,0)),"")</f>
        <v>MGR001</v>
      </c>
    </row>
    <row r="83" spans="1:15" ht="15.75" customHeight="1">
      <c r="A83">
        <v>82</v>
      </c>
      <c r="B83" s="2">
        <v>45286</v>
      </c>
      <c r="C83" t="s">
        <v>103</v>
      </c>
      <c r="D83" t="s">
        <v>21</v>
      </c>
      <c r="E83">
        <v>32</v>
      </c>
      <c r="F83" s="3" t="s">
        <v>17</v>
      </c>
      <c r="G83">
        <v>4</v>
      </c>
      <c r="H83" s="4">
        <v>50</v>
      </c>
      <c r="I83" s="4">
        <v>200</v>
      </c>
      <c r="J83" t="s">
        <v>18</v>
      </c>
      <c r="K83" t="str">
        <f>IFERROR(VLOOKUP(F83&amp;"|"&amp;H83,Feature_Mappings!$A$2:$C$16,2,FALSE()),"")</f>
        <v>Eau de Parfum</v>
      </c>
      <c r="L83" t="str">
        <f>IFERROR(VLOOKUP(F83&amp;"|"&amp;H83,Feature_Mappings!$A$2:$C$16,3,FALSE()),"")</f>
        <v>Luxe Aroma Labs</v>
      </c>
      <c r="M83" t="str">
        <f>IFERROR(VLOOKUP(J83,Feature_Mappings!$D$2:$E$5,2,FALSE()),"")</f>
        <v>Olivia Bennett</v>
      </c>
      <c r="N83" t="s">
        <v>19</v>
      </c>
      <c r="O83" t="str">
        <f>IFERROR(INDEX(Store_Manager!$A$2:$A$5,MATCH(M83,Store_Manager!$B$2:$B$5,0)),"")</f>
        <v>MGR001</v>
      </c>
    </row>
    <row r="84" spans="1:15" ht="15.75" customHeight="1">
      <c r="A84">
        <v>83</v>
      </c>
      <c r="B84" s="2">
        <v>45276</v>
      </c>
      <c r="C84" t="s">
        <v>104</v>
      </c>
      <c r="D84" t="s">
        <v>16</v>
      </c>
      <c r="E84">
        <v>54</v>
      </c>
      <c r="F84" s="3" t="s">
        <v>24</v>
      </c>
      <c r="G84">
        <v>2</v>
      </c>
      <c r="H84" s="4">
        <v>50</v>
      </c>
      <c r="I84" s="4">
        <v>100</v>
      </c>
      <c r="J84" t="s">
        <v>18</v>
      </c>
      <c r="K84" t="str">
        <f>IFERROR(VLOOKUP(F84&amp;"|"&amp;H84,Feature_Mappings!$A$2:$C$16,2,FALSE()),"")</f>
        <v>Bluetooth Speaker</v>
      </c>
      <c r="L84" t="str">
        <f>IFERROR(VLOOKUP(F84&amp;"|"&amp;H84,Feature_Mappings!$A$2:$C$16,3,FALSE()),"")</f>
        <v>SoundSphere Supply</v>
      </c>
      <c r="M84" t="str">
        <f>IFERROR(VLOOKUP(J84,Feature_Mappings!$D$2:$E$5,2,FALSE()),"")</f>
        <v>Olivia Bennett</v>
      </c>
      <c r="N84" t="s">
        <v>19</v>
      </c>
      <c r="O84" t="str">
        <f>IFERROR(INDEX(Store_Manager!$A$2:$A$5,MATCH(M84,Store_Manager!$B$2:$B$5,0)),"")</f>
        <v>MGR001</v>
      </c>
    </row>
    <row r="85" spans="1:15" ht="15.75" customHeight="1">
      <c r="A85">
        <v>84</v>
      </c>
      <c r="B85" s="2">
        <v>45258</v>
      </c>
      <c r="C85" t="s">
        <v>105</v>
      </c>
      <c r="D85" t="s">
        <v>21</v>
      </c>
      <c r="E85">
        <v>38</v>
      </c>
      <c r="F85" s="3" t="s">
        <v>24</v>
      </c>
      <c r="G85">
        <v>3</v>
      </c>
      <c r="H85" s="4">
        <v>30</v>
      </c>
      <c r="I85" s="4">
        <v>90</v>
      </c>
      <c r="J85" t="s">
        <v>18</v>
      </c>
      <c r="K85" t="str">
        <f>IFERROR(VLOOKUP(F85&amp;"|"&amp;H85,Feature_Mappings!$A$2:$C$16,2,FALSE()),"")</f>
        <v>Wireless Mouse</v>
      </c>
      <c r="L85" t="str">
        <f>IFERROR(VLOOKUP(F85&amp;"|"&amp;H85,Feature_Mappings!$A$2:$C$16,3,FALSE()),"")</f>
        <v>ByteWave Distributors</v>
      </c>
      <c r="M85" t="str">
        <f>IFERROR(VLOOKUP(J85,Feature_Mappings!$D$2:$E$5,2,FALSE()),"")</f>
        <v>Olivia Bennett</v>
      </c>
      <c r="N85" t="s">
        <v>19</v>
      </c>
      <c r="O85" t="str">
        <f>IFERROR(INDEX(Store_Manager!$A$2:$A$5,MATCH(M85,Store_Manager!$B$2:$B$5,0)),"")</f>
        <v>MGR001</v>
      </c>
    </row>
    <row r="86" spans="1:15" ht="15.75" customHeight="1">
      <c r="A86">
        <v>85</v>
      </c>
      <c r="B86" s="2">
        <v>44963</v>
      </c>
      <c r="C86" t="s">
        <v>106</v>
      </c>
      <c r="D86" t="s">
        <v>16</v>
      </c>
      <c r="E86">
        <v>31</v>
      </c>
      <c r="F86" s="3" t="s">
        <v>22</v>
      </c>
      <c r="G86">
        <v>3</v>
      </c>
      <c r="H86" s="4">
        <v>50</v>
      </c>
      <c r="I86" s="4">
        <v>150</v>
      </c>
      <c r="J86" t="s">
        <v>18</v>
      </c>
      <c r="K86" t="str">
        <f>IFERROR(VLOOKUP(F86&amp;"|"&amp;H86,Feature_Mappings!$A$2:$C$16,2,FALSE()),"")</f>
        <v>Denim Jeans</v>
      </c>
      <c r="L86" t="str">
        <f>IFERROR(VLOOKUP(F86&amp;"|"&amp;H86,Feature_Mappings!$A$2:$C$16,3,FALSE()),"")</f>
        <v>BlueFit Garments</v>
      </c>
      <c r="M86" t="str">
        <f>IFERROR(VLOOKUP(J86,Feature_Mappings!$D$2:$E$5,2,FALSE()),"")</f>
        <v>Olivia Bennett</v>
      </c>
      <c r="N86" t="s">
        <v>19</v>
      </c>
      <c r="O86" t="str">
        <f>IFERROR(INDEX(Store_Manager!$A$2:$A$5,MATCH(M86,Store_Manager!$B$2:$B$5,0)),"")</f>
        <v>MGR001</v>
      </c>
    </row>
    <row r="87" spans="1:15" ht="15.75" customHeight="1">
      <c r="A87">
        <v>86</v>
      </c>
      <c r="B87" s="2">
        <v>45238</v>
      </c>
      <c r="C87" t="s">
        <v>107</v>
      </c>
      <c r="D87" t="s">
        <v>16</v>
      </c>
      <c r="E87">
        <v>19</v>
      </c>
      <c r="F87" s="3" t="s">
        <v>17</v>
      </c>
      <c r="G87">
        <v>3</v>
      </c>
      <c r="H87" s="4">
        <v>30</v>
      </c>
      <c r="I87" s="4">
        <v>90</v>
      </c>
      <c r="J87" t="s">
        <v>18</v>
      </c>
      <c r="K87" t="str">
        <f>IFERROR(VLOOKUP(F87&amp;"|"&amp;H87,Feature_Mappings!$A$2:$C$16,2,FALSE()),"")</f>
        <v>Facial Cleanser</v>
      </c>
      <c r="L87" t="str">
        <f>IFERROR(VLOOKUP(F87&amp;"|"&amp;H87,Feature_Mappings!$A$2:$C$16,3,FALSE()),"")</f>
        <v>PureDerma Supplies</v>
      </c>
      <c r="M87" t="str">
        <f>IFERROR(VLOOKUP(J87,Feature_Mappings!$D$2:$E$5,2,FALSE()),"")</f>
        <v>Olivia Bennett</v>
      </c>
      <c r="N87" t="s">
        <v>19</v>
      </c>
      <c r="O87" t="str">
        <f>IFERROR(INDEX(Store_Manager!$A$2:$A$5,MATCH(M87,Store_Manager!$B$2:$B$5,0)),"")</f>
        <v>MGR001</v>
      </c>
    </row>
    <row r="88" spans="1:15" ht="15.75" customHeight="1">
      <c r="A88">
        <v>87</v>
      </c>
      <c r="B88" s="2">
        <v>45252</v>
      </c>
      <c r="C88" t="s">
        <v>108</v>
      </c>
      <c r="D88" t="s">
        <v>21</v>
      </c>
      <c r="E88">
        <v>28</v>
      </c>
      <c r="F88" s="3" t="s">
        <v>17</v>
      </c>
      <c r="G88">
        <v>2</v>
      </c>
      <c r="H88" s="4">
        <v>50</v>
      </c>
      <c r="I88" s="4">
        <v>100</v>
      </c>
      <c r="J88" t="s">
        <v>18</v>
      </c>
      <c r="K88" t="str">
        <f>IFERROR(VLOOKUP(F88&amp;"|"&amp;H88,Feature_Mappings!$A$2:$C$16,2,FALSE()),"")</f>
        <v>Eau de Parfum</v>
      </c>
      <c r="L88" t="str">
        <f>IFERROR(VLOOKUP(F88&amp;"|"&amp;H88,Feature_Mappings!$A$2:$C$16,3,FALSE()),"")</f>
        <v>Luxe Aroma Labs</v>
      </c>
      <c r="M88" t="str">
        <f>IFERROR(VLOOKUP(J88,Feature_Mappings!$D$2:$E$5,2,FALSE()),"")</f>
        <v>Olivia Bennett</v>
      </c>
      <c r="N88" t="s">
        <v>19</v>
      </c>
      <c r="O88" t="str">
        <f>IFERROR(INDEX(Store_Manager!$A$2:$A$5,MATCH(M88,Store_Manager!$B$2:$B$5,0)),"")</f>
        <v>MGR001</v>
      </c>
    </row>
    <row r="89" spans="1:15" ht="15.75" customHeight="1">
      <c r="A89">
        <v>88</v>
      </c>
      <c r="B89" s="2">
        <v>45014</v>
      </c>
      <c r="C89" t="s">
        <v>109</v>
      </c>
      <c r="D89" t="s">
        <v>16</v>
      </c>
      <c r="E89">
        <v>56</v>
      </c>
      <c r="F89" s="3" t="s">
        <v>22</v>
      </c>
      <c r="G89">
        <v>1</v>
      </c>
      <c r="H89" s="4">
        <v>500</v>
      </c>
      <c r="I89" s="4">
        <v>500</v>
      </c>
      <c r="J89" t="s">
        <v>18</v>
      </c>
      <c r="K89" t="str">
        <f>IFERROR(VLOOKUP(F89&amp;"|"&amp;H89,Feature_Mappings!$A$2:$C$16,2,FALSE()),"")</f>
        <v>Designer Coat</v>
      </c>
      <c r="L89" t="str">
        <f>IFERROR(VLOOKUP(F89&amp;"|"&amp;H89,Feature_Mappings!$A$2:$C$16,3,FALSE()),"")</f>
        <v>Prestige Fashion House</v>
      </c>
      <c r="M89" t="str">
        <f>IFERROR(VLOOKUP(J89,Feature_Mappings!$D$2:$E$5,2,FALSE()),"")</f>
        <v>Olivia Bennett</v>
      </c>
      <c r="N89" t="s">
        <v>19</v>
      </c>
      <c r="O89" t="str">
        <f>IFERROR(INDEX(Store_Manager!$A$2:$A$5,MATCH(M89,Store_Manager!$B$2:$B$5,0)),"")</f>
        <v>MGR001</v>
      </c>
    </row>
    <row r="90" spans="1:15" ht="15.75" customHeight="1">
      <c r="A90">
        <v>89</v>
      </c>
      <c r="B90" s="2">
        <v>45200</v>
      </c>
      <c r="C90" t="s">
        <v>110</v>
      </c>
      <c r="D90" t="s">
        <v>21</v>
      </c>
      <c r="E90">
        <v>55</v>
      </c>
      <c r="F90" s="3" t="s">
        <v>24</v>
      </c>
      <c r="G90">
        <v>4</v>
      </c>
      <c r="H90" s="4">
        <v>500</v>
      </c>
      <c r="I90" s="4">
        <v>2000</v>
      </c>
      <c r="J90" t="s">
        <v>18</v>
      </c>
      <c r="K90" t="str">
        <f>IFERROR(VLOOKUP(F90&amp;"|"&amp;H90,Feature_Mappings!$A$2:$C$16,2,FALSE()),"")</f>
        <v>Smartphone</v>
      </c>
      <c r="L90" t="str">
        <f>IFERROR(VLOOKUP(F90&amp;"|"&amp;H90,Feature_Mappings!$A$2:$C$16,3,FALSE()),"")</f>
        <v>NovaTech Wholesale</v>
      </c>
      <c r="M90" t="str">
        <f>IFERROR(VLOOKUP(J90,Feature_Mappings!$D$2:$E$5,2,FALSE()),"")</f>
        <v>Olivia Bennett</v>
      </c>
      <c r="N90" t="s">
        <v>19</v>
      </c>
      <c r="O90" t="str">
        <f>IFERROR(INDEX(Store_Manager!$A$2:$A$5,MATCH(M90,Store_Manager!$B$2:$B$5,0)),"")</f>
        <v>MGR001</v>
      </c>
    </row>
    <row r="91" spans="1:15" ht="15.75" customHeight="1">
      <c r="A91">
        <v>90</v>
      </c>
      <c r="B91" s="2">
        <v>45052</v>
      </c>
      <c r="C91" t="s">
        <v>111</v>
      </c>
      <c r="D91" t="s">
        <v>21</v>
      </c>
      <c r="E91">
        <v>51</v>
      </c>
      <c r="F91" s="3" t="s">
        <v>24</v>
      </c>
      <c r="G91">
        <v>1</v>
      </c>
      <c r="H91" s="4">
        <v>30</v>
      </c>
      <c r="I91" s="4">
        <v>30</v>
      </c>
      <c r="J91" t="s">
        <v>18</v>
      </c>
      <c r="K91" t="str">
        <f>IFERROR(VLOOKUP(F91&amp;"|"&amp;H91,Feature_Mappings!$A$2:$C$16,2,FALSE()),"")</f>
        <v>Wireless Mouse</v>
      </c>
      <c r="L91" t="str">
        <f>IFERROR(VLOOKUP(F91&amp;"|"&amp;H91,Feature_Mappings!$A$2:$C$16,3,FALSE()),"")</f>
        <v>ByteWave Distributors</v>
      </c>
      <c r="M91" t="str">
        <f>IFERROR(VLOOKUP(J91,Feature_Mappings!$D$2:$E$5,2,FALSE()),"")</f>
        <v>Olivia Bennett</v>
      </c>
      <c r="N91" t="s">
        <v>19</v>
      </c>
      <c r="O91" t="str">
        <f>IFERROR(INDEX(Store_Manager!$A$2:$A$5,MATCH(M91,Store_Manager!$B$2:$B$5,0)),"")</f>
        <v>MGR001</v>
      </c>
    </row>
    <row r="92" spans="1:15" ht="15.75" customHeight="1">
      <c r="A92">
        <v>91</v>
      </c>
      <c r="B92" s="2">
        <v>45010</v>
      </c>
      <c r="C92" t="s">
        <v>112</v>
      </c>
      <c r="D92" t="s">
        <v>21</v>
      </c>
      <c r="E92">
        <v>55</v>
      </c>
      <c r="F92" s="3" t="s">
        <v>24</v>
      </c>
      <c r="G92">
        <v>1</v>
      </c>
      <c r="H92" s="4">
        <v>500</v>
      </c>
      <c r="I92" s="4">
        <v>500</v>
      </c>
      <c r="J92" t="s">
        <v>18</v>
      </c>
      <c r="K92" t="str">
        <f>IFERROR(VLOOKUP(F92&amp;"|"&amp;H92,Feature_Mappings!$A$2:$C$16,2,FALSE()),"")</f>
        <v>Smartphone</v>
      </c>
      <c r="L92" t="str">
        <f>IFERROR(VLOOKUP(F92&amp;"|"&amp;H92,Feature_Mappings!$A$2:$C$16,3,FALSE()),"")</f>
        <v>NovaTech Wholesale</v>
      </c>
      <c r="M92" t="str">
        <f>IFERROR(VLOOKUP(J92,Feature_Mappings!$D$2:$E$5,2,FALSE()),"")</f>
        <v>Olivia Bennett</v>
      </c>
      <c r="N92" t="s">
        <v>19</v>
      </c>
      <c r="O92" t="str">
        <f>IFERROR(INDEX(Store_Manager!$A$2:$A$5,MATCH(M92,Store_Manager!$B$2:$B$5,0)),"")</f>
        <v>MGR001</v>
      </c>
    </row>
    <row r="93" spans="1:15" ht="15.75" customHeight="1">
      <c r="A93">
        <v>92</v>
      </c>
      <c r="B93" s="2">
        <v>45163</v>
      </c>
      <c r="C93" t="s">
        <v>113</v>
      </c>
      <c r="D93" t="s">
        <v>21</v>
      </c>
      <c r="E93">
        <v>51</v>
      </c>
      <c r="F93" s="3" t="s">
        <v>24</v>
      </c>
      <c r="G93">
        <v>4</v>
      </c>
      <c r="H93" s="4">
        <v>30</v>
      </c>
      <c r="I93" s="4">
        <v>120</v>
      </c>
      <c r="J93" t="s">
        <v>18</v>
      </c>
      <c r="K93" t="str">
        <f>IFERROR(VLOOKUP(F93&amp;"|"&amp;H93,Feature_Mappings!$A$2:$C$16,2,FALSE()),"")</f>
        <v>Wireless Mouse</v>
      </c>
      <c r="L93" t="str">
        <f>IFERROR(VLOOKUP(F93&amp;"|"&amp;H93,Feature_Mappings!$A$2:$C$16,3,FALSE()),"")</f>
        <v>ByteWave Distributors</v>
      </c>
      <c r="M93" t="str">
        <f>IFERROR(VLOOKUP(J93,Feature_Mappings!$D$2:$E$5,2,FALSE()),"")</f>
        <v>Olivia Bennett</v>
      </c>
      <c r="N93" t="s">
        <v>19</v>
      </c>
      <c r="O93" t="str">
        <f>IFERROR(INDEX(Store_Manager!$A$2:$A$5,MATCH(M93,Store_Manager!$B$2:$B$5,0)),"")</f>
        <v>MGR001</v>
      </c>
    </row>
    <row r="94" spans="1:15" ht="15.75" customHeight="1">
      <c r="A94">
        <v>93</v>
      </c>
      <c r="B94" s="2">
        <v>45121</v>
      </c>
      <c r="C94" t="s">
        <v>114</v>
      </c>
      <c r="D94" t="s">
        <v>21</v>
      </c>
      <c r="E94">
        <v>35</v>
      </c>
      <c r="F94" s="3" t="s">
        <v>17</v>
      </c>
      <c r="G94">
        <v>4</v>
      </c>
      <c r="H94" s="4">
        <v>500</v>
      </c>
      <c r="I94" s="4">
        <v>2000</v>
      </c>
      <c r="J94" t="s">
        <v>18</v>
      </c>
      <c r="K94" t="str">
        <f>IFERROR(VLOOKUP(F94&amp;"|"&amp;H94,Feature_Mappings!$A$2:$C$16,2,FALSE()),"")</f>
        <v>LED Beauty Device</v>
      </c>
      <c r="L94" t="str">
        <f>IFERROR(VLOOKUP(F94&amp;"|"&amp;H94,Feature_Mappings!$A$2:$C$16,3,FALSE()),"")</f>
        <v>BeautyTech Pro</v>
      </c>
      <c r="M94" t="str">
        <f>IFERROR(VLOOKUP(J94,Feature_Mappings!$D$2:$E$5,2,FALSE()),"")</f>
        <v>Olivia Bennett</v>
      </c>
      <c r="N94" t="s">
        <v>19</v>
      </c>
      <c r="O94" t="str">
        <f>IFERROR(INDEX(Store_Manager!$A$2:$A$5,MATCH(M94,Store_Manager!$B$2:$B$5,0)),"")</f>
        <v>MGR001</v>
      </c>
    </row>
    <row r="95" spans="1:15" ht="15.75" customHeight="1">
      <c r="A95">
        <v>94</v>
      </c>
      <c r="B95" s="2">
        <v>45065</v>
      </c>
      <c r="C95" t="s">
        <v>115</v>
      </c>
      <c r="D95" t="s">
        <v>21</v>
      </c>
      <c r="E95">
        <v>47</v>
      </c>
      <c r="F95" s="3" t="s">
        <v>17</v>
      </c>
      <c r="G95">
        <v>2</v>
      </c>
      <c r="H95" s="4">
        <v>500</v>
      </c>
      <c r="I95" s="4">
        <v>1000</v>
      </c>
      <c r="J95" t="s">
        <v>18</v>
      </c>
      <c r="K95" t="str">
        <f>IFERROR(VLOOKUP(F95&amp;"|"&amp;H95,Feature_Mappings!$A$2:$C$16,2,FALSE()),"")</f>
        <v>LED Beauty Device</v>
      </c>
      <c r="L95" t="str">
        <f>IFERROR(VLOOKUP(F95&amp;"|"&amp;H95,Feature_Mappings!$A$2:$C$16,3,FALSE()),"")</f>
        <v>BeautyTech Pro</v>
      </c>
      <c r="M95" t="str">
        <f>IFERROR(VLOOKUP(J95,Feature_Mappings!$D$2:$E$5,2,FALSE()),"")</f>
        <v>Olivia Bennett</v>
      </c>
      <c r="N95" t="s">
        <v>19</v>
      </c>
      <c r="O95" t="str">
        <f>IFERROR(INDEX(Store_Manager!$A$2:$A$5,MATCH(M95,Store_Manager!$B$2:$B$5,0)),"")</f>
        <v>MGR001</v>
      </c>
    </row>
    <row r="96" spans="1:15" ht="15.75" customHeight="1">
      <c r="A96">
        <v>95</v>
      </c>
      <c r="B96" s="2">
        <v>45254</v>
      </c>
      <c r="C96" t="s">
        <v>116</v>
      </c>
      <c r="D96" t="s">
        <v>21</v>
      </c>
      <c r="E96">
        <v>32</v>
      </c>
      <c r="F96" s="3" t="s">
        <v>22</v>
      </c>
      <c r="G96">
        <v>2</v>
      </c>
      <c r="H96" s="4">
        <v>30</v>
      </c>
      <c r="I96" s="4">
        <v>60</v>
      </c>
      <c r="J96" t="s">
        <v>18</v>
      </c>
      <c r="K96" t="str">
        <f>IFERROR(VLOOKUP(F96&amp;"|"&amp;H96,Feature_Mappings!$A$2:$C$16,2,FALSE()),"")</f>
        <v>Graphic T-Shirt</v>
      </c>
      <c r="L96" t="str">
        <f>IFERROR(VLOOKUP(F96&amp;"|"&amp;H96,Feature_Mappings!$A$2:$C$16,3,FALSE()),"")</f>
        <v>ThreadWorks Apparel</v>
      </c>
      <c r="M96" t="str">
        <f>IFERROR(VLOOKUP(J96,Feature_Mappings!$D$2:$E$5,2,FALSE()),"")</f>
        <v>Olivia Bennett</v>
      </c>
      <c r="N96" t="s">
        <v>19</v>
      </c>
      <c r="O96" t="str">
        <f>IFERROR(INDEX(Store_Manager!$A$2:$A$5,MATCH(M96,Store_Manager!$B$2:$B$5,0)),"")</f>
        <v>MGR001</v>
      </c>
    </row>
    <row r="97" spans="1:15" ht="15.75" customHeight="1">
      <c r="A97">
        <v>96</v>
      </c>
      <c r="B97" s="2">
        <v>45279</v>
      </c>
      <c r="C97" t="s">
        <v>117</v>
      </c>
      <c r="D97" t="s">
        <v>21</v>
      </c>
      <c r="E97">
        <v>44</v>
      </c>
      <c r="F97" s="3" t="s">
        <v>22</v>
      </c>
      <c r="G97">
        <v>2</v>
      </c>
      <c r="H97" s="4">
        <v>300</v>
      </c>
      <c r="I97" s="4">
        <v>600</v>
      </c>
      <c r="J97" t="s">
        <v>18</v>
      </c>
      <c r="K97" t="str">
        <f>IFERROR(VLOOKUP(F97&amp;"|"&amp;H97,Feature_Mappings!$A$2:$C$16,2,FALSE()),"")</f>
        <v>Leather Jacket</v>
      </c>
      <c r="L97" t="str">
        <f>IFERROR(VLOOKUP(F97&amp;"|"&amp;H97,Feature_Mappings!$A$2:$C$16,3,FALSE()),"")</f>
        <v>Metro Style Manufacturing</v>
      </c>
      <c r="M97" t="str">
        <f>IFERROR(VLOOKUP(J97,Feature_Mappings!$D$2:$E$5,2,FALSE()),"")</f>
        <v>Olivia Bennett</v>
      </c>
      <c r="N97" t="s">
        <v>19</v>
      </c>
      <c r="O97" t="str">
        <f>IFERROR(INDEX(Store_Manager!$A$2:$A$5,MATCH(M97,Store_Manager!$B$2:$B$5,0)),"")</f>
        <v>MGR001</v>
      </c>
    </row>
    <row r="98" spans="1:15" ht="15.75" customHeight="1">
      <c r="A98">
        <v>97</v>
      </c>
      <c r="B98" s="2">
        <v>45212</v>
      </c>
      <c r="C98" t="s">
        <v>118</v>
      </c>
      <c r="D98" t="s">
        <v>21</v>
      </c>
      <c r="E98">
        <v>51</v>
      </c>
      <c r="F98" s="3" t="s">
        <v>17</v>
      </c>
      <c r="G98">
        <v>2</v>
      </c>
      <c r="H98" s="4">
        <v>500</v>
      </c>
      <c r="I98" s="4">
        <v>1000</v>
      </c>
      <c r="J98" t="s">
        <v>18</v>
      </c>
      <c r="K98" t="str">
        <f>IFERROR(VLOOKUP(F98&amp;"|"&amp;H98,Feature_Mappings!$A$2:$C$16,2,FALSE()),"")</f>
        <v>LED Beauty Device</v>
      </c>
      <c r="L98" t="str">
        <f>IFERROR(VLOOKUP(F98&amp;"|"&amp;H98,Feature_Mappings!$A$2:$C$16,3,FALSE()),"")</f>
        <v>BeautyTech Pro</v>
      </c>
      <c r="M98" t="str">
        <f>IFERROR(VLOOKUP(J98,Feature_Mappings!$D$2:$E$5,2,FALSE()),"")</f>
        <v>Olivia Bennett</v>
      </c>
      <c r="N98" t="s">
        <v>19</v>
      </c>
      <c r="O98" t="str">
        <f>IFERROR(INDEX(Store_Manager!$A$2:$A$5,MATCH(M98,Store_Manager!$B$2:$B$5,0)),"")</f>
        <v>MGR001</v>
      </c>
    </row>
    <row r="99" spans="1:15" ht="15.75" customHeight="1">
      <c r="A99">
        <v>98</v>
      </c>
      <c r="B99" s="2">
        <v>45039</v>
      </c>
      <c r="C99" t="s">
        <v>119</v>
      </c>
      <c r="D99" t="s">
        <v>21</v>
      </c>
      <c r="E99">
        <v>55</v>
      </c>
      <c r="F99" s="3" t="s">
        <v>17</v>
      </c>
      <c r="G99">
        <v>2</v>
      </c>
      <c r="H99" s="4">
        <v>50</v>
      </c>
      <c r="I99" s="4">
        <v>100</v>
      </c>
      <c r="J99" t="s">
        <v>18</v>
      </c>
      <c r="K99" t="str">
        <f>IFERROR(VLOOKUP(F99&amp;"|"&amp;H99,Feature_Mappings!$A$2:$C$16,2,FALSE()),"")</f>
        <v>Eau de Parfum</v>
      </c>
      <c r="L99" t="str">
        <f>IFERROR(VLOOKUP(F99&amp;"|"&amp;H99,Feature_Mappings!$A$2:$C$16,3,FALSE()),"")</f>
        <v>Luxe Aroma Labs</v>
      </c>
      <c r="M99" t="str">
        <f>IFERROR(VLOOKUP(J99,Feature_Mappings!$D$2:$E$5,2,FALSE()),"")</f>
        <v>Olivia Bennett</v>
      </c>
      <c r="N99" t="s">
        <v>19</v>
      </c>
      <c r="O99" t="str">
        <f>IFERROR(INDEX(Store_Manager!$A$2:$A$5,MATCH(M99,Store_Manager!$B$2:$B$5,0)),"")</f>
        <v>MGR001</v>
      </c>
    </row>
    <row r="100" spans="1:15" ht="15.75" customHeight="1">
      <c r="A100">
        <v>99</v>
      </c>
      <c r="B100" s="2">
        <v>45277</v>
      </c>
      <c r="C100" t="s">
        <v>120</v>
      </c>
      <c r="D100" t="s">
        <v>21</v>
      </c>
      <c r="E100">
        <v>50</v>
      </c>
      <c r="F100" s="3" t="s">
        <v>24</v>
      </c>
      <c r="G100">
        <v>4</v>
      </c>
      <c r="H100" s="4">
        <v>300</v>
      </c>
      <c r="I100" s="4">
        <v>1200</v>
      </c>
      <c r="J100" t="s">
        <v>18</v>
      </c>
      <c r="K100" t="str">
        <f>IFERROR(VLOOKUP(F100&amp;"|"&amp;H100,Feature_Mappings!$A$2:$C$16,2,FALSE()),"")</f>
        <v>Tablet</v>
      </c>
      <c r="L100" t="str">
        <f>IFERROR(VLOOKUP(F100&amp;"|"&amp;H100,Feature_Mappings!$A$2:$C$16,3,FALSE()),"")</f>
        <v>NextGen Devices</v>
      </c>
      <c r="M100" t="str">
        <f>IFERROR(VLOOKUP(J100,Feature_Mappings!$D$2:$E$5,2,FALSE()),"")</f>
        <v>Olivia Bennett</v>
      </c>
      <c r="N100" t="s">
        <v>19</v>
      </c>
      <c r="O100" t="str">
        <f>IFERROR(INDEX(Store_Manager!$A$2:$A$5,MATCH(M100,Store_Manager!$B$2:$B$5,0)),"")</f>
        <v>MGR001</v>
      </c>
    </row>
    <row r="101" spans="1:15" ht="15.75" customHeight="1">
      <c r="A101">
        <v>100</v>
      </c>
      <c r="B101" s="2">
        <v>45093</v>
      </c>
      <c r="C101" t="s">
        <v>121</v>
      </c>
      <c r="D101" t="s">
        <v>16</v>
      </c>
      <c r="E101">
        <v>41</v>
      </c>
      <c r="F101" s="3" t="s">
        <v>24</v>
      </c>
      <c r="G101">
        <v>1</v>
      </c>
      <c r="H101" s="4">
        <v>30</v>
      </c>
      <c r="I101" s="4">
        <v>30</v>
      </c>
      <c r="J101" t="s">
        <v>18</v>
      </c>
      <c r="K101" t="str">
        <f>IFERROR(VLOOKUP(F101&amp;"|"&amp;H101,Feature_Mappings!$A$2:$C$16,2,FALSE()),"")</f>
        <v>Wireless Mouse</v>
      </c>
      <c r="L101" t="str">
        <f>IFERROR(VLOOKUP(F101&amp;"|"&amp;H101,Feature_Mappings!$A$2:$C$16,3,FALSE()),"")</f>
        <v>ByteWave Distributors</v>
      </c>
      <c r="M101" t="str">
        <f>IFERROR(VLOOKUP(J101,Feature_Mappings!$D$2:$E$5,2,FALSE()),"")</f>
        <v>Olivia Bennett</v>
      </c>
      <c r="N101" t="s">
        <v>19</v>
      </c>
      <c r="O101" t="str">
        <f>IFERROR(INDEX(Store_Manager!$A$2:$A$5,MATCH(M101,Store_Manager!$B$2:$B$5,0)),"")</f>
        <v>MGR001</v>
      </c>
    </row>
    <row r="102" spans="1:15" ht="15.75" customHeight="1">
      <c r="A102">
        <v>101</v>
      </c>
      <c r="B102" s="2">
        <v>44955</v>
      </c>
      <c r="C102" t="s">
        <v>122</v>
      </c>
      <c r="D102" t="s">
        <v>16</v>
      </c>
      <c r="E102">
        <v>32</v>
      </c>
      <c r="F102" s="3" t="s">
        <v>22</v>
      </c>
      <c r="G102">
        <v>2</v>
      </c>
      <c r="H102" s="4">
        <v>300</v>
      </c>
      <c r="I102" s="4">
        <v>600</v>
      </c>
      <c r="J102" t="s">
        <v>18</v>
      </c>
      <c r="K102" t="str">
        <f>IFERROR(VLOOKUP(F102&amp;"|"&amp;H102,Feature_Mappings!$A$2:$C$16,2,FALSE()),"")</f>
        <v>Leather Jacket</v>
      </c>
      <c r="L102" t="str">
        <f>IFERROR(VLOOKUP(F102&amp;"|"&amp;H102,Feature_Mappings!$A$2:$C$16,3,FALSE()),"")</f>
        <v>Metro Style Manufacturing</v>
      </c>
      <c r="M102" t="str">
        <f>IFERROR(VLOOKUP(J102,Feature_Mappings!$D$2:$E$5,2,FALSE()),"")</f>
        <v>Olivia Bennett</v>
      </c>
      <c r="N102" t="s">
        <v>19</v>
      </c>
      <c r="O102" t="str">
        <f>IFERROR(INDEX(Store_Manager!$A$2:$A$5,MATCH(M102,Store_Manager!$B$2:$B$5,0)),"")</f>
        <v>MGR001</v>
      </c>
    </row>
    <row r="103" spans="1:15" ht="15.75" customHeight="1">
      <c r="A103">
        <v>102</v>
      </c>
      <c r="B103" s="2">
        <v>45044</v>
      </c>
      <c r="C103" t="s">
        <v>123</v>
      </c>
      <c r="D103" t="s">
        <v>21</v>
      </c>
      <c r="E103">
        <v>47</v>
      </c>
      <c r="F103" s="3" t="s">
        <v>17</v>
      </c>
      <c r="G103">
        <v>2</v>
      </c>
      <c r="H103" s="4">
        <v>25</v>
      </c>
      <c r="I103" s="4">
        <v>50</v>
      </c>
      <c r="J103" t="s">
        <v>18</v>
      </c>
      <c r="K103" t="str">
        <f>IFERROR(VLOOKUP(F103&amp;"|"&amp;H103,Feature_Mappings!$A$2:$C$16,2,FALSE()),"")</f>
        <v>Lip Balm</v>
      </c>
      <c r="L103" t="str">
        <f>IFERROR(VLOOKUP(F103&amp;"|"&amp;H103,Feature_Mappings!$A$2:$C$16,3,FALSE()),"")</f>
        <v>GlowSource Cosmetics</v>
      </c>
      <c r="M103" t="str">
        <f>IFERROR(VLOOKUP(J103,Feature_Mappings!$D$2:$E$5,2,FALSE()),"")</f>
        <v>Olivia Bennett</v>
      </c>
      <c r="N103" t="s">
        <v>19</v>
      </c>
      <c r="O103" t="str">
        <f>IFERROR(INDEX(Store_Manager!$A$2:$A$5,MATCH(M103,Store_Manager!$B$2:$B$5,0)),"")</f>
        <v>MGR001</v>
      </c>
    </row>
    <row r="104" spans="1:15" ht="15.75" customHeight="1">
      <c r="A104">
        <v>103</v>
      </c>
      <c r="B104" s="2">
        <v>44943</v>
      </c>
      <c r="C104" t="s">
        <v>124</v>
      </c>
      <c r="D104" t="s">
        <v>21</v>
      </c>
      <c r="E104">
        <v>59</v>
      </c>
      <c r="F104" s="3" t="s">
        <v>22</v>
      </c>
      <c r="G104">
        <v>1</v>
      </c>
      <c r="H104" s="4">
        <v>25</v>
      </c>
      <c r="I104" s="4">
        <v>25</v>
      </c>
      <c r="J104" t="s">
        <v>18</v>
      </c>
      <c r="K104" t="str">
        <f>IFERROR(VLOOKUP(F104&amp;"|"&amp;H104,Feature_Mappings!$A$2:$C$16,2,FALSE()),"")</f>
        <v>Cotton Socks</v>
      </c>
      <c r="L104" t="str">
        <f>IFERROR(VLOOKUP(F104&amp;"|"&amp;H104,Feature_Mappings!$A$2:$C$16,3,FALSE()),"")</f>
        <v>Urban Basics Co.</v>
      </c>
      <c r="M104" t="str">
        <f>IFERROR(VLOOKUP(J104,Feature_Mappings!$D$2:$E$5,2,FALSE()),"")</f>
        <v>Olivia Bennett</v>
      </c>
      <c r="N104" t="s">
        <v>19</v>
      </c>
      <c r="O104" t="str">
        <f>IFERROR(INDEX(Store_Manager!$A$2:$A$5,MATCH(M104,Store_Manager!$B$2:$B$5,0)),"")</f>
        <v>MGR001</v>
      </c>
    </row>
    <row r="105" spans="1:15" ht="15.75" customHeight="1">
      <c r="A105">
        <v>104</v>
      </c>
      <c r="B105" s="2">
        <v>45088</v>
      </c>
      <c r="C105" t="s">
        <v>125</v>
      </c>
      <c r="D105" t="s">
        <v>21</v>
      </c>
      <c r="E105">
        <v>34</v>
      </c>
      <c r="F105" s="3" t="s">
        <v>17</v>
      </c>
      <c r="G105">
        <v>2</v>
      </c>
      <c r="H105" s="4">
        <v>500</v>
      </c>
      <c r="I105" s="4">
        <v>1000</v>
      </c>
      <c r="J105" t="s">
        <v>18</v>
      </c>
      <c r="K105" t="str">
        <f>IFERROR(VLOOKUP(F105&amp;"|"&amp;H105,Feature_Mappings!$A$2:$C$16,2,FALSE()),"")</f>
        <v>LED Beauty Device</v>
      </c>
      <c r="L105" t="str">
        <f>IFERROR(VLOOKUP(F105&amp;"|"&amp;H105,Feature_Mappings!$A$2:$C$16,3,FALSE()),"")</f>
        <v>BeautyTech Pro</v>
      </c>
      <c r="M105" t="str">
        <f>IFERROR(VLOOKUP(J105,Feature_Mappings!$D$2:$E$5,2,FALSE()),"")</f>
        <v>Olivia Bennett</v>
      </c>
      <c r="N105" t="s">
        <v>19</v>
      </c>
      <c r="O105" t="str">
        <f>IFERROR(INDEX(Store_Manager!$A$2:$A$5,MATCH(M105,Store_Manager!$B$2:$B$5,0)),"")</f>
        <v>MGR001</v>
      </c>
    </row>
    <row r="106" spans="1:15" ht="15.75" customHeight="1">
      <c r="A106">
        <v>105</v>
      </c>
      <c r="B106" s="2">
        <v>45132</v>
      </c>
      <c r="C106" t="s">
        <v>126</v>
      </c>
      <c r="D106" t="s">
        <v>21</v>
      </c>
      <c r="E106">
        <v>22</v>
      </c>
      <c r="F106" s="3" t="s">
        <v>24</v>
      </c>
      <c r="G106">
        <v>1</v>
      </c>
      <c r="H106" s="4">
        <v>500</v>
      </c>
      <c r="I106" s="4">
        <v>500</v>
      </c>
      <c r="J106" t="s">
        <v>18</v>
      </c>
      <c r="K106" t="str">
        <f>IFERROR(VLOOKUP(F106&amp;"|"&amp;H106,Feature_Mappings!$A$2:$C$16,2,FALSE()),"")</f>
        <v>Smartphone</v>
      </c>
      <c r="L106" t="str">
        <f>IFERROR(VLOOKUP(F106&amp;"|"&amp;H106,Feature_Mappings!$A$2:$C$16,3,FALSE()),"")</f>
        <v>NovaTech Wholesale</v>
      </c>
      <c r="M106" t="str">
        <f>IFERROR(VLOOKUP(J106,Feature_Mappings!$D$2:$E$5,2,FALSE()),"")</f>
        <v>Olivia Bennett</v>
      </c>
      <c r="N106" t="s">
        <v>19</v>
      </c>
      <c r="O106" t="str">
        <f>IFERROR(INDEX(Store_Manager!$A$2:$A$5,MATCH(M106,Store_Manager!$B$2:$B$5,0)),"")</f>
        <v>MGR001</v>
      </c>
    </row>
    <row r="107" spans="1:15" ht="15.75" customHeight="1">
      <c r="A107">
        <v>106</v>
      </c>
      <c r="B107" s="2">
        <v>45064</v>
      </c>
      <c r="C107" t="s">
        <v>127</v>
      </c>
      <c r="D107" t="s">
        <v>21</v>
      </c>
      <c r="E107">
        <v>46</v>
      </c>
      <c r="F107" s="3" t="s">
        <v>22</v>
      </c>
      <c r="G107">
        <v>1</v>
      </c>
      <c r="H107" s="4">
        <v>50</v>
      </c>
      <c r="I107" s="4">
        <v>50</v>
      </c>
      <c r="J107" t="s">
        <v>18</v>
      </c>
      <c r="K107" t="str">
        <f>IFERROR(VLOOKUP(F107&amp;"|"&amp;H107,Feature_Mappings!$A$2:$C$16,2,FALSE()),"")</f>
        <v>Denim Jeans</v>
      </c>
      <c r="L107" t="str">
        <f>IFERROR(VLOOKUP(F107&amp;"|"&amp;H107,Feature_Mappings!$A$2:$C$16,3,FALSE()),"")</f>
        <v>BlueFit Garments</v>
      </c>
      <c r="M107" t="str">
        <f>IFERROR(VLOOKUP(J107,Feature_Mappings!$D$2:$E$5,2,FALSE()),"")</f>
        <v>Olivia Bennett</v>
      </c>
      <c r="N107" t="s">
        <v>19</v>
      </c>
      <c r="O107" t="str">
        <f>IFERROR(INDEX(Store_Manager!$A$2:$A$5,MATCH(M107,Store_Manager!$B$2:$B$5,0)),"")</f>
        <v>MGR001</v>
      </c>
    </row>
    <row r="108" spans="1:15" ht="15.75" customHeight="1">
      <c r="A108">
        <v>107</v>
      </c>
      <c r="B108" s="2">
        <v>44960</v>
      </c>
      <c r="C108" t="s">
        <v>128</v>
      </c>
      <c r="D108" t="s">
        <v>21</v>
      </c>
      <c r="E108">
        <v>21</v>
      </c>
      <c r="F108" s="3" t="s">
        <v>22</v>
      </c>
      <c r="G108">
        <v>4</v>
      </c>
      <c r="H108" s="4">
        <v>300</v>
      </c>
      <c r="I108" s="4">
        <v>1200</v>
      </c>
      <c r="J108" t="s">
        <v>18</v>
      </c>
      <c r="K108" t="str">
        <f>IFERROR(VLOOKUP(F108&amp;"|"&amp;H108,Feature_Mappings!$A$2:$C$16,2,FALSE()),"")</f>
        <v>Leather Jacket</v>
      </c>
      <c r="L108" t="str">
        <f>IFERROR(VLOOKUP(F108&amp;"|"&amp;H108,Feature_Mappings!$A$2:$C$16,3,FALSE()),"")</f>
        <v>Metro Style Manufacturing</v>
      </c>
      <c r="M108" t="str">
        <f>IFERROR(VLOOKUP(J108,Feature_Mappings!$D$2:$E$5,2,FALSE()),"")</f>
        <v>Olivia Bennett</v>
      </c>
      <c r="N108" t="s">
        <v>19</v>
      </c>
      <c r="O108" t="str">
        <f>IFERROR(INDEX(Store_Manager!$A$2:$A$5,MATCH(M108,Store_Manager!$B$2:$B$5,0)),"")</f>
        <v>MGR001</v>
      </c>
    </row>
    <row r="109" spans="1:15" ht="15.75" customHeight="1">
      <c r="A109">
        <v>108</v>
      </c>
      <c r="B109" s="2">
        <v>45035</v>
      </c>
      <c r="C109" t="s">
        <v>129</v>
      </c>
      <c r="D109" t="s">
        <v>21</v>
      </c>
      <c r="E109">
        <v>27</v>
      </c>
      <c r="F109" s="3" t="s">
        <v>17</v>
      </c>
      <c r="G109">
        <v>3</v>
      </c>
      <c r="H109" s="4">
        <v>25</v>
      </c>
      <c r="I109" s="4">
        <v>75</v>
      </c>
      <c r="J109" t="s">
        <v>18</v>
      </c>
      <c r="K109" t="str">
        <f>IFERROR(VLOOKUP(F109&amp;"|"&amp;H109,Feature_Mappings!$A$2:$C$16,2,FALSE()),"")</f>
        <v>Lip Balm</v>
      </c>
      <c r="L109" t="str">
        <f>IFERROR(VLOOKUP(F109&amp;"|"&amp;H109,Feature_Mappings!$A$2:$C$16,3,FALSE()),"")</f>
        <v>GlowSource Cosmetics</v>
      </c>
      <c r="M109" t="str">
        <f>IFERROR(VLOOKUP(J109,Feature_Mappings!$D$2:$E$5,2,FALSE()),"")</f>
        <v>Olivia Bennett</v>
      </c>
      <c r="N109" t="s">
        <v>19</v>
      </c>
      <c r="O109" t="str">
        <f>IFERROR(INDEX(Store_Manager!$A$2:$A$5,MATCH(M109,Store_Manager!$B$2:$B$5,0)),"")</f>
        <v>MGR001</v>
      </c>
    </row>
    <row r="110" spans="1:15" ht="15.75" customHeight="1">
      <c r="A110">
        <v>109</v>
      </c>
      <c r="B110" s="2">
        <v>45217</v>
      </c>
      <c r="C110" t="s">
        <v>130</v>
      </c>
      <c r="D110" t="s">
        <v>21</v>
      </c>
      <c r="E110">
        <v>34</v>
      </c>
      <c r="F110" s="3" t="s">
        <v>24</v>
      </c>
      <c r="G110">
        <v>4</v>
      </c>
      <c r="H110" s="4">
        <v>500</v>
      </c>
      <c r="I110" s="4">
        <v>2000</v>
      </c>
      <c r="J110" t="s">
        <v>18</v>
      </c>
      <c r="K110" t="str">
        <f>IFERROR(VLOOKUP(F110&amp;"|"&amp;H110,Feature_Mappings!$A$2:$C$16,2,FALSE()),"")</f>
        <v>Smartphone</v>
      </c>
      <c r="L110" t="str">
        <f>IFERROR(VLOOKUP(F110&amp;"|"&amp;H110,Feature_Mappings!$A$2:$C$16,3,FALSE()),"")</f>
        <v>NovaTech Wholesale</v>
      </c>
      <c r="M110" t="str">
        <f>IFERROR(VLOOKUP(J110,Feature_Mappings!$D$2:$E$5,2,FALSE()),"")</f>
        <v>Olivia Bennett</v>
      </c>
      <c r="N110" t="s">
        <v>19</v>
      </c>
      <c r="O110" t="str">
        <f>IFERROR(INDEX(Store_Manager!$A$2:$A$5,MATCH(M110,Store_Manager!$B$2:$B$5,0)),"")</f>
        <v>MGR001</v>
      </c>
    </row>
    <row r="111" spans="1:15" ht="15.75" customHeight="1">
      <c r="A111">
        <v>110</v>
      </c>
      <c r="B111" s="2">
        <v>45088</v>
      </c>
      <c r="C111" t="s">
        <v>131</v>
      </c>
      <c r="D111" t="s">
        <v>16</v>
      </c>
      <c r="E111">
        <v>27</v>
      </c>
      <c r="F111" s="3" t="s">
        <v>22</v>
      </c>
      <c r="G111">
        <v>3</v>
      </c>
      <c r="H111" s="4">
        <v>300</v>
      </c>
      <c r="I111" s="4">
        <v>900</v>
      </c>
      <c r="J111" t="s">
        <v>18</v>
      </c>
      <c r="K111" t="str">
        <f>IFERROR(VLOOKUP(F111&amp;"|"&amp;H111,Feature_Mappings!$A$2:$C$16,2,FALSE()),"")</f>
        <v>Leather Jacket</v>
      </c>
      <c r="L111" t="str">
        <f>IFERROR(VLOOKUP(F111&amp;"|"&amp;H111,Feature_Mappings!$A$2:$C$16,3,FALSE()),"")</f>
        <v>Metro Style Manufacturing</v>
      </c>
      <c r="M111" t="str">
        <f>IFERROR(VLOOKUP(J111,Feature_Mappings!$D$2:$E$5,2,FALSE()),"")</f>
        <v>Olivia Bennett</v>
      </c>
      <c r="N111" t="s">
        <v>19</v>
      </c>
      <c r="O111" t="str">
        <f>IFERROR(INDEX(Store_Manager!$A$2:$A$5,MATCH(M111,Store_Manager!$B$2:$B$5,0)),"")</f>
        <v>MGR001</v>
      </c>
    </row>
    <row r="112" spans="1:15" ht="15.75" customHeight="1">
      <c r="A112">
        <v>111</v>
      </c>
      <c r="B112" s="2">
        <v>45035</v>
      </c>
      <c r="C112" t="s">
        <v>132</v>
      </c>
      <c r="D112" t="s">
        <v>21</v>
      </c>
      <c r="E112">
        <v>34</v>
      </c>
      <c r="F112" s="3" t="s">
        <v>24</v>
      </c>
      <c r="G112">
        <v>3</v>
      </c>
      <c r="H112" s="4">
        <v>500</v>
      </c>
      <c r="I112" s="4">
        <v>1500</v>
      </c>
      <c r="J112" t="s">
        <v>18</v>
      </c>
      <c r="K112" t="str">
        <f>IFERROR(VLOOKUP(F112&amp;"|"&amp;H112,Feature_Mappings!$A$2:$C$16,2,FALSE()),"")</f>
        <v>Smartphone</v>
      </c>
      <c r="L112" t="str">
        <f>IFERROR(VLOOKUP(F112&amp;"|"&amp;H112,Feature_Mappings!$A$2:$C$16,3,FALSE()),"")</f>
        <v>NovaTech Wholesale</v>
      </c>
      <c r="M112" t="str">
        <f>IFERROR(VLOOKUP(J112,Feature_Mappings!$D$2:$E$5,2,FALSE()),"")</f>
        <v>Olivia Bennett</v>
      </c>
      <c r="N112" t="s">
        <v>19</v>
      </c>
      <c r="O112" t="str">
        <f>IFERROR(INDEX(Store_Manager!$A$2:$A$5,MATCH(M112,Store_Manager!$B$2:$B$5,0)),"")</f>
        <v>MGR001</v>
      </c>
    </row>
    <row r="113" spans="1:15" ht="15.75" customHeight="1">
      <c r="A113">
        <v>112</v>
      </c>
      <c r="B113" s="2">
        <v>45262</v>
      </c>
      <c r="C113" t="s">
        <v>133</v>
      </c>
      <c r="D113" t="s">
        <v>16</v>
      </c>
      <c r="E113">
        <v>37</v>
      </c>
      <c r="F113" s="3" t="s">
        <v>22</v>
      </c>
      <c r="G113">
        <v>3</v>
      </c>
      <c r="H113" s="4">
        <v>500</v>
      </c>
      <c r="I113" s="4">
        <v>1500</v>
      </c>
      <c r="J113" t="s">
        <v>18</v>
      </c>
      <c r="K113" t="str">
        <f>IFERROR(VLOOKUP(F113&amp;"|"&amp;H113,Feature_Mappings!$A$2:$C$16,2,FALSE()),"")</f>
        <v>Designer Coat</v>
      </c>
      <c r="L113" t="str">
        <f>IFERROR(VLOOKUP(F113&amp;"|"&amp;H113,Feature_Mappings!$A$2:$C$16,3,FALSE()),"")</f>
        <v>Prestige Fashion House</v>
      </c>
      <c r="M113" t="str">
        <f>IFERROR(VLOOKUP(J113,Feature_Mappings!$D$2:$E$5,2,FALSE()),"")</f>
        <v>Olivia Bennett</v>
      </c>
      <c r="N113" t="s">
        <v>19</v>
      </c>
      <c r="O113" t="str">
        <f>IFERROR(INDEX(Store_Manager!$A$2:$A$5,MATCH(M113,Store_Manager!$B$2:$B$5,0)),"")</f>
        <v>MGR001</v>
      </c>
    </row>
    <row r="114" spans="1:15" ht="15.75" customHeight="1">
      <c r="A114">
        <v>113</v>
      </c>
      <c r="B114" s="2">
        <v>45182</v>
      </c>
      <c r="C114" t="s">
        <v>134</v>
      </c>
      <c r="D114" t="s">
        <v>21</v>
      </c>
      <c r="E114">
        <v>41</v>
      </c>
      <c r="F114" s="3" t="s">
        <v>24</v>
      </c>
      <c r="G114">
        <v>2</v>
      </c>
      <c r="H114" s="4">
        <v>25</v>
      </c>
      <c r="I114" s="4">
        <v>50</v>
      </c>
      <c r="J114" t="s">
        <v>18</v>
      </c>
      <c r="K114" t="str">
        <f>IFERROR(VLOOKUP(F114&amp;"|"&amp;H114,Feature_Mappings!$A$2:$C$16,2,FALSE()),"")</f>
        <v>USB-C Charger</v>
      </c>
      <c r="L114" t="str">
        <f>IFERROR(VLOOKUP(F114&amp;"|"&amp;H114,Feature_Mappings!$A$2:$C$16,3,FALSE()),"")</f>
        <v>VoltEdge Electronics</v>
      </c>
      <c r="M114" t="str">
        <f>IFERROR(VLOOKUP(J114,Feature_Mappings!$D$2:$E$5,2,FALSE()),"")</f>
        <v>Olivia Bennett</v>
      </c>
      <c r="N114" t="s">
        <v>19</v>
      </c>
      <c r="O114" t="str">
        <f>IFERROR(INDEX(Store_Manager!$A$2:$A$5,MATCH(M114,Store_Manager!$B$2:$B$5,0)),"")</f>
        <v>MGR001</v>
      </c>
    </row>
    <row r="115" spans="1:15" ht="15.75" customHeight="1">
      <c r="A115">
        <v>114</v>
      </c>
      <c r="B115" s="2">
        <v>45129</v>
      </c>
      <c r="C115" t="s">
        <v>135</v>
      </c>
      <c r="D115" t="s">
        <v>21</v>
      </c>
      <c r="E115">
        <v>22</v>
      </c>
      <c r="F115" s="3" t="s">
        <v>17</v>
      </c>
      <c r="G115">
        <v>4</v>
      </c>
      <c r="H115" s="4">
        <v>25</v>
      </c>
      <c r="I115" s="4">
        <v>100</v>
      </c>
      <c r="J115" t="s">
        <v>18</v>
      </c>
      <c r="K115" t="str">
        <f>IFERROR(VLOOKUP(F115&amp;"|"&amp;H115,Feature_Mappings!$A$2:$C$16,2,FALSE()),"")</f>
        <v>Lip Balm</v>
      </c>
      <c r="L115" t="str">
        <f>IFERROR(VLOOKUP(F115&amp;"|"&amp;H115,Feature_Mappings!$A$2:$C$16,3,FALSE()),"")</f>
        <v>GlowSource Cosmetics</v>
      </c>
      <c r="M115" t="str">
        <f>IFERROR(VLOOKUP(J115,Feature_Mappings!$D$2:$E$5,2,FALSE()),"")</f>
        <v>Olivia Bennett</v>
      </c>
      <c r="N115" t="s">
        <v>19</v>
      </c>
      <c r="O115" t="str">
        <f>IFERROR(INDEX(Store_Manager!$A$2:$A$5,MATCH(M115,Store_Manager!$B$2:$B$5,0)),"")</f>
        <v>MGR001</v>
      </c>
    </row>
    <row r="116" spans="1:15" ht="15.75" customHeight="1">
      <c r="A116">
        <v>115</v>
      </c>
      <c r="B116" s="2">
        <v>45256</v>
      </c>
      <c r="C116" t="s">
        <v>136</v>
      </c>
      <c r="D116" t="s">
        <v>16</v>
      </c>
      <c r="E116">
        <v>51</v>
      </c>
      <c r="F116" s="3" t="s">
        <v>22</v>
      </c>
      <c r="G116">
        <v>3</v>
      </c>
      <c r="H116" s="4">
        <v>500</v>
      </c>
      <c r="I116" s="4">
        <v>1500</v>
      </c>
      <c r="J116" t="s">
        <v>18</v>
      </c>
      <c r="K116" t="str">
        <f>IFERROR(VLOOKUP(F116&amp;"|"&amp;H116,Feature_Mappings!$A$2:$C$16,2,FALSE()),"")</f>
        <v>Designer Coat</v>
      </c>
      <c r="L116" t="str">
        <f>IFERROR(VLOOKUP(F116&amp;"|"&amp;H116,Feature_Mappings!$A$2:$C$16,3,FALSE()),"")</f>
        <v>Prestige Fashion House</v>
      </c>
      <c r="M116" t="str">
        <f>IFERROR(VLOOKUP(J116,Feature_Mappings!$D$2:$E$5,2,FALSE()),"")</f>
        <v>Olivia Bennett</v>
      </c>
      <c r="N116" t="s">
        <v>19</v>
      </c>
      <c r="O116" t="str">
        <f>IFERROR(INDEX(Store_Manager!$A$2:$A$5,MATCH(M116,Store_Manager!$B$2:$B$5,0)),"")</f>
        <v>MGR001</v>
      </c>
    </row>
    <row r="117" spans="1:15" ht="15.75" customHeight="1">
      <c r="A117">
        <v>116</v>
      </c>
      <c r="B117" s="2">
        <v>45161</v>
      </c>
      <c r="C117" t="s">
        <v>137</v>
      </c>
      <c r="D117" t="s">
        <v>21</v>
      </c>
      <c r="E117">
        <v>23</v>
      </c>
      <c r="F117" s="3" t="s">
        <v>22</v>
      </c>
      <c r="G117">
        <v>1</v>
      </c>
      <c r="H117" s="4">
        <v>30</v>
      </c>
      <c r="I117" s="4">
        <v>30</v>
      </c>
      <c r="J117" t="s">
        <v>18</v>
      </c>
      <c r="K117" t="str">
        <f>IFERROR(VLOOKUP(F117&amp;"|"&amp;H117,Feature_Mappings!$A$2:$C$16,2,FALSE()),"")</f>
        <v>Graphic T-Shirt</v>
      </c>
      <c r="L117" t="str">
        <f>IFERROR(VLOOKUP(F117&amp;"|"&amp;H117,Feature_Mappings!$A$2:$C$16,3,FALSE()),"")</f>
        <v>ThreadWorks Apparel</v>
      </c>
      <c r="M117" t="str">
        <f>IFERROR(VLOOKUP(J117,Feature_Mappings!$D$2:$E$5,2,FALSE()),"")</f>
        <v>Olivia Bennett</v>
      </c>
      <c r="N117" t="s">
        <v>19</v>
      </c>
      <c r="O117" t="str">
        <f>IFERROR(INDEX(Store_Manager!$A$2:$A$5,MATCH(M117,Store_Manager!$B$2:$B$5,0)),"")</f>
        <v>MGR001</v>
      </c>
    </row>
    <row r="118" spans="1:15" ht="15.75" customHeight="1">
      <c r="A118">
        <v>117</v>
      </c>
      <c r="B118" s="2">
        <v>45000</v>
      </c>
      <c r="C118" t="s">
        <v>138</v>
      </c>
      <c r="D118" t="s">
        <v>16</v>
      </c>
      <c r="E118">
        <v>19</v>
      </c>
      <c r="F118" s="3" t="s">
        <v>24</v>
      </c>
      <c r="G118">
        <v>2</v>
      </c>
      <c r="H118" s="4">
        <v>500</v>
      </c>
      <c r="I118" s="4">
        <v>1000</v>
      </c>
      <c r="J118" t="s">
        <v>18</v>
      </c>
      <c r="K118" t="str">
        <f>IFERROR(VLOOKUP(F118&amp;"|"&amp;H118,Feature_Mappings!$A$2:$C$16,2,FALSE()),"")</f>
        <v>Smartphone</v>
      </c>
      <c r="L118" t="str">
        <f>IFERROR(VLOOKUP(F118&amp;"|"&amp;H118,Feature_Mappings!$A$2:$C$16,3,FALSE()),"")</f>
        <v>NovaTech Wholesale</v>
      </c>
      <c r="M118" t="str">
        <f>IFERROR(VLOOKUP(J118,Feature_Mappings!$D$2:$E$5,2,FALSE()),"")</f>
        <v>Olivia Bennett</v>
      </c>
      <c r="N118" t="s">
        <v>19</v>
      </c>
      <c r="O118" t="str">
        <f>IFERROR(INDEX(Store_Manager!$A$2:$A$5,MATCH(M118,Store_Manager!$B$2:$B$5,0)),"")</f>
        <v>MGR001</v>
      </c>
    </row>
    <row r="119" spans="1:15" ht="15.75" customHeight="1">
      <c r="A119">
        <v>118</v>
      </c>
      <c r="B119" s="2">
        <v>45062</v>
      </c>
      <c r="C119" t="s">
        <v>139</v>
      </c>
      <c r="D119" t="s">
        <v>21</v>
      </c>
      <c r="E119">
        <v>30</v>
      </c>
      <c r="F119" s="3" t="s">
        <v>24</v>
      </c>
      <c r="G119">
        <v>4</v>
      </c>
      <c r="H119" s="4">
        <v>500</v>
      </c>
      <c r="I119" s="4">
        <v>2000</v>
      </c>
      <c r="J119" t="s">
        <v>18</v>
      </c>
      <c r="K119" t="str">
        <f>IFERROR(VLOOKUP(F119&amp;"|"&amp;H119,Feature_Mappings!$A$2:$C$16,2,FALSE()),"")</f>
        <v>Smartphone</v>
      </c>
      <c r="L119" t="str">
        <f>IFERROR(VLOOKUP(F119&amp;"|"&amp;H119,Feature_Mappings!$A$2:$C$16,3,FALSE()),"")</f>
        <v>NovaTech Wholesale</v>
      </c>
      <c r="M119" t="str">
        <f>IFERROR(VLOOKUP(J119,Feature_Mappings!$D$2:$E$5,2,FALSE()),"")</f>
        <v>Olivia Bennett</v>
      </c>
      <c r="N119" t="s">
        <v>19</v>
      </c>
      <c r="O119" t="str">
        <f>IFERROR(INDEX(Store_Manager!$A$2:$A$5,MATCH(M119,Store_Manager!$B$2:$B$5,0)),"")</f>
        <v>MGR001</v>
      </c>
    </row>
    <row r="120" spans="1:15" ht="15.75" customHeight="1">
      <c r="A120">
        <v>119</v>
      </c>
      <c r="B120" s="2">
        <v>44998</v>
      </c>
      <c r="C120" t="s">
        <v>140</v>
      </c>
      <c r="D120" t="s">
        <v>21</v>
      </c>
      <c r="E120">
        <v>60</v>
      </c>
      <c r="F120" s="3" t="s">
        <v>22</v>
      </c>
      <c r="G120">
        <v>3</v>
      </c>
      <c r="H120" s="4">
        <v>50</v>
      </c>
      <c r="I120" s="4">
        <v>150</v>
      </c>
      <c r="J120" t="s">
        <v>18</v>
      </c>
      <c r="K120" t="str">
        <f>IFERROR(VLOOKUP(F120&amp;"|"&amp;H120,Feature_Mappings!$A$2:$C$16,2,FALSE()),"")</f>
        <v>Denim Jeans</v>
      </c>
      <c r="L120" t="str">
        <f>IFERROR(VLOOKUP(F120&amp;"|"&amp;H120,Feature_Mappings!$A$2:$C$16,3,FALSE()),"")</f>
        <v>BlueFit Garments</v>
      </c>
      <c r="M120" t="str">
        <f>IFERROR(VLOOKUP(J120,Feature_Mappings!$D$2:$E$5,2,FALSE()),"")</f>
        <v>Olivia Bennett</v>
      </c>
      <c r="N120" t="s">
        <v>19</v>
      </c>
      <c r="O120" t="str">
        <f>IFERROR(INDEX(Store_Manager!$A$2:$A$5,MATCH(M120,Store_Manager!$B$2:$B$5,0)),"")</f>
        <v>MGR001</v>
      </c>
    </row>
    <row r="121" spans="1:15" ht="15.75" customHeight="1">
      <c r="A121">
        <v>120</v>
      </c>
      <c r="B121" s="2">
        <v>45053</v>
      </c>
      <c r="C121" t="s">
        <v>141</v>
      </c>
      <c r="D121" t="s">
        <v>16</v>
      </c>
      <c r="E121">
        <v>60</v>
      </c>
      <c r="F121" s="3" t="s">
        <v>17</v>
      </c>
      <c r="G121">
        <v>1</v>
      </c>
      <c r="H121" s="4">
        <v>50</v>
      </c>
      <c r="I121" s="4">
        <v>50</v>
      </c>
      <c r="J121" t="s">
        <v>18</v>
      </c>
      <c r="K121" t="str">
        <f>IFERROR(VLOOKUP(F121&amp;"|"&amp;H121,Feature_Mappings!$A$2:$C$16,2,FALSE()),"")</f>
        <v>Eau de Parfum</v>
      </c>
      <c r="L121" t="str">
        <f>IFERROR(VLOOKUP(F121&amp;"|"&amp;H121,Feature_Mappings!$A$2:$C$16,3,FALSE()),"")</f>
        <v>Luxe Aroma Labs</v>
      </c>
      <c r="M121" t="str">
        <f>IFERROR(VLOOKUP(J121,Feature_Mappings!$D$2:$E$5,2,FALSE()),"")</f>
        <v>Olivia Bennett</v>
      </c>
      <c r="N121" t="s">
        <v>19</v>
      </c>
      <c r="O121" t="str">
        <f>IFERROR(INDEX(Store_Manager!$A$2:$A$5,MATCH(M121,Store_Manager!$B$2:$B$5,0)),"")</f>
        <v>MGR001</v>
      </c>
    </row>
    <row r="122" spans="1:15" ht="15.75" customHeight="1">
      <c r="A122">
        <v>121</v>
      </c>
      <c r="B122" s="2">
        <v>45214</v>
      </c>
      <c r="C122" t="s">
        <v>142</v>
      </c>
      <c r="D122" t="s">
        <v>21</v>
      </c>
      <c r="E122">
        <v>28</v>
      </c>
      <c r="F122" s="3" t="s">
        <v>24</v>
      </c>
      <c r="G122">
        <v>4</v>
      </c>
      <c r="H122" s="4">
        <v>50</v>
      </c>
      <c r="I122" s="4">
        <v>200</v>
      </c>
      <c r="J122" t="s">
        <v>18</v>
      </c>
      <c r="K122" t="str">
        <f>IFERROR(VLOOKUP(F122&amp;"|"&amp;H122,Feature_Mappings!$A$2:$C$16,2,FALSE()),"")</f>
        <v>Bluetooth Speaker</v>
      </c>
      <c r="L122" t="str">
        <f>IFERROR(VLOOKUP(F122&amp;"|"&amp;H122,Feature_Mappings!$A$2:$C$16,3,FALSE()),"")</f>
        <v>SoundSphere Supply</v>
      </c>
      <c r="M122" t="str">
        <f>IFERROR(VLOOKUP(J122,Feature_Mappings!$D$2:$E$5,2,FALSE()),"")</f>
        <v>Olivia Bennett</v>
      </c>
      <c r="N122" t="s">
        <v>19</v>
      </c>
      <c r="O122" t="str">
        <f>IFERROR(INDEX(Store_Manager!$A$2:$A$5,MATCH(M122,Store_Manager!$B$2:$B$5,0)),"")</f>
        <v>MGR001</v>
      </c>
    </row>
    <row r="123" spans="1:15" ht="15.75" customHeight="1">
      <c r="A123">
        <v>122</v>
      </c>
      <c r="B123" s="2">
        <v>45202</v>
      </c>
      <c r="C123" t="s">
        <v>143</v>
      </c>
      <c r="D123" t="s">
        <v>16</v>
      </c>
      <c r="E123">
        <v>64</v>
      </c>
      <c r="F123" s="3" t="s">
        <v>24</v>
      </c>
      <c r="G123">
        <v>4</v>
      </c>
      <c r="H123" s="4">
        <v>30</v>
      </c>
      <c r="I123" s="4">
        <v>120</v>
      </c>
      <c r="J123" t="s">
        <v>18</v>
      </c>
      <c r="K123" t="str">
        <f>IFERROR(VLOOKUP(F123&amp;"|"&amp;H123,Feature_Mappings!$A$2:$C$16,2,FALSE()),"")</f>
        <v>Wireless Mouse</v>
      </c>
      <c r="L123" t="str">
        <f>IFERROR(VLOOKUP(F123&amp;"|"&amp;H123,Feature_Mappings!$A$2:$C$16,3,FALSE()),"")</f>
        <v>ByteWave Distributors</v>
      </c>
      <c r="M123" t="str">
        <f>IFERROR(VLOOKUP(J123,Feature_Mappings!$D$2:$E$5,2,FALSE()),"")</f>
        <v>Olivia Bennett</v>
      </c>
      <c r="N123" t="s">
        <v>19</v>
      </c>
      <c r="O123" t="str">
        <f>IFERROR(INDEX(Store_Manager!$A$2:$A$5,MATCH(M123,Store_Manager!$B$2:$B$5,0)),"")</f>
        <v>MGR001</v>
      </c>
    </row>
    <row r="124" spans="1:15" ht="15.75" customHeight="1">
      <c r="A124">
        <v>123</v>
      </c>
      <c r="B124" s="2">
        <v>45061</v>
      </c>
      <c r="C124" t="s">
        <v>144</v>
      </c>
      <c r="D124" t="s">
        <v>21</v>
      </c>
      <c r="E124">
        <v>40</v>
      </c>
      <c r="F124" s="3" t="s">
        <v>24</v>
      </c>
      <c r="G124">
        <v>2</v>
      </c>
      <c r="H124" s="4">
        <v>30</v>
      </c>
      <c r="I124" s="4">
        <v>60</v>
      </c>
      <c r="J124" t="s">
        <v>18</v>
      </c>
      <c r="K124" t="str">
        <f>IFERROR(VLOOKUP(F124&amp;"|"&amp;H124,Feature_Mappings!$A$2:$C$16,2,FALSE()),"")</f>
        <v>Wireless Mouse</v>
      </c>
      <c r="L124" t="str">
        <f>IFERROR(VLOOKUP(F124&amp;"|"&amp;H124,Feature_Mappings!$A$2:$C$16,3,FALSE()),"")</f>
        <v>ByteWave Distributors</v>
      </c>
      <c r="M124" t="str">
        <f>IFERROR(VLOOKUP(J124,Feature_Mappings!$D$2:$E$5,2,FALSE()),"")</f>
        <v>Olivia Bennett</v>
      </c>
      <c r="N124" t="s">
        <v>19</v>
      </c>
      <c r="O124" t="str">
        <f>IFERROR(INDEX(Store_Manager!$A$2:$A$5,MATCH(M124,Store_Manager!$B$2:$B$5,0)),"")</f>
        <v>MGR001</v>
      </c>
    </row>
    <row r="125" spans="1:15" ht="15.75" customHeight="1">
      <c r="A125">
        <v>124</v>
      </c>
      <c r="B125" s="2">
        <v>45226</v>
      </c>
      <c r="C125" t="s">
        <v>145</v>
      </c>
      <c r="D125" t="s">
        <v>16</v>
      </c>
      <c r="E125">
        <v>33</v>
      </c>
      <c r="F125" s="3" t="s">
        <v>22</v>
      </c>
      <c r="G125">
        <v>4</v>
      </c>
      <c r="H125" s="4">
        <v>500</v>
      </c>
      <c r="I125" s="4">
        <v>2000</v>
      </c>
      <c r="J125" t="s">
        <v>18</v>
      </c>
      <c r="K125" t="str">
        <f>IFERROR(VLOOKUP(F125&amp;"|"&amp;H125,Feature_Mappings!$A$2:$C$16,2,FALSE()),"")</f>
        <v>Designer Coat</v>
      </c>
      <c r="L125" t="str">
        <f>IFERROR(VLOOKUP(F125&amp;"|"&amp;H125,Feature_Mappings!$A$2:$C$16,3,FALSE()),"")</f>
        <v>Prestige Fashion House</v>
      </c>
      <c r="M125" t="str">
        <f>IFERROR(VLOOKUP(J125,Feature_Mappings!$D$2:$E$5,2,FALSE()),"")</f>
        <v>Olivia Bennett</v>
      </c>
      <c r="N125" t="s">
        <v>19</v>
      </c>
      <c r="O125" t="str">
        <f>IFERROR(INDEX(Store_Manager!$A$2:$A$5,MATCH(M125,Store_Manager!$B$2:$B$5,0)),"")</f>
        <v>MGR001</v>
      </c>
    </row>
    <row r="126" spans="1:15" ht="15.75" customHeight="1">
      <c r="A126">
        <v>125</v>
      </c>
      <c r="B126" s="2">
        <v>45146</v>
      </c>
      <c r="C126" t="s">
        <v>146</v>
      </c>
      <c r="D126" t="s">
        <v>16</v>
      </c>
      <c r="E126">
        <v>48</v>
      </c>
      <c r="F126" s="3" t="s">
        <v>22</v>
      </c>
      <c r="G126">
        <v>2</v>
      </c>
      <c r="H126" s="4">
        <v>50</v>
      </c>
      <c r="I126" s="4">
        <v>100</v>
      </c>
      <c r="J126" t="s">
        <v>18</v>
      </c>
      <c r="K126" t="str">
        <f>IFERROR(VLOOKUP(F126&amp;"|"&amp;H126,Feature_Mappings!$A$2:$C$16,2,FALSE()),"")</f>
        <v>Denim Jeans</v>
      </c>
      <c r="L126" t="str">
        <f>IFERROR(VLOOKUP(F126&amp;"|"&amp;H126,Feature_Mappings!$A$2:$C$16,3,FALSE()),"")</f>
        <v>BlueFit Garments</v>
      </c>
      <c r="M126" t="str">
        <f>IFERROR(VLOOKUP(J126,Feature_Mappings!$D$2:$E$5,2,FALSE()),"")</f>
        <v>Olivia Bennett</v>
      </c>
      <c r="N126" t="s">
        <v>19</v>
      </c>
      <c r="O126" t="str">
        <f>IFERROR(INDEX(Store_Manager!$A$2:$A$5,MATCH(M126,Store_Manager!$B$2:$B$5,0)),"")</f>
        <v>MGR001</v>
      </c>
    </row>
    <row r="127" spans="1:15" ht="15.75" customHeight="1">
      <c r="A127">
        <v>126</v>
      </c>
      <c r="B127" s="2">
        <v>45225</v>
      </c>
      <c r="C127" t="s">
        <v>147</v>
      </c>
      <c r="D127" t="s">
        <v>21</v>
      </c>
      <c r="E127">
        <v>28</v>
      </c>
      <c r="F127" s="3" t="s">
        <v>22</v>
      </c>
      <c r="G127">
        <v>3</v>
      </c>
      <c r="H127" s="4">
        <v>30</v>
      </c>
      <c r="I127" s="4">
        <v>90</v>
      </c>
      <c r="J127" t="s">
        <v>18</v>
      </c>
      <c r="K127" t="str">
        <f>IFERROR(VLOOKUP(F127&amp;"|"&amp;H127,Feature_Mappings!$A$2:$C$16,2,FALSE()),"")</f>
        <v>Graphic T-Shirt</v>
      </c>
      <c r="L127" t="str">
        <f>IFERROR(VLOOKUP(F127&amp;"|"&amp;H127,Feature_Mappings!$A$2:$C$16,3,FALSE()),"")</f>
        <v>ThreadWorks Apparel</v>
      </c>
      <c r="M127" t="str">
        <f>IFERROR(VLOOKUP(J127,Feature_Mappings!$D$2:$E$5,2,FALSE()),"")</f>
        <v>Olivia Bennett</v>
      </c>
      <c r="N127" t="s">
        <v>19</v>
      </c>
      <c r="O127" t="str">
        <f>IFERROR(INDEX(Store_Manager!$A$2:$A$5,MATCH(M127,Store_Manager!$B$2:$B$5,0)),"")</f>
        <v>MGR001</v>
      </c>
    </row>
    <row r="128" spans="1:15" ht="15.75" customHeight="1">
      <c r="A128">
        <v>127</v>
      </c>
      <c r="B128" s="2">
        <v>45131</v>
      </c>
      <c r="C128" t="s">
        <v>148</v>
      </c>
      <c r="D128" t="s">
        <v>21</v>
      </c>
      <c r="E128">
        <v>33</v>
      </c>
      <c r="F128" s="3" t="s">
        <v>22</v>
      </c>
      <c r="G128">
        <v>2</v>
      </c>
      <c r="H128" s="4">
        <v>25</v>
      </c>
      <c r="I128" s="4">
        <v>50</v>
      </c>
      <c r="J128" t="s">
        <v>18</v>
      </c>
      <c r="K128" t="str">
        <f>IFERROR(VLOOKUP(F128&amp;"|"&amp;H128,Feature_Mappings!$A$2:$C$16,2,FALSE()),"")</f>
        <v>Cotton Socks</v>
      </c>
      <c r="L128" t="str">
        <f>IFERROR(VLOOKUP(F128&amp;"|"&amp;H128,Feature_Mappings!$A$2:$C$16,3,FALSE()),"")</f>
        <v>Urban Basics Co.</v>
      </c>
      <c r="M128" t="str">
        <f>IFERROR(VLOOKUP(J128,Feature_Mappings!$D$2:$E$5,2,FALSE()),"")</f>
        <v>Olivia Bennett</v>
      </c>
      <c r="N128" t="s">
        <v>19</v>
      </c>
      <c r="O128" t="str">
        <f>IFERROR(INDEX(Store_Manager!$A$2:$A$5,MATCH(M128,Store_Manager!$B$2:$B$5,0)),"")</f>
        <v>MGR001</v>
      </c>
    </row>
    <row r="129" spans="1:15" ht="15.75" customHeight="1">
      <c r="A129">
        <v>128</v>
      </c>
      <c r="B129" s="2">
        <v>45112</v>
      </c>
      <c r="C129" t="s">
        <v>149</v>
      </c>
      <c r="D129" t="s">
        <v>16</v>
      </c>
      <c r="E129">
        <v>25</v>
      </c>
      <c r="F129" s="3" t="s">
        <v>17</v>
      </c>
      <c r="G129">
        <v>1</v>
      </c>
      <c r="H129" s="4">
        <v>500</v>
      </c>
      <c r="I129" s="4">
        <v>500</v>
      </c>
      <c r="J129" t="s">
        <v>18</v>
      </c>
      <c r="K129" t="str">
        <f>IFERROR(VLOOKUP(F129&amp;"|"&amp;H129,Feature_Mappings!$A$2:$C$16,2,FALSE()),"")</f>
        <v>LED Beauty Device</v>
      </c>
      <c r="L129" t="str">
        <f>IFERROR(VLOOKUP(F129&amp;"|"&amp;H129,Feature_Mappings!$A$2:$C$16,3,FALSE()),"")</f>
        <v>BeautyTech Pro</v>
      </c>
      <c r="M129" t="str">
        <f>IFERROR(VLOOKUP(J129,Feature_Mappings!$D$2:$E$5,2,FALSE()),"")</f>
        <v>Olivia Bennett</v>
      </c>
      <c r="N129" t="s">
        <v>19</v>
      </c>
      <c r="O129" t="str">
        <f>IFERROR(INDEX(Store_Manager!$A$2:$A$5,MATCH(M129,Store_Manager!$B$2:$B$5,0)),"")</f>
        <v>MGR001</v>
      </c>
    </row>
    <row r="130" spans="1:15" ht="15.75" customHeight="1">
      <c r="A130">
        <v>129</v>
      </c>
      <c r="B130" s="2">
        <v>45039</v>
      </c>
      <c r="C130" t="s">
        <v>150</v>
      </c>
      <c r="D130" t="s">
        <v>21</v>
      </c>
      <c r="E130">
        <v>21</v>
      </c>
      <c r="F130" s="3" t="s">
        <v>17</v>
      </c>
      <c r="G130">
        <v>2</v>
      </c>
      <c r="H130" s="4">
        <v>300</v>
      </c>
      <c r="I130" s="4">
        <v>600</v>
      </c>
      <c r="J130" t="s">
        <v>18</v>
      </c>
      <c r="K130" t="str">
        <f>IFERROR(VLOOKUP(F130&amp;"|"&amp;H130,Feature_Mappings!$A$2:$C$16,2,FALSE()),"")</f>
        <v>Skincare Gift Set</v>
      </c>
      <c r="L130" t="str">
        <f>IFERROR(VLOOKUP(F130&amp;"|"&amp;H130,Feature_Mappings!$A$2:$C$16,3,FALSE()),"")</f>
        <v>Radiant Beauty Wholesale</v>
      </c>
      <c r="M130" t="str">
        <f>IFERROR(VLOOKUP(J130,Feature_Mappings!$D$2:$E$5,2,FALSE()),"")</f>
        <v>Olivia Bennett</v>
      </c>
      <c r="N130" t="s">
        <v>19</v>
      </c>
      <c r="O130" t="str">
        <f>IFERROR(INDEX(Store_Manager!$A$2:$A$5,MATCH(M130,Store_Manager!$B$2:$B$5,0)),"")</f>
        <v>MGR001</v>
      </c>
    </row>
    <row r="131" spans="1:15" ht="15.75" customHeight="1">
      <c r="A131">
        <v>130</v>
      </c>
      <c r="B131" s="2">
        <v>44997</v>
      </c>
      <c r="C131" t="s">
        <v>151</v>
      </c>
      <c r="D131" t="s">
        <v>21</v>
      </c>
      <c r="E131">
        <v>57</v>
      </c>
      <c r="F131" s="3" t="s">
        <v>22</v>
      </c>
      <c r="G131">
        <v>1</v>
      </c>
      <c r="H131" s="4">
        <v>500</v>
      </c>
      <c r="I131" s="4">
        <v>500</v>
      </c>
      <c r="J131" t="s">
        <v>18</v>
      </c>
      <c r="K131" t="str">
        <f>IFERROR(VLOOKUP(F131&amp;"|"&amp;H131,Feature_Mappings!$A$2:$C$16,2,FALSE()),"")</f>
        <v>Designer Coat</v>
      </c>
      <c r="L131" t="str">
        <f>IFERROR(VLOOKUP(F131&amp;"|"&amp;H131,Feature_Mappings!$A$2:$C$16,3,FALSE()),"")</f>
        <v>Prestige Fashion House</v>
      </c>
      <c r="M131" t="str">
        <f>IFERROR(VLOOKUP(J131,Feature_Mappings!$D$2:$E$5,2,FALSE()),"")</f>
        <v>Olivia Bennett</v>
      </c>
      <c r="N131" t="s">
        <v>19</v>
      </c>
      <c r="O131" t="str">
        <f>IFERROR(INDEX(Store_Manager!$A$2:$A$5,MATCH(M131,Store_Manager!$B$2:$B$5,0)),"")</f>
        <v>MGR001</v>
      </c>
    </row>
    <row r="132" spans="1:15" ht="15.75" customHeight="1">
      <c r="A132">
        <v>131</v>
      </c>
      <c r="B132" s="2">
        <v>45187</v>
      </c>
      <c r="C132" t="s">
        <v>152</v>
      </c>
      <c r="D132" t="s">
        <v>21</v>
      </c>
      <c r="E132">
        <v>21</v>
      </c>
      <c r="F132" s="3" t="s">
        <v>17</v>
      </c>
      <c r="G132">
        <v>2</v>
      </c>
      <c r="H132" s="4">
        <v>300</v>
      </c>
      <c r="I132" s="4">
        <v>600</v>
      </c>
      <c r="J132" t="s">
        <v>18</v>
      </c>
      <c r="K132" t="str">
        <f>IFERROR(VLOOKUP(F132&amp;"|"&amp;H132,Feature_Mappings!$A$2:$C$16,2,FALSE()),"")</f>
        <v>Skincare Gift Set</v>
      </c>
      <c r="L132" t="str">
        <f>IFERROR(VLOOKUP(F132&amp;"|"&amp;H132,Feature_Mappings!$A$2:$C$16,3,FALSE()),"")</f>
        <v>Radiant Beauty Wholesale</v>
      </c>
      <c r="M132" t="str">
        <f>IFERROR(VLOOKUP(J132,Feature_Mappings!$D$2:$E$5,2,FALSE()),"")</f>
        <v>Olivia Bennett</v>
      </c>
      <c r="N132" t="s">
        <v>19</v>
      </c>
      <c r="O132" t="str">
        <f>IFERROR(INDEX(Store_Manager!$A$2:$A$5,MATCH(M132,Store_Manager!$B$2:$B$5,0)),"")</f>
        <v>MGR001</v>
      </c>
    </row>
    <row r="133" spans="1:15" ht="15.75" customHeight="1">
      <c r="A133">
        <v>132</v>
      </c>
      <c r="B133" s="2">
        <v>45179</v>
      </c>
      <c r="C133" t="s">
        <v>153</v>
      </c>
      <c r="D133" t="s">
        <v>16</v>
      </c>
      <c r="E133">
        <v>42</v>
      </c>
      <c r="F133" s="3" t="s">
        <v>24</v>
      </c>
      <c r="G133">
        <v>4</v>
      </c>
      <c r="H133" s="4">
        <v>50</v>
      </c>
      <c r="I133" s="4">
        <v>200</v>
      </c>
      <c r="J133" t="s">
        <v>18</v>
      </c>
      <c r="K133" t="str">
        <f>IFERROR(VLOOKUP(F133&amp;"|"&amp;H133,Feature_Mappings!$A$2:$C$16,2,FALSE()),"")</f>
        <v>Bluetooth Speaker</v>
      </c>
      <c r="L133" t="str">
        <f>IFERROR(VLOOKUP(F133&amp;"|"&amp;H133,Feature_Mappings!$A$2:$C$16,3,FALSE()),"")</f>
        <v>SoundSphere Supply</v>
      </c>
      <c r="M133" t="str">
        <f>IFERROR(VLOOKUP(J133,Feature_Mappings!$D$2:$E$5,2,FALSE()),"")</f>
        <v>Olivia Bennett</v>
      </c>
      <c r="N133" t="s">
        <v>19</v>
      </c>
      <c r="O133" t="str">
        <f>IFERROR(INDEX(Store_Manager!$A$2:$A$5,MATCH(M133,Store_Manager!$B$2:$B$5,0)),"")</f>
        <v>MGR001</v>
      </c>
    </row>
    <row r="134" spans="1:15" ht="15.75" customHeight="1">
      <c r="A134">
        <v>133</v>
      </c>
      <c r="B134" s="2">
        <v>44973</v>
      </c>
      <c r="C134" t="s">
        <v>154</v>
      </c>
      <c r="D134" t="s">
        <v>16</v>
      </c>
      <c r="E134">
        <v>20</v>
      </c>
      <c r="F134" s="3" t="s">
        <v>24</v>
      </c>
      <c r="G134">
        <v>3</v>
      </c>
      <c r="H134" s="4">
        <v>300</v>
      </c>
      <c r="I134" s="4">
        <v>900</v>
      </c>
      <c r="J134" t="s">
        <v>18</v>
      </c>
      <c r="K134" t="str">
        <f>IFERROR(VLOOKUP(F134&amp;"|"&amp;H134,Feature_Mappings!$A$2:$C$16,2,FALSE()),"")</f>
        <v>Tablet</v>
      </c>
      <c r="L134" t="str">
        <f>IFERROR(VLOOKUP(F134&amp;"|"&amp;H134,Feature_Mappings!$A$2:$C$16,3,FALSE()),"")</f>
        <v>NextGen Devices</v>
      </c>
      <c r="M134" t="str">
        <f>IFERROR(VLOOKUP(J134,Feature_Mappings!$D$2:$E$5,2,FALSE()),"")</f>
        <v>Olivia Bennett</v>
      </c>
      <c r="N134" t="s">
        <v>19</v>
      </c>
      <c r="O134" t="str">
        <f>IFERROR(INDEX(Store_Manager!$A$2:$A$5,MATCH(M134,Store_Manager!$B$2:$B$5,0)),"")</f>
        <v>MGR001</v>
      </c>
    </row>
    <row r="135" spans="1:15" ht="15.75" customHeight="1">
      <c r="A135">
        <v>134</v>
      </c>
      <c r="B135" s="2">
        <v>44951</v>
      </c>
      <c r="C135" t="s">
        <v>155</v>
      </c>
      <c r="D135" t="s">
        <v>16</v>
      </c>
      <c r="E135">
        <v>49</v>
      </c>
      <c r="F135" s="3" t="s">
        <v>24</v>
      </c>
      <c r="G135">
        <v>1</v>
      </c>
      <c r="H135" s="4">
        <v>50</v>
      </c>
      <c r="I135" s="4">
        <v>50</v>
      </c>
      <c r="J135" t="s">
        <v>18</v>
      </c>
      <c r="K135" t="str">
        <f>IFERROR(VLOOKUP(F135&amp;"|"&amp;H135,Feature_Mappings!$A$2:$C$16,2,FALSE()),"")</f>
        <v>Bluetooth Speaker</v>
      </c>
      <c r="L135" t="str">
        <f>IFERROR(VLOOKUP(F135&amp;"|"&amp;H135,Feature_Mappings!$A$2:$C$16,3,FALSE()),"")</f>
        <v>SoundSphere Supply</v>
      </c>
      <c r="M135" t="str">
        <f>IFERROR(VLOOKUP(J135,Feature_Mappings!$D$2:$E$5,2,FALSE()),"")</f>
        <v>Olivia Bennett</v>
      </c>
      <c r="N135" t="s">
        <v>19</v>
      </c>
      <c r="O135" t="str">
        <f>IFERROR(INDEX(Store_Manager!$A$2:$A$5,MATCH(M135,Store_Manager!$B$2:$B$5,0)),"")</f>
        <v>MGR001</v>
      </c>
    </row>
    <row r="136" spans="1:15" ht="15.75" customHeight="1">
      <c r="A136">
        <v>135</v>
      </c>
      <c r="B136" s="2">
        <v>44983</v>
      </c>
      <c r="C136" t="s">
        <v>156</v>
      </c>
      <c r="D136" t="s">
        <v>16</v>
      </c>
      <c r="E136">
        <v>20</v>
      </c>
      <c r="F136" s="3" t="s">
        <v>22</v>
      </c>
      <c r="G136">
        <v>2</v>
      </c>
      <c r="H136" s="4">
        <v>25</v>
      </c>
      <c r="I136" s="4">
        <v>50</v>
      </c>
      <c r="J136" t="s">
        <v>18</v>
      </c>
      <c r="K136" t="str">
        <f>IFERROR(VLOOKUP(F136&amp;"|"&amp;H136,Feature_Mappings!$A$2:$C$16,2,FALSE()),"")</f>
        <v>Cotton Socks</v>
      </c>
      <c r="L136" t="str">
        <f>IFERROR(VLOOKUP(F136&amp;"|"&amp;H136,Feature_Mappings!$A$2:$C$16,3,FALSE()),"")</f>
        <v>Urban Basics Co.</v>
      </c>
      <c r="M136" t="str">
        <f>IFERROR(VLOOKUP(J136,Feature_Mappings!$D$2:$E$5,2,FALSE()),"")</f>
        <v>Olivia Bennett</v>
      </c>
      <c r="N136" t="s">
        <v>19</v>
      </c>
      <c r="O136" t="str">
        <f>IFERROR(INDEX(Store_Manager!$A$2:$A$5,MATCH(M136,Store_Manager!$B$2:$B$5,0)),"")</f>
        <v>MGR001</v>
      </c>
    </row>
    <row r="137" spans="1:15" ht="15.75" customHeight="1">
      <c r="A137">
        <v>136</v>
      </c>
      <c r="B137" s="2">
        <v>45005</v>
      </c>
      <c r="C137" t="s">
        <v>157</v>
      </c>
      <c r="D137" t="s">
        <v>16</v>
      </c>
      <c r="E137">
        <v>44</v>
      </c>
      <c r="F137" s="3" t="s">
        <v>24</v>
      </c>
      <c r="G137">
        <v>2</v>
      </c>
      <c r="H137" s="4">
        <v>300</v>
      </c>
      <c r="I137" s="4">
        <v>600</v>
      </c>
      <c r="J137" t="s">
        <v>18</v>
      </c>
      <c r="K137" t="str">
        <f>IFERROR(VLOOKUP(F137&amp;"|"&amp;H137,Feature_Mappings!$A$2:$C$16,2,FALSE()),"")</f>
        <v>Tablet</v>
      </c>
      <c r="L137" t="str">
        <f>IFERROR(VLOOKUP(F137&amp;"|"&amp;H137,Feature_Mappings!$A$2:$C$16,3,FALSE()),"")</f>
        <v>NextGen Devices</v>
      </c>
      <c r="M137" t="str">
        <f>IFERROR(VLOOKUP(J137,Feature_Mappings!$D$2:$E$5,2,FALSE()),"")</f>
        <v>Olivia Bennett</v>
      </c>
      <c r="N137" t="s">
        <v>19</v>
      </c>
      <c r="O137" t="str">
        <f>IFERROR(INDEX(Store_Manager!$A$2:$A$5,MATCH(M137,Store_Manager!$B$2:$B$5,0)),"")</f>
        <v>MGR001</v>
      </c>
    </row>
    <row r="138" spans="1:15" ht="15.75" customHeight="1">
      <c r="A138">
        <v>137</v>
      </c>
      <c r="B138" s="2">
        <v>45248</v>
      </c>
      <c r="C138" t="s">
        <v>158</v>
      </c>
      <c r="D138" t="s">
        <v>16</v>
      </c>
      <c r="E138">
        <v>46</v>
      </c>
      <c r="F138" s="3" t="s">
        <v>17</v>
      </c>
      <c r="G138">
        <v>2</v>
      </c>
      <c r="H138" s="4">
        <v>500</v>
      </c>
      <c r="I138" s="4">
        <v>1000</v>
      </c>
      <c r="J138" t="s">
        <v>18</v>
      </c>
      <c r="K138" t="str">
        <f>IFERROR(VLOOKUP(F138&amp;"|"&amp;H138,Feature_Mappings!$A$2:$C$16,2,FALSE()),"")</f>
        <v>LED Beauty Device</v>
      </c>
      <c r="L138" t="str">
        <f>IFERROR(VLOOKUP(F138&amp;"|"&amp;H138,Feature_Mappings!$A$2:$C$16,3,FALSE()),"")</f>
        <v>BeautyTech Pro</v>
      </c>
      <c r="M138" t="str">
        <f>IFERROR(VLOOKUP(J138,Feature_Mappings!$D$2:$E$5,2,FALSE()),"")</f>
        <v>Olivia Bennett</v>
      </c>
      <c r="N138" t="s">
        <v>19</v>
      </c>
      <c r="O138" t="str">
        <f>IFERROR(INDEX(Store_Manager!$A$2:$A$5,MATCH(M138,Store_Manager!$B$2:$B$5,0)),"")</f>
        <v>MGR001</v>
      </c>
    </row>
    <row r="139" spans="1:15" ht="15.75" customHeight="1">
      <c r="A139">
        <v>138</v>
      </c>
      <c r="B139" s="2">
        <v>45008</v>
      </c>
      <c r="C139" t="s">
        <v>159</v>
      </c>
      <c r="D139" t="s">
        <v>16</v>
      </c>
      <c r="E139">
        <v>49</v>
      </c>
      <c r="F139" s="3" t="s">
        <v>22</v>
      </c>
      <c r="G139">
        <v>4</v>
      </c>
      <c r="H139" s="4">
        <v>50</v>
      </c>
      <c r="I139" s="4">
        <v>200</v>
      </c>
      <c r="J139" t="s">
        <v>18</v>
      </c>
      <c r="K139" t="str">
        <f>IFERROR(VLOOKUP(F139&amp;"|"&amp;H139,Feature_Mappings!$A$2:$C$16,2,FALSE()),"")</f>
        <v>Denim Jeans</v>
      </c>
      <c r="L139" t="str">
        <f>IFERROR(VLOOKUP(F139&amp;"|"&amp;H139,Feature_Mappings!$A$2:$C$16,3,FALSE()),"")</f>
        <v>BlueFit Garments</v>
      </c>
      <c r="M139" t="str">
        <f>IFERROR(VLOOKUP(J139,Feature_Mappings!$D$2:$E$5,2,FALSE()),"")</f>
        <v>Olivia Bennett</v>
      </c>
      <c r="N139" t="s">
        <v>19</v>
      </c>
      <c r="O139" t="str">
        <f>IFERROR(INDEX(Store_Manager!$A$2:$A$5,MATCH(M139,Store_Manager!$B$2:$B$5,0)),"")</f>
        <v>MGR001</v>
      </c>
    </row>
    <row r="140" spans="1:15" ht="15.75" customHeight="1">
      <c r="A140">
        <v>139</v>
      </c>
      <c r="B140" s="2">
        <v>45275</v>
      </c>
      <c r="C140" t="s">
        <v>160</v>
      </c>
      <c r="D140" t="s">
        <v>16</v>
      </c>
      <c r="E140">
        <v>36</v>
      </c>
      <c r="F140" s="3" t="s">
        <v>17</v>
      </c>
      <c r="G140">
        <v>4</v>
      </c>
      <c r="H140" s="4">
        <v>500</v>
      </c>
      <c r="I140" s="4">
        <v>2000</v>
      </c>
      <c r="J140" t="s">
        <v>18</v>
      </c>
      <c r="K140" t="str">
        <f>IFERROR(VLOOKUP(F140&amp;"|"&amp;H140,Feature_Mappings!$A$2:$C$16,2,FALSE()),"")</f>
        <v>LED Beauty Device</v>
      </c>
      <c r="L140" t="str">
        <f>IFERROR(VLOOKUP(F140&amp;"|"&amp;H140,Feature_Mappings!$A$2:$C$16,3,FALSE()),"")</f>
        <v>BeautyTech Pro</v>
      </c>
      <c r="M140" t="str">
        <f>IFERROR(VLOOKUP(J140,Feature_Mappings!$D$2:$E$5,2,FALSE()),"")</f>
        <v>Olivia Bennett</v>
      </c>
      <c r="N140" t="s">
        <v>19</v>
      </c>
      <c r="O140" t="str">
        <f>IFERROR(INDEX(Store_Manager!$A$2:$A$5,MATCH(M140,Store_Manager!$B$2:$B$5,0)),"")</f>
        <v>MGR001</v>
      </c>
    </row>
    <row r="141" spans="1:15" ht="15.75" customHeight="1">
      <c r="A141">
        <v>140</v>
      </c>
      <c r="B141" s="2">
        <v>45143</v>
      </c>
      <c r="C141" t="s">
        <v>161</v>
      </c>
      <c r="D141" t="s">
        <v>16</v>
      </c>
      <c r="E141">
        <v>38</v>
      </c>
      <c r="F141" s="3" t="s">
        <v>24</v>
      </c>
      <c r="G141">
        <v>1</v>
      </c>
      <c r="H141" s="4">
        <v>30</v>
      </c>
      <c r="I141" s="4">
        <v>30</v>
      </c>
      <c r="J141" t="s">
        <v>18</v>
      </c>
      <c r="K141" t="str">
        <f>IFERROR(VLOOKUP(F141&amp;"|"&amp;H141,Feature_Mappings!$A$2:$C$16,2,FALSE()),"")</f>
        <v>Wireless Mouse</v>
      </c>
      <c r="L141" t="str">
        <f>IFERROR(VLOOKUP(F141&amp;"|"&amp;H141,Feature_Mappings!$A$2:$C$16,3,FALSE()),"")</f>
        <v>ByteWave Distributors</v>
      </c>
      <c r="M141" t="str">
        <f>IFERROR(VLOOKUP(J141,Feature_Mappings!$D$2:$E$5,2,FALSE()),"")</f>
        <v>Olivia Bennett</v>
      </c>
      <c r="N141" t="s">
        <v>19</v>
      </c>
      <c r="O141" t="str">
        <f>IFERROR(INDEX(Store_Manager!$A$2:$A$5,MATCH(M141,Store_Manager!$B$2:$B$5,0)),"")</f>
        <v>MGR001</v>
      </c>
    </row>
    <row r="142" spans="1:15" ht="15.75" customHeight="1">
      <c r="A142">
        <v>141</v>
      </c>
      <c r="B142" s="2">
        <v>45232</v>
      </c>
      <c r="C142" t="s">
        <v>162</v>
      </c>
      <c r="D142" t="s">
        <v>21</v>
      </c>
      <c r="E142">
        <v>22</v>
      </c>
      <c r="F142" s="3" t="s">
        <v>24</v>
      </c>
      <c r="G142">
        <v>1</v>
      </c>
      <c r="H142" s="4">
        <v>50</v>
      </c>
      <c r="I142" s="4">
        <v>50</v>
      </c>
      <c r="J142" t="s">
        <v>18</v>
      </c>
      <c r="K142" t="str">
        <f>IFERROR(VLOOKUP(F142&amp;"|"&amp;H142,Feature_Mappings!$A$2:$C$16,2,FALSE()),"")</f>
        <v>Bluetooth Speaker</v>
      </c>
      <c r="L142" t="str">
        <f>IFERROR(VLOOKUP(F142&amp;"|"&amp;H142,Feature_Mappings!$A$2:$C$16,3,FALSE()),"")</f>
        <v>SoundSphere Supply</v>
      </c>
      <c r="M142" t="str">
        <f>IFERROR(VLOOKUP(J142,Feature_Mappings!$D$2:$E$5,2,FALSE()),"")</f>
        <v>Olivia Bennett</v>
      </c>
      <c r="N142" t="s">
        <v>19</v>
      </c>
      <c r="O142" t="str">
        <f>IFERROR(INDEX(Store_Manager!$A$2:$A$5,MATCH(M142,Store_Manager!$B$2:$B$5,0)),"")</f>
        <v>MGR001</v>
      </c>
    </row>
    <row r="143" spans="1:15" ht="15.75" customHeight="1">
      <c r="A143">
        <v>142</v>
      </c>
      <c r="B143" s="2">
        <v>44959</v>
      </c>
      <c r="C143" t="s">
        <v>163</v>
      </c>
      <c r="D143" t="s">
        <v>16</v>
      </c>
      <c r="E143">
        <v>35</v>
      </c>
      <c r="F143" s="3" t="s">
        <v>24</v>
      </c>
      <c r="G143">
        <v>4</v>
      </c>
      <c r="H143" s="4">
        <v>300</v>
      </c>
      <c r="I143" s="4">
        <v>1200</v>
      </c>
      <c r="J143" t="s">
        <v>18</v>
      </c>
      <c r="K143" t="str">
        <f>IFERROR(VLOOKUP(F143&amp;"|"&amp;H143,Feature_Mappings!$A$2:$C$16,2,FALSE()),"")</f>
        <v>Tablet</v>
      </c>
      <c r="L143" t="str">
        <f>IFERROR(VLOOKUP(F143&amp;"|"&amp;H143,Feature_Mappings!$A$2:$C$16,3,FALSE()),"")</f>
        <v>NextGen Devices</v>
      </c>
      <c r="M143" t="str">
        <f>IFERROR(VLOOKUP(J143,Feature_Mappings!$D$2:$E$5,2,FALSE()),"")</f>
        <v>Olivia Bennett</v>
      </c>
      <c r="N143" t="s">
        <v>19</v>
      </c>
      <c r="O143" t="str">
        <f>IFERROR(INDEX(Store_Manager!$A$2:$A$5,MATCH(M143,Store_Manager!$B$2:$B$5,0)),"")</f>
        <v>MGR001</v>
      </c>
    </row>
    <row r="144" spans="1:15" ht="15.75" customHeight="1">
      <c r="A144">
        <v>143</v>
      </c>
      <c r="B144" s="2">
        <v>45124</v>
      </c>
      <c r="C144" t="s">
        <v>164</v>
      </c>
      <c r="D144" t="s">
        <v>21</v>
      </c>
      <c r="E144">
        <v>45</v>
      </c>
      <c r="F144" s="3" t="s">
        <v>22</v>
      </c>
      <c r="G144">
        <v>1</v>
      </c>
      <c r="H144" s="4">
        <v>50</v>
      </c>
      <c r="I144" s="4">
        <v>50</v>
      </c>
      <c r="J144" t="s">
        <v>18</v>
      </c>
      <c r="K144" t="str">
        <f>IFERROR(VLOOKUP(F144&amp;"|"&amp;H144,Feature_Mappings!$A$2:$C$16,2,FALSE()),"")</f>
        <v>Denim Jeans</v>
      </c>
      <c r="L144" t="str">
        <f>IFERROR(VLOOKUP(F144&amp;"|"&amp;H144,Feature_Mappings!$A$2:$C$16,3,FALSE()),"")</f>
        <v>BlueFit Garments</v>
      </c>
      <c r="M144" t="str">
        <f>IFERROR(VLOOKUP(J144,Feature_Mappings!$D$2:$E$5,2,FALSE()),"")</f>
        <v>Olivia Bennett</v>
      </c>
      <c r="N144" t="s">
        <v>19</v>
      </c>
      <c r="O144" t="str">
        <f>IFERROR(INDEX(Store_Manager!$A$2:$A$5,MATCH(M144,Store_Manager!$B$2:$B$5,0)),"")</f>
        <v>MGR001</v>
      </c>
    </row>
    <row r="145" spans="1:15" ht="15.75" customHeight="1">
      <c r="A145">
        <v>144</v>
      </c>
      <c r="B145" s="2">
        <v>45122</v>
      </c>
      <c r="C145" t="s">
        <v>165</v>
      </c>
      <c r="D145" t="s">
        <v>21</v>
      </c>
      <c r="E145">
        <v>59</v>
      </c>
      <c r="F145" s="3" t="s">
        <v>17</v>
      </c>
      <c r="G145">
        <v>3</v>
      </c>
      <c r="H145" s="4">
        <v>500</v>
      </c>
      <c r="I145" s="4">
        <v>1500</v>
      </c>
      <c r="J145" t="s">
        <v>18</v>
      </c>
      <c r="K145" t="str">
        <f>IFERROR(VLOOKUP(F145&amp;"|"&amp;H145,Feature_Mappings!$A$2:$C$16,2,FALSE()),"")</f>
        <v>LED Beauty Device</v>
      </c>
      <c r="L145" t="str">
        <f>IFERROR(VLOOKUP(F145&amp;"|"&amp;H145,Feature_Mappings!$A$2:$C$16,3,FALSE()),"")</f>
        <v>BeautyTech Pro</v>
      </c>
      <c r="M145" t="str">
        <f>IFERROR(VLOOKUP(J145,Feature_Mappings!$D$2:$E$5,2,FALSE()),"")</f>
        <v>Olivia Bennett</v>
      </c>
      <c r="N145" t="s">
        <v>19</v>
      </c>
      <c r="O145" t="str">
        <f>IFERROR(INDEX(Store_Manager!$A$2:$A$5,MATCH(M145,Store_Manager!$B$2:$B$5,0)),"")</f>
        <v>MGR001</v>
      </c>
    </row>
    <row r="146" spans="1:15" ht="15.75" customHeight="1">
      <c r="A146">
        <v>145</v>
      </c>
      <c r="B146" s="2">
        <v>45232</v>
      </c>
      <c r="C146" t="s">
        <v>166</v>
      </c>
      <c r="D146" t="s">
        <v>21</v>
      </c>
      <c r="E146">
        <v>39</v>
      </c>
      <c r="F146" s="3" t="s">
        <v>22</v>
      </c>
      <c r="G146">
        <v>3</v>
      </c>
      <c r="H146" s="4">
        <v>25</v>
      </c>
      <c r="I146" s="4">
        <v>75</v>
      </c>
      <c r="J146" t="s">
        <v>18</v>
      </c>
      <c r="K146" t="str">
        <f>IFERROR(VLOOKUP(F146&amp;"|"&amp;H146,Feature_Mappings!$A$2:$C$16,2,FALSE()),"")</f>
        <v>Cotton Socks</v>
      </c>
      <c r="L146" t="str">
        <f>IFERROR(VLOOKUP(F146&amp;"|"&amp;H146,Feature_Mappings!$A$2:$C$16,3,FALSE()),"")</f>
        <v>Urban Basics Co.</v>
      </c>
      <c r="M146" t="str">
        <f>IFERROR(VLOOKUP(J146,Feature_Mappings!$D$2:$E$5,2,FALSE()),"")</f>
        <v>Olivia Bennett</v>
      </c>
      <c r="N146" t="s">
        <v>19</v>
      </c>
      <c r="O146" t="str">
        <f>IFERROR(INDEX(Store_Manager!$A$2:$A$5,MATCH(M146,Store_Manager!$B$2:$B$5,0)),"")</f>
        <v>MGR001</v>
      </c>
    </row>
    <row r="147" spans="1:15" ht="15.75" customHeight="1">
      <c r="A147">
        <v>146</v>
      </c>
      <c r="B147" s="2">
        <v>45166</v>
      </c>
      <c r="C147" t="s">
        <v>167</v>
      </c>
      <c r="D147" t="s">
        <v>16</v>
      </c>
      <c r="E147">
        <v>38</v>
      </c>
      <c r="F147" s="3" t="s">
        <v>22</v>
      </c>
      <c r="G147">
        <v>4</v>
      </c>
      <c r="H147" s="4">
        <v>50</v>
      </c>
      <c r="I147" s="4">
        <v>200</v>
      </c>
      <c r="J147" t="s">
        <v>18</v>
      </c>
      <c r="K147" t="str">
        <f>IFERROR(VLOOKUP(F147&amp;"|"&amp;H147,Feature_Mappings!$A$2:$C$16,2,FALSE()),"")</f>
        <v>Denim Jeans</v>
      </c>
      <c r="L147" t="str">
        <f>IFERROR(VLOOKUP(F147&amp;"|"&amp;H147,Feature_Mappings!$A$2:$C$16,3,FALSE()),"")</f>
        <v>BlueFit Garments</v>
      </c>
      <c r="M147" t="str">
        <f>IFERROR(VLOOKUP(J147,Feature_Mappings!$D$2:$E$5,2,FALSE()),"")</f>
        <v>Olivia Bennett</v>
      </c>
      <c r="N147" t="s">
        <v>19</v>
      </c>
      <c r="O147" t="str">
        <f>IFERROR(INDEX(Store_Manager!$A$2:$A$5,MATCH(M147,Store_Manager!$B$2:$B$5,0)),"")</f>
        <v>MGR001</v>
      </c>
    </row>
    <row r="148" spans="1:15" ht="15.75" customHeight="1">
      <c r="A148">
        <v>147</v>
      </c>
      <c r="B148" s="2">
        <v>45197</v>
      </c>
      <c r="C148" t="s">
        <v>168</v>
      </c>
      <c r="D148" t="s">
        <v>16</v>
      </c>
      <c r="E148">
        <v>23</v>
      </c>
      <c r="F148" s="3" t="s">
        <v>24</v>
      </c>
      <c r="G148">
        <v>1</v>
      </c>
      <c r="H148" s="4">
        <v>300</v>
      </c>
      <c r="I148" s="4">
        <v>300</v>
      </c>
      <c r="J148" t="s">
        <v>18</v>
      </c>
      <c r="K148" t="str">
        <f>IFERROR(VLOOKUP(F148&amp;"|"&amp;H148,Feature_Mappings!$A$2:$C$16,2,FALSE()),"")</f>
        <v>Tablet</v>
      </c>
      <c r="L148" t="str">
        <f>IFERROR(VLOOKUP(F148&amp;"|"&amp;H148,Feature_Mappings!$A$2:$C$16,3,FALSE()),"")</f>
        <v>NextGen Devices</v>
      </c>
      <c r="M148" t="str">
        <f>IFERROR(VLOOKUP(J148,Feature_Mappings!$D$2:$E$5,2,FALSE()),"")</f>
        <v>Olivia Bennett</v>
      </c>
      <c r="N148" t="s">
        <v>19</v>
      </c>
      <c r="O148" t="str">
        <f>IFERROR(INDEX(Store_Manager!$A$2:$A$5,MATCH(M148,Store_Manager!$B$2:$B$5,0)),"")</f>
        <v>MGR001</v>
      </c>
    </row>
    <row r="149" spans="1:15" ht="15.75" customHeight="1">
      <c r="A149">
        <v>148</v>
      </c>
      <c r="B149" s="2">
        <v>45055</v>
      </c>
      <c r="C149" t="s">
        <v>169</v>
      </c>
      <c r="D149" t="s">
        <v>16</v>
      </c>
      <c r="E149">
        <v>18</v>
      </c>
      <c r="F149" s="3" t="s">
        <v>22</v>
      </c>
      <c r="G149">
        <v>2</v>
      </c>
      <c r="H149" s="4">
        <v>30</v>
      </c>
      <c r="I149" s="4">
        <v>60</v>
      </c>
      <c r="J149" t="s">
        <v>18</v>
      </c>
      <c r="K149" t="str">
        <f>IFERROR(VLOOKUP(F149&amp;"|"&amp;H149,Feature_Mappings!$A$2:$C$16,2,FALSE()),"")</f>
        <v>Graphic T-Shirt</v>
      </c>
      <c r="L149" t="str">
        <f>IFERROR(VLOOKUP(F149&amp;"|"&amp;H149,Feature_Mappings!$A$2:$C$16,3,FALSE()),"")</f>
        <v>ThreadWorks Apparel</v>
      </c>
      <c r="M149" t="str">
        <f>IFERROR(VLOOKUP(J149,Feature_Mappings!$D$2:$E$5,2,FALSE()),"")</f>
        <v>Olivia Bennett</v>
      </c>
      <c r="N149" t="s">
        <v>19</v>
      </c>
      <c r="O149" t="str">
        <f>IFERROR(INDEX(Store_Manager!$A$2:$A$5,MATCH(M149,Store_Manager!$B$2:$B$5,0)),"")</f>
        <v>MGR001</v>
      </c>
    </row>
    <row r="150" spans="1:15" ht="15.75" customHeight="1">
      <c r="A150">
        <v>149</v>
      </c>
      <c r="B150" s="2">
        <v>45210</v>
      </c>
      <c r="C150" t="s">
        <v>170</v>
      </c>
      <c r="D150" t="s">
        <v>16</v>
      </c>
      <c r="E150">
        <v>22</v>
      </c>
      <c r="F150" s="3" t="s">
        <v>22</v>
      </c>
      <c r="G150">
        <v>3</v>
      </c>
      <c r="H150" s="4">
        <v>25</v>
      </c>
      <c r="I150" s="4">
        <v>75</v>
      </c>
      <c r="J150" t="s">
        <v>18</v>
      </c>
      <c r="K150" t="str">
        <f>IFERROR(VLOOKUP(F150&amp;"|"&amp;H150,Feature_Mappings!$A$2:$C$16,2,FALSE()),"")</f>
        <v>Cotton Socks</v>
      </c>
      <c r="L150" t="str">
        <f>IFERROR(VLOOKUP(F150&amp;"|"&amp;H150,Feature_Mappings!$A$2:$C$16,3,FALSE()),"")</f>
        <v>Urban Basics Co.</v>
      </c>
      <c r="M150" t="str">
        <f>IFERROR(VLOOKUP(J150,Feature_Mappings!$D$2:$E$5,2,FALSE()),"")</f>
        <v>Olivia Bennett</v>
      </c>
      <c r="N150" t="s">
        <v>19</v>
      </c>
      <c r="O150" t="str">
        <f>IFERROR(INDEX(Store_Manager!$A$2:$A$5,MATCH(M150,Store_Manager!$B$2:$B$5,0)),"")</f>
        <v>MGR001</v>
      </c>
    </row>
    <row r="151" spans="1:15" ht="15.75" customHeight="1">
      <c r="A151">
        <v>150</v>
      </c>
      <c r="B151" s="2">
        <v>44932</v>
      </c>
      <c r="C151" t="s">
        <v>171</v>
      </c>
      <c r="D151" t="s">
        <v>21</v>
      </c>
      <c r="E151">
        <v>58</v>
      </c>
      <c r="F151" s="3" t="s">
        <v>24</v>
      </c>
      <c r="G151">
        <v>4</v>
      </c>
      <c r="H151" s="4">
        <v>30</v>
      </c>
      <c r="I151" s="4">
        <v>120</v>
      </c>
      <c r="J151" t="s">
        <v>18</v>
      </c>
      <c r="K151" t="str">
        <f>IFERROR(VLOOKUP(F151&amp;"|"&amp;H151,Feature_Mappings!$A$2:$C$16,2,FALSE()),"")</f>
        <v>Wireless Mouse</v>
      </c>
      <c r="L151" t="str">
        <f>IFERROR(VLOOKUP(F151&amp;"|"&amp;H151,Feature_Mappings!$A$2:$C$16,3,FALSE()),"")</f>
        <v>ByteWave Distributors</v>
      </c>
      <c r="M151" t="str">
        <f>IFERROR(VLOOKUP(J151,Feature_Mappings!$D$2:$E$5,2,FALSE()),"")</f>
        <v>Olivia Bennett</v>
      </c>
      <c r="N151" t="s">
        <v>19</v>
      </c>
      <c r="O151" t="str">
        <f>IFERROR(INDEX(Store_Manager!$A$2:$A$5,MATCH(M151,Store_Manager!$B$2:$B$5,0)),"")</f>
        <v>MGR001</v>
      </c>
    </row>
    <row r="152" spans="1:15" ht="15.75" customHeight="1">
      <c r="A152">
        <v>151</v>
      </c>
      <c r="B152" s="2">
        <v>45275</v>
      </c>
      <c r="C152" t="s">
        <v>172</v>
      </c>
      <c r="D152" t="s">
        <v>16</v>
      </c>
      <c r="E152">
        <v>29</v>
      </c>
      <c r="F152" s="3" t="s">
        <v>22</v>
      </c>
      <c r="G152">
        <v>1</v>
      </c>
      <c r="H152" s="4">
        <v>50</v>
      </c>
      <c r="I152" s="4">
        <v>50</v>
      </c>
      <c r="J152" t="s">
        <v>18</v>
      </c>
      <c r="K152" t="str">
        <f>IFERROR(VLOOKUP(F152&amp;"|"&amp;H152,Feature_Mappings!$A$2:$C$16,2,FALSE()),"")</f>
        <v>Denim Jeans</v>
      </c>
      <c r="L152" t="str">
        <f>IFERROR(VLOOKUP(F152&amp;"|"&amp;H152,Feature_Mappings!$A$2:$C$16,3,FALSE()),"")</f>
        <v>BlueFit Garments</v>
      </c>
      <c r="M152" t="str">
        <f>IFERROR(VLOOKUP(J152,Feature_Mappings!$D$2:$E$5,2,FALSE()),"")</f>
        <v>Olivia Bennett</v>
      </c>
      <c r="N152" t="s">
        <v>19</v>
      </c>
      <c r="O152" t="str">
        <f>IFERROR(INDEX(Store_Manager!$A$2:$A$5,MATCH(M152,Store_Manager!$B$2:$B$5,0)),"")</f>
        <v>MGR001</v>
      </c>
    </row>
    <row r="153" spans="1:15" ht="15.75" customHeight="1">
      <c r="A153">
        <v>152</v>
      </c>
      <c r="B153" s="2">
        <v>44985</v>
      </c>
      <c r="C153" t="s">
        <v>173</v>
      </c>
      <c r="D153" t="s">
        <v>16</v>
      </c>
      <c r="E153">
        <v>43</v>
      </c>
      <c r="F153" s="3" t="s">
        <v>24</v>
      </c>
      <c r="G153">
        <v>4</v>
      </c>
      <c r="H153" s="4">
        <v>500</v>
      </c>
      <c r="I153" s="4">
        <v>2000</v>
      </c>
      <c r="J153" t="s">
        <v>18</v>
      </c>
      <c r="K153" t="str">
        <f>IFERROR(VLOOKUP(F153&amp;"|"&amp;H153,Feature_Mappings!$A$2:$C$16,2,FALSE()),"")</f>
        <v>Smartphone</v>
      </c>
      <c r="L153" t="str">
        <f>IFERROR(VLOOKUP(F153&amp;"|"&amp;H153,Feature_Mappings!$A$2:$C$16,3,FALSE()),"")</f>
        <v>NovaTech Wholesale</v>
      </c>
      <c r="M153" t="str">
        <f>IFERROR(VLOOKUP(J153,Feature_Mappings!$D$2:$E$5,2,FALSE()),"")</f>
        <v>Olivia Bennett</v>
      </c>
      <c r="N153" t="s">
        <v>19</v>
      </c>
      <c r="O153" t="str">
        <f>IFERROR(INDEX(Store_Manager!$A$2:$A$5,MATCH(M153,Store_Manager!$B$2:$B$5,0)),"")</f>
        <v>MGR001</v>
      </c>
    </row>
    <row r="154" spans="1:15" ht="15.75" customHeight="1">
      <c r="A154">
        <v>153</v>
      </c>
      <c r="B154" s="2">
        <v>45276</v>
      </c>
      <c r="C154" t="s">
        <v>174</v>
      </c>
      <c r="D154" t="s">
        <v>16</v>
      </c>
      <c r="E154">
        <v>63</v>
      </c>
      <c r="F154" s="3" t="s">
        <v>24</v>
      </c>
      <c r="G154">
        <v>2</v>
      </c>
      <c r="H154" s="4">
        <v>500</v>
      </c>
      <c r="I154" s="4">
        <v>1000</v>
      </c>
      <c r="J154" t="s">
        <v>18</v>
      </c>
      <c r="K154" t="str">
        <f>IFERROR(VLOOKUP(F154&amp;"|"&amp;H154,Feature_Mappings!$A$2:$C$16,2,FALSE()),"")</f>
        <v>Smartphone</v>
      </c>
      <c r="L154" t="str">
        <f>IFERROR(VLOOKUP(F154&amp;"|"&amp;H154,Feature_Mappings!$A$2:$C$16,3,FALSE()),"")</f>
        <v>NovaTech Wholesale</v>
      </c>
      <c r="M154" t="str">
        <f>IFERROR(VLOOKUP(J154,Feature_Mappings!$D$2:$E$5,2,FALSE()),"")</f>
        <v>Olivia Bennett</v>
      </c>
      <c r="N154" t="s">
        <v>19</v>
      </c>
      <c r="O154" t="str">
        <f>IFERROR(INDEX(Store_Manager!$A$2:$A$5,MATCH(M154,Store_Manager!$B$2:$B$5,0)),"")</f>
        <v>MGR001</v>
      </c>
    </row>
    <row r="155" spans="1:15" ht="15.75" customHeight="1">
      <c r="A155">
        <v>154</v>
      </c>
      <c r="B155" s="2">
        <v>45201</v>
      </c>
      <c r="C155" t="s">
        <v>175</v>
      </c>
      <c r="D155" t="s">
        <v>16</v>
      </c>
      <c r="E155">
        <v>51</v>
      </c>
      <c r="F155" s="3" t="s">
        <v>24</v>
      </c>
      <c r="G155">
        <v>3</v>
      </c>
      <c r="H155" s="4">
        <v>300</v>
      </c>
      <c r="I155" s="4">
        <v>900</v>
      </c>
      <c r="J155" t="s">
        <v>18</v>
      </c>
      <c r="K155" t="str">
        <f>IFERROR(VLOOKUP(F155&amp;"|"&amp;H155,Feature_Mappings!$A$2:$C$16,2,FALSE()),"")</f>
        <v>Tablet</v>
      </c>
      <c r="L155" t="str">
        <f>IFERROR(VLOOKUP(F155&amp;"|"&amp;H155,Feature_Mappings!$A$2:$C$16,3,FALSE()),"")</f>
        <v>NextGen Devices</v>
      </c>
      <c r="M155" t="str">
        <f>IFERROR(VLOOKUP(J155,Feature_Mappings!$D$2:$E$5,2,FALSE()),"")</f>
        <v>Olivia Bennett</v>
      </c>
      <c r="N155" t="s">
        <v>19</v>
      </c>
      <c r="O155" t="str">
        <f>IFERROR(INDEX(Store_Manager!$A$2:$A$5,MATCH(M155,Store_Manager!$B$2:$B$5,0)),"")</f>
        <v>MGR001</v>
      </c>
    </row>
    <row r="156" spans="1:15" ht="15.75" customHeight="1">
      <c r="A156">
        <v>155</v>
      </c>
      <c r="B156" s="2">
        <v>45063</v>
      </c>
      <c r="C156" t="s">
        <v>176</v>
      </c>
      <c r="D156" t="s">
        <v>16</v>
      </c>
      <c r="E156">
        <v>31</v>
      </c>
      <c r="F156" s="3" t="s">
        <v>24</v>
      </c>
      <c r="G156">
        <v>4</v>
      </c>
      <c r="H156" s="4">
        <v>500</v>
      </c>
      <c r="I156" s="4">
        <v>2000</v>
      </c>
      <c r="J156" t="s">
        <v>18</v>
      </c>
      <c r="K156" t="str">
        <f>IFERROR(VLOOKUP(F156&amp;"|"&amp;H156,Feature_Mappings!$A$2:$C$16,2,FALSE()),"")</f>
        <v>Smartphone</v>
      </c>
      <c r="L156" t="str">
        <f>IFERROR(VLOOKUP(F156&amp;"|"&amp;H156,Feature_Mappings!$A$2:$C$16,3,FALSE()),"")</f>
        <v>NovaTech Wholesale</v>
      </c>
      <c r="M156" t="str">
        <f>IFERROR(VLOOKUP(J156,Feature_Mappings!$D$2:$E$5,2,FALSE()),"")</f>
        <v>Olivia Bennett</v>
      </c>
      <c r="N156" t="s">
        <v>19</v>
      </c>
      <c r="O156" t="str">
        <f>IFERROR(INDEX(Store_Manager!$A$2:$A$5,MATCH(M156,Store_Manager!$B$2:$B$5,0)),"")</f>
        <v>MGR001</v>
      </c>
    </row>
    <row r="157" spans="1:15" ht="15.75" customHeight="1">
      <c r="A157">
        <v>156</v>
      </c>
      <c r="B157" s="2">
        <v>45255</v>
      </c>
      <c r="C157" t="s">
        <v>177</v>
      </c>
      <c r="D157" t="s">
        <v>21</v>
      </c>
      <c r="E157">
        <v>43</v>
      </c>
      <c r="F157" s="3" t="s">
        <v>22</v>
      </c>
      <c r="G157">
        <v>4</v>
      </c>
      <c r="H157" s="4">
        <v>25</v>
      </c>
      <c r="I157" s="4">
        <v>100</v>
      </c>
      <c r="J157" t="s">
        <v>18</v>
      </c>
      <c r="K157" t="str">
        <f>IFERROR(VLOOKUP(F157&amp;"|"&amp;H157,Feature_Mappings!$A$2:$C$16,2,FALSE()),"")</f>
        <v>Cotton Socks</v>
      </c>
      <c r="L157" t="str">
        <f>IFERROR(VLOOKUP(F157&amp;"|"&amp;H157,Feature_Mappings!$A$2:$C$16,3,FALSE()),"")</f>
        <v>Urban Basics Co.</v>
      </c>
      <c r="M157" t="str">
        <f>IFERROR(VLOOKUP(J157,Feature_Mappings!$D$2:$E$5,2,FALSE()),"")</f>
        <v>Olivia Bennett</v>
      </c>
      <c r="N157" t="s">
        <v>19</v>
      </c>
      <c r="O157" t="str">
        <f>IFERROR(INDEX(Store_Manager!$A$2:$A$5,MATCH(M157,Store_Manager!$B$2:$B$5,0)),"")</f>
        <v>MGR001</v>
      </c>
    </row>
    <row r="158" spans="1:15" ht="15.75" customHeight="1">
      <c r="A158">
        <v>157</v>
      </c>
      <c r="B158" s="2">
        <v>45101</v>
      </c>
      <c r="C158" t="s">
        <v>178</v>
      </c>
      <c r="D158" t="s">
        <v>16</v>
      </c>
      <c r="E158">
        <v>62</v>
      </c>
      <c r="F158" s="3" t="s">
        <v>24</v>
      </c>
      <c r="G158">
        <v>4</v>
      </c>
      <c r="H158" s="4">
        <v>500</v>
      </c>
      <c r="I158" s="4">
        <v>2000</v>
      </c>
      <c r="J158" t="s">
        <v>18</v>
      </c>
      <c r="K158" t="str">
        <f>IFERROR(VLOOKUP(F158&amp;"|"&amp;H158,Feature_Mappings!$A$2:$C$16,2,FALSE()),"")</f>
        <v>Smartphone</v>
      </c>
      <c r="L158" t="str">
        <f>IFERROR(VLOOKUP(F158&amp;"|"&amp;H158,Feature_Mappings!$A$2:$C$16,3,FALSE()),"")</f>
        <v>NovaTech Wholesale</v>
      </c>
      <c r="M158" t="str">
        <f>IFERROR(VLOOKUP(J158,Feature_Mappings!$D$2:$E$5,2,FALSE()),"")</f>
        <v>Olivia Bennett</v>
      </c>
      <c r="N158" t="s">
        <v>19</v>
      </c>
      <c r="O158" t="str">
        <f>IFERROR(INDEX(Store_Manager!$A$2:$A$5,MATCH(M158,Store_Manager!$B$2:$B$5,0)),"")</f>
        <v>MGR001</v>
      </c>
    </row>
    <row r="159" spans="1:15" ht="15.75" customHeight="1">
      <c r="A159">
        <v>158</v>
      </c>
      <c r="B159" s="2">
        <v>44984</v>
      </c>
      <c r="C159" t="s">
        <v>179</v>
      </c>
      <c r="D159" t="s">
        <v>21</v>
      </c>
      <c r="E159">
        <v>44</v>
      </c>
      <c r="F159" s="3" t="s">
        <v>24</v>
      </c>
      <c r="G159">
        <v>2</v>
      </c>
      <c r="H159" s="4">
        <v>300</v>
      </c>
      <c r="I159" s="4">
        <v>600</v>
      </c>
      <c r="J159" t="s">
        <v>18</v>
      </c>
      <c r="K159" t="str">
        <f>IFERROR(VLOOKUP(F159&amp;"|"&amp;H159,Feature_Mappings!$A$2:$C$16,2,FALSE()),"")</f>
        <v>Tablet</v>
      </c>
      <c r="L159" t="str">
        <f>IFERROR(VLOOKUP(F159&amp;"|"&amp;H159,Feature_Mappings!$A$2:$C$16,3,FALSE()),"")</f>
        <v>NextGen Devices</v>
      </c>
      <c r="M159" t="str">
        <f>IFERROR(VLOOKUP(J159,Feature_Mappings!$D$2:$E$5,2,FALSE()),"")</f>
        <v>Olivia Bennett</v>
      </c>
      <c r="N159" t="s">
        <v>19</v>
      </c>
      <c r="O159" t="str">
        <f>IFERROR(INDEX(Store_Manager!$A$2:$A$5,MATCH(M159,Store_Manager!$B$2:$B$5,0)),"")</f>
        <v>MGR001</v>
      </c>
    </row>
    <row r="160" spans="1:15" ht="15.75" customHeight="1">
      <c r="A160">
        <v>159</v>
      </c>
      <c r="B160" s="2">
        <v>45077</v>
      </c>
      <c r="C160" t="s">
        <v>180</v>
      </c>
      <c r="D160" t="s">
        <v>16</v>
      </c>
      <c r="E160">
        <v>26</v>
      </c>
      <c r="F160" s="3" t="s">
        <v>22</v>
      </c>
      <c r="G160">
        <v>4</v>
      </c>
      <c r="H160" s="4">
        <v>50</v>
      </c>
      <c r="I160" s="4">
        <v>200</v>
      </c>
      <c r="J160" t="s">
        <v>18</v>
      </c>
      <c r="K160" t="str">
        <f>IFERROR(VLOOKUP(F160&amp;"|"&amp;H160,Feature_Mappings!$A$2:$C$16,2,FALSE()),"")</f>
        <v>Denim Jeans</v>
      </c>
      <c r="L160" t="str">
        <f>IFERROR(VLOOKUP(F160&amp;"|"&amp;H160,Feature_Mappings!$A$2:$C$16,3,FALSE()),"")</f>
        <v>BlueFit Garments</v>
      </c>
      <c r="M160" t="str">
        <f>IFERROR(VLOOKUP(J160,Feature_Mappings!$D$2:$E$5,2,FALSE()),"")</f>
        <v>Olivia Bennett</v>
      </c>
      <c r="N160" t="s">
        <v>19</v>
      </c>
      <c r="O160" t="str">
        <f>IFERROR(INDEX(Store_Manager!$A$2:$A$5,MATCH(M160,Store_Manager!$B$2:$B$5,0)),"")</f>
        <v>MGR001</v>
      </c>
    </row>
    <row r="161" spans="1:15" ht="15.75" customHeight="1">
      <c r="A161">
        <v>160</v>
      </c>
      <c r="B161" s="2">
        <v>45149</v>
      </c>
      <c r="C161" t="s">
        <v>181</v>
      </c>
      <c r="D161" t="s">
        <v>21</v>
      </c>
      <c r="E161">
        <v>43</v>
      </c>
      <c r="F161" s="3" t="s">
        <v>22</v>
      </c>
      <c r="G161">
        <v>2</v>
      </c>
      <c r="H161" s="4">
        <v>50</v>
      </c>
      <c r="I161" s="4">
        <v>100</v>
      </c>
      <c r="J161" t="s">
        <v>18</v>
      </c>
      <c r="K161" t="str">
        <f>IFERROR(VLOOKUP(F161&amp;"|"&amp;H161,Feature_Mappings!$A$2:$C$16,2,FALSE()),"")</f>
        <v>Denim Jeans</v>
      </c>
      <c r="L161" t="str">
        <f>IFERROR(VLOOKUP(F161&amp;"|"&amp;H161,Feature_Mappings!$A$2:$C$16,3,FALSE()),"")</f>
        <v>BlueFit Garments</v>
      </c>
      <c r="M161" t="str">
        <f>IFERROR(VLOOKUP(J161,Feature_Mappings!$D$2:$E$5,2,FALSE()),"")</f>
        <v>Olivia Bennett</v>
      </c>
      <c r="N161" t="s">
        <v>19</v>
      </c>
      <c r="O161" t="str">
        <f>IFERROR(INDEX(Store_Manager!$A$2:$A$5,MATCH(M161,Store_Manager!$B$2:$B$5,0)),"")</f>
        <v>MGR001</v>
      </c>
    </row>
    <row r="162" spans="1:15" ht="15.75" customHeight="1">
      <c r="A162">
        <v>161</v>
      </c>
      <c r="B162" s="2">
        <v>45007</v>
      </c>
      <c r="C162" t="s">
        <v>182</v>
      </c>
      <c r="D162" t="s">
        <v>16</v>
      </c>
      <c r="E162">
        <v>64</v>
      </c>
      <c r="F162" s="3" t="s">
        <v>17</v>
      </c>
      <c r="G162">
        <v>2</v>
      </c>
      <c r="H162" s="4">
        <v>500</v>
      </c>
      <c r="I162" s="4">
        <v>1000</v>
      </c>
      <c r="J162" t="s">
        <v>18</v>
      </c>
      <c r="K162" t="str">
        <f>IFERROR(VLOOKUP(F162&amp;"|"&amp;H162,Feature_Mappings!$A$2:$C$16,2,FALSE()),"")</f>
        <v>LED Beauty Device</v>
      </c>
      <c r="L162" t="str">
        <f>IFERROR(VLOOKUP(F162&amp;"|"&amp;H162,Feature_Mappings!$A$2:$C$16,3,FALSE()),"")</f>
        <v>BeautyTech Pro</v>
      </c>
      <c r="M162" t="str">
        <f>IFERROR(VLOOKUP(J162,Feature_Mappings!$D$2:$E$5,2,FALSE()),"")</f>
        <v>Olivia Bennett</v>
      </c>
      <c r="N162" t="s">
        <v>19</v>
      </c>
      <c r="O162" t="str">
        <f>IFERROR(INDEX(Store_Manager!$A$2:$A$5,MATCH(M162,Store_Manager!$B$2:$B$5,0)),"")</f>
        <v>MGR001</v>
      </c>
    </row>
    <row r="163" spans="1:15" ht="15.75" customHeight="1">
      <c r="A163">
        <v>162</v>
      </c>
      <c r="B163" s="2">
        <v>45159</v>
      </c>
      <c r="C163" t="s">
        <v>183</v>
      </c>
      <c r="D163" t="s">
        <v>16</v>
      </c>
      <c r="E163">
        <v>39</v>
      </c>
      <c r="F163" s="3" t="s">
        <v>22</v>
      </c>
      <c r="G163">
        <v>2</v>
      </c>
      <c r="H163" s="4">
        <v>30</v>
      </c>
      <c r="I163" s="4">
        <v>60</v>
      </c>
      <c r="J163" t="s">
        <v>18</v>
      </c>
      <c r="K163" t="str">
        <f>IFERROR(VLOOKUP(F163&amp;"|"&amp;H163,Feature_Mappings!$A$2:$C$16,2,FALSE()),"")</f>
        <v>Graphic T-Shirt</v>
      </c>
      <c r="L163" t="str">
        <f>IFERROR(VLOOKUP(F163&amp;"|"&amp;H163,Feature_Mappings!$A$2:$C$16,3,FALSE()),"")</f>
        <v>ThreadWorks Apparel</v>
      </c>
      <c r="M163" t="str">
        <f>IFERROR(VLOOKUP(J163,Feature_Mappings!$D$2:$E$5,2,FALSE()),"")</f>
        <v>Olivia Bennett</v>
      </c>
      <c r="N163" t="s">
        <v>19</v>
      </c>
      <c r="O163" t="str">
        <f>IFERROR(INDEX(Store_Manager!$A$2:$A$5,MATCH(M163,Store_Manager!$B$2:$B$5,0)),"")</f>
        <v>MGR001</v>
      </c>
    </row>
    <row r="164" spans="1:15" ht="15.75" customHeight="1">
      <c r="A164">
        <v>163</v>
      </c>
      <c r="B164" s="2">
        <v>44928</v>
      </c>
      <c r="C164" t="s">
        <v>184</v>
      </c>
      <c r="D164" t="s">
        <v>21</v>
      </c>
      <c r="E164">
        <v>64</v>
      </c>
      <c r="F164" s="3" t="s">
        <v>22</v>
      </c>
      <c r="G164">
        <v>3</v>
      </c>
      <c r="H164" s="4">
        <v>50</v>
      </c>
      <c r="I164" s="4">
        <v>150</v>
      </c>
      <c r="J164" t="s">
        <v>18</v>
      </c>
      <c r="K164" t="str">
        <f>IFERROR(VLOOKUP(F164&amp;"|"&amp;H164,Feature_Mappings!$A$2:$C$16,2,FALSE()),"")</f>
        <v>Denim Jeans</v>
      </c>
      <c r="L164" t="str">
        <f>IFERROR(VLOOKUP(F164&amp;"|"&amp;H164,Feature_Mappings!$A$2:$C$16,3,FALSE()),"")</f>
        <v>BlueFit Garments</v>
      </c>
      <c r="M164" t="str">
        <f>IFERROR(VLOOKUP(J164,Feature_Mappings!$D$2:$E$5,2,FALSE()),"")</f>
        <v>Olivia Bennett</v>
      </c>
      <c r="N164" t="s">
        <v>19</v>
      </c>
      <c r="O164" t="str">
        <f>IFERROR(INDEX(Store_Manager!$A$2:$A$5,MATCH(M164,Store_Manager!$B$2:$B$5,0)),"")</f>
        <v>MGR001</v>
      </c>
    </row>
    <row r="165" spans="1:15" ht="15.75" customHeight="1">
      <c r="A165">
        <v>164</v>
      </c>
      <c r="B165" s="2">
        <v>45061</v>
      </c>
      <c r="C165" t="s">
        <v>185</v>
      </c>
      <c r="D165" t="s">
        <v>21</v>
      </c>
      <c r="E165">
        <v>47</v>
      </c>
      <c r="F165" s="3" t="s">
        <v>17</v>
      </c>
      <c r="G165">
        <v>3</v>
      </c>
      <c r="H165" s="4">
        <v>500</v>
      </c>
      <c r="I165" s="4">
        <v>1500</v>
      </c>
      <c r="J165" t="s">
        <v>18</v>
      </c>
      <c r="K165" t="str">
        <f>IFERROR(VLOOKUP(F165&amp;"|"&amp;H165,Feature_Mappings!$A$2:$C$16,2,FALSE()),"")</f>
        <v>LED Beauty Device</v>
      </c>
      <c r="L165" t="str">
        <f>IFERROR(VLOOKUP(F165&amp;"|"&amp;H165,Feature_Mappings!$A$2:$C$16,3,FALSE()),"")</f>
        <v>BeautyTech Pro</v>
      </c>
      <c r="M165" t="str">
        <f>IFERROR(VLOOKUP(J165,Feature_Mappings!$D$2:$E$5,2,FALSE()),"")</f>
        <v>Olivia Bennett</v>
      </c>
      <c r="N165" t="s">
        <v>19</v>
      </c>
      <c r="O165" t="str">
        <f>IFERROR(INDEX(Store_Manager!$A$2:$A$5,MATCH(M165,Store_Manager!$B$2:$B$5,0)),"")</f>
        <v>MGR001</v>
      </c>
    </row>
    <row r="166" spans="1:15" ht="15.75" customHeight="1">
      <c r="A166">
        <v>165</v>
      </c>
      <c r="B166" s="2">
        <v>45183</v>
      </c>
      <c r="C166" t="s">
        <v>186</v>
      </c>
      <c r="D166" t="s">
        <v>21</v>
      </c>
      <c r="E166">
        <v>60</v>
      </c>
      <c r="F166" s="3" t="s">
        <v>22</v>
      </c>
      <c r="G166">
        <v>4</v>
      </c>
      <c r="H166" s="4">
        <v>300</v>
      </c>
      <c r="I166" s="4">
        <v>1200</v>
      </c>
      <c r="J166" t="s">
        <v>18</v>
      </c>
      <c r="K166" t="str">
        <f>IFERROR(VLOOKUP(F166&amp;"|"&amp;H166,Feature_Mappings!$A$2:$C$16,2,FALSE()),"")</f>
        <v>Leather Jacket</v>
      </c>
      <c r="L166" t="str">
        <f>IFERROR(VLOOKUP(F166&amp;"|"&amp;H166,Feature_Mappings!$A$2:$C$16,3,FALSE()),"")</f>
        <v>Metro Style Manufacturing</v>
      </c>
      <c r="M166" t="str">
        <f>IFERROR(VLOOKUP(J166,Feature_Mappings!$D$2:$E$5,2,FALSE()),"")</f>
        <v>Olivia Bennett</v>
      </c>
      <c r="N166" t="s">
        <v>19</v>
      </c>
      <c r="O166" t="str">
        <f>IFERROR(INDEX(Store_Manager!$A$2:$A$5,MATCH(M166,Store_Manager!$B$2:$B$5,0)),"")</f>
        <v>MGR001</v>
      </c>
    </row>
    <row r="167" spans="1:15" ht="15.75" customHeight="1">
      <c r="A167">
        <v>166</v>
      </c>
      <c r="B167" s="2">
        <v>45018</v>
      </c>
      <c r="C167" t="s">
        <v>187</v>
      </c>
      <c r="D167" t="s">
        <v>16</v>
      </c>
      <c r="E167">
        <v>34</v>
      </c>
      <c r="F167" s="3" t="s">
        <v>22</v>
      </c>
      <c r="G167">
        <v>4</v>
      </c>
      <c r="H167" s="4">
        <v>500</v>
      </c>
      <c r="I167" s="4">
        <v>2000</v>
      </c>
      <c r="J167" t="s">
        <v>18</v>
      </c>
      <c r="K167" t="str">
        <f>IFERROR(VLOOKUP(F167&amp;"|"&amp;H167,Feature_Mappings!$A$2:$C$16,2,FALSE()),"")</f>
        <v>Designer Coat</v>
      </c>
      <c r="L167" t="str">
        <f>IFERROR(VLOOKUP(F167&amp;"|"&amp;H167,Feature_Mappings!$A$2:$C$16,3,FALSE()),"")</f>
        <v>Prestige Fashion House</v>
      </c>
      <c r="M167" t="str">
        <f>IFERROR(VLOOKUP(J167,Feature_Mappings!$D$2:$E$5,2,FALSE()),"")</f>
        <v>Olivia Bennett</v>
      </c>
      <c r="N167" t="s">
        <v>19</v>
      </c>
      <c r="O167" t="str">
        <f>IFERROR(INDEX(Store_Manager!$A$2:$A$5,MATCH(M167,Store_Manager!$B$2:$B$5,0)),"")</f>
        <v>MGR001</v>
      </c>
    </row>
    <row r="168" spans="1:15" ht="15.75" customHeight="1">
      <c r="A168">
        <v>167</v>
      </c>
      <c r="B168" s="2">
        <v>45186</v>
      </c>
      <c r="C168" t="s">
        <v>188</v>
      </c>
      <c r="D168" t="s">
        <v>21</v>
      </c>
      <c r="E168">
        <v>43</v>
      </c>
      <c r="F168" s="3" t="s">
        <v>22</v>
      </c>
      <c r="G168">
        <v>3</v>
      </c>
      <c r="H168" s="4">
        <v>50</v>
      </c>
      <c r="I168" s="4">
        <v>150</v>
      </c>
      <c r="J168" t="s">
        <v>18</v>
      </c>
      <c r="K168" t="str">
        <f>IFERROR(VLOOKUP(F168&amp;"|"&amp;H168,Feature_Mappings!$A$2:$C$16,2,FALSE()),"")</f>
        <v>Denim Jeans</v>
      </c>
      <c r="L168" t="str">
        <f>IFERROR(VLOOKUP(F168&amp;"|"&amp;H168,Feature_Mappings!$A$2:$C$16,3,FALSE()),"")</f>
        <v>BlueFit Garments</v>
      </c>
      <c r="M168" t="str">
        <f>IFERROR(VLOOKUP(J168,Feature_Mappings!$D$2:$E$5,2,FALSE()),"")</f>
        <v>Olivia Bennett</v>
      </c>
      <c r="N168" t="s">
        <v>19</v>
      </c>
      <c r="O168" t="str">
        <f>IFERROR(INDEX(Store_Manager!$A$2:$A$5,MATCH(M168,Store_Manager!$B$2:$B$5,0)),"")</f>
        <v>MGR001</v>
      </c>
    </row>
    <row r="169" spans="1:15" ht="15.75" customHeight="1">
      <c r="A169">
        <v>168</v>
      </c>
      <c r="B169" s="2">
        <v>44981</v>
      </c>
      <c r="C169" t="s">
        <v>189</v>
      </c>
      <c r="D169" t="s">
        <v>16</v>
      </c>
      <c r="E169">
        <v>53</v>
      </c>
      <c r="F169" s="3" t="s">
        <v>22</v>
      </c>
      <c r="G169">
        <v>1</v>
      </c>
      <c r="H169" s="4">
        <v>300</v>
      </c>
      <c r="I169" s="4">
        <v>300</v>
      </c>
      <c r="J169" t="s">
        <v>18</v>
      </c>
      <c r="K169" t="str">
        <f>IFERROR(VLOOKUP(F169&amp;"|"&amp;H169,Feature_Mappings!$A$2:$C$16,2,FALSE()),"")</f>
        <v>Leather Jacket</v>
      </c>
      <c r="L169" t="str">
        <f>IFERROR(VLOOKUP(F169&amp;"|"&amp;H169,Feature_Mappings!$A$2:$C$16,3,FALSE()),"")</f>
        <v>Metro Style Manufacturing</v>
      </c>
      <c r="M169" t="str">
        <f>IFERROR(VLOOKUP(J169,Feature_Mappings!$D$2:$E$5,2,FALSE()),"")</f>
        <v>Olivia Bennett</v>
      </c>
      <c r="N169" t="s">
        <v>19</v>
      </c>
      <c r="O169" t="str">
        <f>IFERROR(INDEX(Store_Manager!$A$2:$A$5,MATCH(M169,Store_Manager!$B$2:$B$5,0)),"")</f>
        <v>MGR001</v>
      </c>
    </row>
    <row r="170" spans="1:15" ht="15.75" customHeight="1">
      <c r="A170">
        <v>169</v>
      </c>
      <c r="B170" s="2">
        <v>45247</v>
      </c>
      <c r="C170" t="s">
        <v>190</v>
      </c>
      <c r="D170" t="s">
        <v>16</v>
      </c>
      <c r="E170">
        <v>18</v>
      </c>
      <c r="F170" s="3" t="s">
        <v>17</v>
      </c>
      <c r="G170">
        <v>3</v>
      </c>
      <c r="H170" s="4">
        <v>500</v>
      </c>
      <c r="I170" s="4">
        <v>1500</v>
      </c>
      <c r="J170" t="s">
        <v>18</v>
      </c>
      <c r="K170" t="str">
        <f>IFERROR(VLOOKUP(F170&amp;"|"&amp;H170,Feature_Mappings!$A$2:$C$16,2,FALSE()),"")</f>
        <v>LED Beauty Device</v>
      </c>
      <c r="L170" t="str">
        <f>IFERROR(VLOOKUP(F170&amp;"|"&amp;H170,Feature_Mappings!$A$2:$C$16,3,FALSE()),"")</f>
        <v>BeautyTech Pro</v>
      </c>
      <c r="M170" t="str">
        <f>IFERROR(VLOOKUP(J170,Feature_Mappings!$D$2:$E$5,2,FALSE()),"")</f>
        <v>Olivia Bennett</v>
      </c>
      <c r="N170" t="s">
        <v>19</v>
      </c>
      <c r="O170" t="str">
        <f>IFERROR(INDEX(Store_Manager!$A$2:$A$5,MATCH(M170,Store_Manager!$B$2:$B$5,0)),"")</f>
        <v>MGR001</v>
      </c>
    </row>
    <row r="171" spans="1:15" ht="15.75" customHeight="1">
      <c r="A171">
        <v>170</v>
      </c>
      <c r="B171" s="2">
        <v>45079</v>
      </c>
      <c r="C171" t="s">
        <v>191</v>
      </c>
      <c r="D171" t="s">
        <v>21</v>
      </c>
      <c r="E171">
        <v>25</v>
      </c>
      <c r="F171" s="3" t="s">
        <v>22</v>
      </c>
      <c r="G171">
        <v>2</v>
      </c>
      <c r="H171" s="4">
        <v>25</v>
      </c>
      <c r="I171" s="4">
        <v>50</v>
      </c>
      <c r="J171" t="s">
        <v>18</v>
      </c>
      <c r="K171" t="str">
        <f>IFERROR(VLOOKUP(F171&amp;"|"&amp;H171,Feature_Mappings!$A$2:$C$16,2,FALSE()),"")</f>
        <v>Cotton Socks</v>
      </c>
      <c r="L171" t="str">
        <f>IFERROR(VLOOKUP(F171&amp;"|"&amp;H171,Feature_Mappings!$A$2:$C$16,3,FALSE()),"")</f>
        <v>Urban Basics Co.</v>
      </c>
      <c r="M171" t="str">
        <f>IFERROR(VLOOKUP(J171,Feature_Mappings!$D$2:$E$5,2,FALSE()),"")</f>
        <v>Olivia Bennett</v>
      </c>
      <c r="N171" t="s">
        <v>19</v>
      </c>
      <c r="O171" t="str">
        <f>IFERROR(INDEX(Store_Manager!$A$2:$A$5,MATCH(M171,Store_Manager!$B$2:$B$5,0)),"")</f>
        <v>MGR001</v>
      </c>
    </row>
    <row r="172" spans="1:15" ht="15.75" customHeight="1">
      <c r="A172">
        <v>171</v>
      </c>
      <c r="B172" s="2">
        <v>45254</v>
      </c>
      <c r="C172" t="s">
        <v>192</v>
      </c>
      <c r="D172" t="s">
        <v>21</v>
      </c>
      <c r="E172">
        <v>52</v>
      </c>
      <c r="F172" s="3" t="s">
        <v>22</v>
      </c>
      <c r="G172">
        <v>3</v>
      </c>
      <c r="H172" s="4">
        <v>300</v>
      </c>
      <c r="I172" s="4">
        <v>900</v>
      </c>
      <c r="J172" t="s">
        <v>18</v>
      </c>
      <c r="K172" t="str">
        <f>IFERROR(VLOOKUP(F172&amp;"|"&amp;H172,Feature_Mappings!$A$2:$C$16,2,FALSE()),"")</f>
        <v>Leather Jacket</v>
      </c>
      <c r="L172" t="str">
        <f>IFERROR(VLOOKUP(F172&amp;"|"&amp;H172,Feature_Mappings!$A$2:$C$16,3,FALSE()),"")</f>
        <v>Metro Style Manufacturing</v>
      </c>
      <c r="M172" t="str">
        <f>IFERROR(VLOOKUP(J172,Feature_Mappings!$D$2:$E$5,2,FALSE()),"")</f>
        <v>Olivia Bennett</v>
      </c>
      <c r="N172" t="s">
        <v>19</v>
      </c>
      <c r="O172" t="str">
        <f>IFERROR(INDEX(Store_Manager!$A$2:$A$5,MATCH(M172,Store_Manager!$B$2:$B$5,0)),"")</f>
        <v>MGR001</v>
      </c>
    </row>
    <row r="173" spans="1:15" ht="15.75" customHeight="1">
      <c r="A173">
        <v>172</v>
      </c>
      <c r="B173" s="2">
        <v>45186</v>
      </c>
      <c r="C173" t="s">
        <v>193</v>
      </c>
      <c r="D173" t="s">
        <v>16</v>
      </c>
      <c r="E173">
        <v>32</v>
      </c>
      <c r="F173" s="3" t="s">
        <v>17</v>
      </c>
      <c r="G173">
        <v>2</v>
      </c>
      <c r="H173" s="4">
        <v>25</v>
      </c>
      <c r="I173" s="4">
        <v>50</v>
      </c>
      <c r="J173" t="s">
        <v>18</v>
      </c>
      <c r="K173" t="str">
        <f>IFERROR(VLOOKUP(F173&amp;"|"&amp;H173,Feature_Mappings!$A$2:$C$16,2,FALSE()),"")</f>
        <v>Lip Balm</v>
      </c>
      <c r="L173" t="str">
        <f>IFERROR(VLOOKUP(F173&amp;"|"&amp;H173,Feature_Mappings!$A$2:$C$16,3,FALSE()),"")</f>
        <v>GlowSource Cosmetics</v>
      </c>
      <c r="M173" t="str">
        <f>IFERROR(VLOOKUP(J173,Feature_Mappings!$D$2:$E$5,2,FALSE()),"")</f>
        <v>Olivia Bennett</v>
      </c>
      <c r="N173" t="s">
        <v>19</v>
      </c>
      <c r="O173" t="str">
        <f>IFERROR(INDEX(Store_Manager!$A$2:$A$5,MATCH(M173,Store_Manager!$B$2:$B$5,0)),"")</f>
        <v>MGR001</v>
      </c>
    </row>
    <row r="174" spans="1:15" ht="15.75" customHeight="1">
      <c r="A174">
        <v>173</v>
      </c>
      <c r="B174" s="2">
        <v>45238</v>
      </c>
      <c r="C174" t="s">
        <v>194</v>
      </c>
      <c r="D174" t="s">
        <v>16</v>
      </c>
      <c r="E174">
        <v>64</v>
      </c>
      <c r="F174" s="3" t="s">
        <v>24</v>
      </c>
      <c r="G174">
        <v>4</v>
      </c>
      <c r="H174" s="4">
        <v>30</v>
      </c>
      <c r="I174" s="4">
        <v>120</v>
      </c>
      <c r="J174" t="s">
        <v>18</v>
      </c>
      <c r="K174" t="str">
        <f>IFERROR(VLOOKUP(F174&amp;"|"&amp;H174,Feature_Mappings!$A$2:$C$16,2,FALSE()),"")</f>
        <v>Wireless Mouse</v>
      </c>
      <c r="L174" t="str">
        <f>IFERROR(VLOOKUP(F174&amp;"|"&amp;H174,Feature_Mappings!$A$2:$C$16,3,FALSE()),"")</f>
        <v>ByteWave Distributors</v>
      </c>
      <c r="M174" t="str">
        <f>IFERROR(VLOOKUP(J174,Feature_Mappings!$D$2:$E$5,2,FALSE()),"")</f>
        <v>Olivia Bennett</v>
      </c>
      <c r="N174" t="s">
        <v>19</v>
      </c>
      <c r="O174" t="str">
        <f>IFERROR(INDEX(Store_Manager!$A$2:$A$5,MATCH(M174,Store_Manager!$B$2:$B$5,0)),"")</f>
        <v>MGR001</v>
      </c>
    </row>
    <row r="175" spans="1:15" ht="15.75" customHeight="1">
      <c r="A175">
        <v>174</v>
      </c>
      <c r="B175" s="2">
        <v>45028</v>
      </c>
      <c r="C175" t="s">
        <v>195</v>
      </c>
      <c r="D175" t="s">
        <v>21</v>
      </c>
      <c r="E175">
        <v>39</v>
      </c>
      <c r="F175" s="3" t="s">
        <v>17</v>
      </c>
      <c r="G175">
        <v>1</v>
      </c>
      <c r="H175" s="4">
        <v>300</v>
      </c>
      <c r="I175" s="4">
        <v>300</v>
      </c>
      <c r="J175" t="s">
        <v>18</v>
      </c>
      <c r="K175" t="str">
        <f>IFERROR(VLOOKUP(F175&amp;"|"&amp;H175,Feature_Mappings!$A$2:$C$16,2,FALSE()),"")</f>
        <v>Skincare Gift Set</v>
      </c>
      <c r="L175" t="str">
        <f>IFERROR(VLOOKUP(F175&amp;"|"&amp;H175,Feature_Mappings!$A$2:$C$16,3,FALSE()),"")</f>
        <v>Radiant Beauty Wholesale</v>
      </c>
      <c r="M175" t="str">
        <f>IFERROR(VLOOKUP(J175,Feature_Mappings!$D$2:$E$5,2,FALSE()),"")</f>
        <v>Olivia Bennett</v>
      </c>
      <c r="N175" t="s">
        <v>19</v>
      </c>
      <c r="O175" t="str">
        <f>IFERROR(INDEX(Store_Manager!$A$2:$A$5,MATCH(M175,Store_Manager!$B$2:$B$5,0)),"")</f>
        <v>MGR001</v>
      </c>
    </row>
    <row r="176" spans="1:15" ht="15.75" customHeight="1">
      <c r="A176">
        <v>175</v>
      </c>
      <c r="B176" s="2">
        <v>45005</v>
      </c>
      <c r="C176" t="s">
        <v>196</v>
      </c>
      <c r="D176" t="s">
        <v>21</v>
      </c>
      <c r="E176">
        <v>31</v>
      </c>
      <c r="F176" s="3" t="s">
        <v>24</v>
      </c>
      <c r="G176">
        <v>4</v>
      </c>
      <c r="H176" s="4">
        <v>25</v>
      </c>
      <c r="I176" s="4">
        <v>100</v>
      </c>
      <c r="J176" t="s">
        <v>18</v>
      </c>
      <c r="K176" t="str">
        <f>IFERROR(VLOOKUP(F176&amp;"|"&amp;H176,Feature_Mappings!$A$2:$C$16,2,FALSE()),"")</f>
        <v>USB-C Charger</v>
      </c>
      <c r="L176" t="str">
        <f>IFERROR(VLOOKUP(F176&amp;"|"&amp;H176,Feature_Mappings!$A$2:$C$16,3,FALSE()),"")</f>
        <v>VoltEdge Electronics</v>
      </c>
      <c r="M176" t="str">
        <f>IFERROR(VLOOKUP(J176,Feature_Mappings!$D$2:$E$5,2,FALSE()),"")</f>
        <v>Olivia Bennett</v>
      </c>
      <c r="N176" t="s">
        <v>19</v>
      </c>
      <c r="O176" t="str">
        <f>IFERROR(INDEX(Store_Manager!$A$2:$A$5,MATCH(M176,Store_Manager!$B$2:$B$5,0)),"")</f>
        <v>MGR001</v>
      </c>
    </row>
    <row r="177" spans="1:15" ht="15.75" customHeight="1">
      <c r="A177">
        <v>176</v>
      </c>
      <c r="B177" s="2">
        <v>45118</v>
      </c>
      <c r="C177" t="s">
        <v>197</v>
      </c>
      <c r="D177" t="s">
        <v>21</v>
      </c>
      <c r="E177">
        <v>43</v>
      </c>
      <c r="F177" s="3" t="s">
        <v>17</v>
      </c>
      <c r="G177">
        <v>2</v>
      </c>
      <c r="H177" s="4">
        <v>50</v>
      </c>
      <c r="I177" s="4">
        <v>100</v>
      </c>
      <c r="J177" t="s">
        <v>18</v>
      </c>
      <c r="K177" t="str">
        <f>IFERROR(VLOOKUP(F177&amp;"|"&amp;H177,Feature_Mappings!$A$2:$C$16,2,FALSE()),"")</f>
        <v>Eau de Parfum</v>
      </c>
      <c r="L177" t="str">
        <f>IFERROR(VLOOKUP(F177&amp;"|"&amp;H177,Feature_Mappings!$A$2:$C$16,3,FALSE()),"")</f>
        <v>Luxe Aroma Labs</v>
      </c>
      <c r="M177" t="str">
        <f>IFERROR(VLOOKUP(J177,Feature_Mappings!$D$2:$E$5,2,FALSE()),"")</f>
        <v>Olivia Bennett</v>
      </c>
      <c r="N177" t="s">
        <v>19</v>
      </c>
      <c r="O177" t="str">
        <f>IFERROR(INDEX(Store_Manager!$A$2:$A$5,MATCH(M177,Store_Manager!$B$2:$B$5,0)),"")</f>
        <v>MGR001</v>
      </c>
    </row>
    <row r="178" spans="1:15" ht="15.75" customHeight="1">
      <c r="A178">
        <v>177</v>
      </c>
      <c r="B178" s="2">
        <v>45009</v>
      </c>
      <c r="C178" t="s">
        <v>198</v>
      </c>
      <c r="D178" t="s">
        <v>16</v>
      </c>
      <c r="E178">
        <v>45</v>
      </c>
      <c r="F178" s="3" t="s">
        <v>17</v>
      </c>
      <c r="G178">
        <v>2</v>
      </c>
      <c r="H178" s="4">
        <v>50</v>
      </c>
      <c r="I178" s="4">
        <v>100</v>
      </c>
      <c r="J178" t="s">
        <v>18</v>
      </c>
      <c r="K178" t="str">
        <f>IFERROR(VLOOKUP(F178&amp;"|"&amp;H178,Feature_Mappings!$A$2:$C$16,2,FALSE()),"")</f>
        <v>Eau de Parfum</v>
      </c>
      <c r="L178" t="str">
        <f>IFERROR(VLOOKUP(F178&amp;"|"&amp;H178,Feature_Mappings!$A$2:$C$16,3,FALSE()),"")</f>
        <v>Luxe Aroma Labs</v>
      </c>
      <c r="M178" t="str">
        <f>IFERROR(VLOOKUP(J178,Feature_Mappings!$D$2:$E$5,2,FALSE()),"")</f>
        <v>Olivia Bennett</v>
      </c>
      <c r="N178" t="s">
        <v>19</v>
      </c>
      <c r="O178" t="str">
        <f>IFERROR(INDEX(Store_Manager!$A$2:$A$5,MATCH(M178,Store_Manager!$B$2:$B$5,0)),"")</f>
        <v>MGR001</v>
      </c>
    </row>
    <row r="179" spans="1:15" ht="15.75" customHeight="1">
      <c r="A179">
        <v>178</v>
      </c>
      <c r="B179" s="2">
        <v>45203</v>
      </c>
      <c r="C179" t="s">
        <v>199</v>
      </c>
      <c r="D179" t="s">
        <v>16</v>
      </c>
      <c r="E179">
        <v>40</v>
      </c>
      <c r="F179" s="3" t="s">
        <v>22</v>
      </c>
      <c r="G179">
        <v>2</v>
      </c>
      <c r="H179" s="4">
        <v>30</v>
      </c>
      <c r="I179" s="4">
        <v>60</v>
      </c>
      <c r="J179" t="s">
        <v>18</v>
      </c>
      <c r="K179" t="str">
        <f>IFERROR(VLOOKUP(F179&amp;"|"&amp;H179,Feature_Mappings!$A$2:$C$16,2,FALSE()),"")</f>
        <v>Graphic T-Shirt</v>
      </c>
      <c r="L179" t="str">
        <f>IFERROR(VLOOKUP(F179&amp;"|"&amp;H179,Feature_Mappings!$A$2:$C$16,3,FALSE()),"")</f>
        <v>ThreadWorks Apparel</v>
      </c>
      <c r="M179" t="str">
        <f>IFERROR(VLOOKUP(J179,Feature_Mappings!$D$2:$E$5,2,FALSE()),"")</f>
        <v>Olivia Bennett</v>
      </c>
      <c r="N179" t="s">
        <v>19</v>
      </c>
      <c r="O179" t="str">
        <f>IFERROR(INDEX(Store_Manager!$A$2:$A$5,MATCH(M179,Store_Manager!$B$2:$B$5,0)),"")</f>
        <v>MGR001</v>
      </c>
    </row>
    <row r="180" spans="1:15" ht="15.75" customHeight="1">
      <c r="A180">
        <v>179</v>
      </c>
      <c r="B180" s="2">
        <v>45198</v>
      </c>
      <c r="C180" t="s">
        <v>200</v>
      </c>
      <c r="D180" t="s">
        <v>16</v>
      </c>
      <c r="E180">
        <v>31</v>
      </c>
      <c r="F180" s="3" t="s">
        <v>24</v>
      </c>
      <c r="G180">
        <v>1</v>
      </c>
      <c r="H180" s="4">
        <v>300</v>
      </c>
      <c r="I180" s="4">
        <v>300</v>
      </c>
      <c r="J180" t="s">
        <v>18</v>
      </c>
      <c r="K180" t="str">
        <f>IFERROR(VLOOKUP(F180&amp;"|"&amp;H180,Feature_Mappings!$A$2:$C$16,2,FALSE()),"")</f>
        <v>Tablet</v>
      </c>
      <c r="L180" t="str">
        <f>IFERROR(VLOOKUP(F180&amp;"|"&amp;H180,Feature_Mappings!$A$2:$C$16,3,FALSE()),"")</f>
        <v>NextGen Devices</v>
      </c>
      <c r="M180" t="str">
        <f>IFERROR(VLOOKUP(J180,Feature_Mappings!$D$2:$E$5,2,FALSE()),"")</f>
        <v>Olivia Bennett</v>
      </c>
      <c r="N180" t="s">
        <v>19</v>
      </c>
      <c r="O180" t="str">
        <f>IFERROR(INDEX(Store_Manager!$A$2:$A$5,MATCH(M180,Store_Manager!$B$2:$B$5,0)),"")</f>
        <v>MGR001</v>
      </c>
    </row>
    <row r="181" spans="1:15" ht="15.75" customHeight="1">
      <c r="A181">
        <v>180</v>
      </c>
      <c r="B181" s="2">
        <v>44927</v>
      </c>
      <c r="C181" t="s">
        <v>201</v>
      </c>
      <c r="D181" t="s">
        <v>16</v>
      </c>
      <c r="E181">
        <v>41</v>
      </c>
      <c r="F181" s="3" t="s">
        <v>22</v>
      </c>
      <c r="G181">
        <v>3</v>
      </c>
      <c r="H181" s="4">
        <v>300</v>
      </c>
      <c r="I181" s="4">
        <v>900</v>
      </c>
      <c r="J181" t="s">
        <v>18</v>
      </c>
      <c r="K181" t="str">
        <f>IFERROR(VLOOKUP(F181&amp;"|"&amp;H181,Feature_Mappings!$A$2:$C$16,2,FALSE()),"")</f>
        <v>Leather Jacket</v>
      </c>
      <c r="L181" t="str">
        <f>IFERROR(VLOOKUP(F181&amp;"|"&amp;H181,Feature_Mappings!$A$2:$C$16,3,FALSE()),"")</f>
        <v>Metro Style Manufacturing</v>
      </c>
      <c r="M181" t="str">
        <f>IFERROR(VLOOKUP(J181,Feature_Mappings!$D$2:$E$5,2,FALSE()),"")</f>
        <v>Olivia Bennett</v>
      </c>
      <c r="N181" t="s">
        <v>19</v>
      </c>
      <c r="O181" t="str">
        <f>IFERROR(INDEX(Store_Manager!$A$2:$A$5,MATCH(M181,Store_Manager!$B$2:$B$5,0)),"")</f>
        <v>MGR001</v>
      </c>
    </row>
    <row r="182" spans="1:15" ht="15.75" customHeight="1">
      <c r="A182">
        <v>181</v>
      </c>
      <c r="B182" s="2">
        <v>45233</v>
      </c>
      <c r="C182" t="s">
        <v>202</v>
      </c>
      <c r="D182" t="s">
        <v>16</v>
      </c>
      <c r="E182">
        <v>19</v>
      </c>
      <c r="F182" s="3" t="s">
        <v>24</v>
      </c>
      <c r="G182">
        <v>4</v>
      </c>
      <c r="H182" s="4">
        <v>300</v>
      </c>
      <c r="I182" s="4">
        <v>1200</v>
      </c>
      <c r="J182" t="s">
        <v>18</v>
      </c>
      <c r="K182" t="str">
        <f>IFERROR(VLOOKUP(F182&amp;"|"&amp;H182,Feature_Mappings!$A$2:$C$16,2,FALSE()),"")</f>
        <v>Tablet</v>
      </c>
      <c r="L182" t="str">
        <f>IFERROR(VLOOKUP(F182&amp;"|"&amp;H182,Feature_Mappings!$A$2:$C$16,3,FALSE()),"")</f>
        <v>NextGen Devices</v>
      </c>
      <c r="M182" t="str">
        <f>IFERROR(VLOOKUP(J182,Feature_Mappings!$D$2:$E$5,2,FALSE()),"")</f>
        <v>Olivia Bennett</v>
      </c>
      <c r="N182" t="s">
        <v>19</v>
      </c>
      <c r="O182" t="str">
        <f>IFERROR(INDEX(Store_Manager!$A$2:$A$5,MATCH(M182,Store_Manager!$B$2:$B$5,0)),"")</f>
        <v>MGR001</v>
      </c>
    </row>
    <row r="183" spans="1:15" ht="15.75" customHeight="1">
      <c r="A183">
        <v>182</v>
      </c>
      <c r="B183" s="2">
        <v>45092</v>
      </c>
      <c r="C183" t="s">
        <v>203</v>
      </c>
      <c r="D183" t="s">
        <v>16</v>
      </c>
      <c r="E183">
        <v>62</v>
      </c>
      <c r="F183" s="3" t="s">
        <v>17</v>
      </c>
      <c r="G183">
        <v>4</v>
      </c>
      <c r="H183" s="4">
        <v>30</v>
      </c>
      <c r="I183" s="4">
        <v>120</v>
      </c>
      <c r="J183" t="s">
        <v>18</v>
      </c>
      <c r="K183" t="str">
        <f>IFERROR(VLOOKUP(F183&amp;"|"&amp;H183,Feature_Mappings!$A$2:$C$16,2,FALSE()),"")</f>
        <v>Facial Cleanser</v>
      </c>
      <c r="L183" t="str">
        <f>IFERROR(VLOOKUP(F183&amp;"|"&amp;H183,Feature_Mappings!$A$2:$C$16,3,FALSE()),"")</f>
        <v>PureDerma Supplies</v>
      </c>
      <c r="M183" t="str">
        <f>IFERROR(VLOOKUP(J183,Feature_Mappings!$D$2:$E$5,2,FALSE()),"")</f>
        <v>Olivia Bennett</v>
      </c>
      <c r="N183" t="s">
        <v>19</v>
      </c>
      <c r="O183" t="str">
        <f>IFERROR(INDEX(Store_Manager!$A$2:$A$5,MATCH(M183,Store_Manager!$B$2:$B$5,0)),"")</f>
        <v>MGR001</v>
      </c>
    </row>
    <row r="184" spans="1:15" ht="15.75" customHeight="1">
      <c r="A184">
        <v>183</v>
      </c>
      <c r="B184" s="2">
        <v>45177</v>
      </c>
      <c r="C184" t="s">
        <v>204</v>
      </c>
      <c r="D184" t="s">
        <v>21</v>
      </c>
      <c r="E184">
        <v>43</v>
      </c>
      <c r="F184" s="3" t="s">
        <v>17</v>
      </c>
      <c r="G184">
        <v>3</v>
      </c>
      <c r="H184" s="4">
        <v>300</v>
      </c>
      <c r="I184" s="4">
        <v>900</v>
      </c>
      <c r="J184" t="s">
        <v>18</v>
      </c>
      <c r="K184" t="str">
        <f>IFERROR(VLOOKUP(F184&amp;"|"&amp;H184,Feature_Mappings!$A$2:$C$16,2,FALSE()),"")</f>
        <v>Skincare Gift Set</v>
      </c>
      <c r="L184" t="str">
        <f>IFERROR(VLOOKUP(F184&amp;"|"&amp;H184,Feature_Mappings!$A$2:$C$16,3,FALSE()),"")</f>
        <v>Radiant Beauty Wholesale</v>
      </c>
      <c r="M184" t="str">
        <f>IFERROR(VLOOKUP(J184,Feature_Mappings!$D$2:$E$5,2,FALSE()),"")</f>
        <v>Olivia Bennett</v>
      </c>
      <c r="N184" t="s">
        <v>19</v>
      </c>
      <c r="O184" t="str">
        <f>IFERROR(INDEX(Store_Manager!$A$2:$A$5,MATCH(M184,Store_Manager!$B$2:$B$5,0)),"")</f>
        <v>MGR001</v>
      </c>
    </row>
    <row r="185" spans="1:15" ht="15.75" customHeight="1">
      <c r="A185">
        <v>184</v>
      </c>
      <c r="B185" s="2">
        <v>44936</v>
      </c>
      <c r="C185" t="s">
        <v>205</v>
      </c>
      <c r="D185" t="s">
        <v>16</v>
      </c>
      <c r="E185">
        <v>31</v>
      </c>
      <c r="F185" s="3" t="s">
        <v>24</v>
      </c>
      <c r="G185">
        <v>4</v>
      </c>
      <c r="H185" s="4">
        <v>50</v>
      </c>
      <c r="I185" s="4">
        <v>200</v>
      </c>
      <c r="J185" t="s">
        <v>18</v>
      </c>
      <c r="K185" t="str">
        <f>IFERROR(VLOOKUP(F185&amp;"|"&amp;H185,Feature_Mappings!$A$2:$C$16,2,FALSE()),"")</f>
        <v>Bluetooth Speaker</v>
      </c>
      <c r="L185" t="str">
        <f>IFERROR(VLOOKUP(F185&amp;"|"&amp;H185,Feature_Mappings!$A$2:$C$16,3,FALSE()),"")</f>
        <v>SoundSphere Supply</v>
      </c>
      <c r="M185" t="str">
        <f>IFERROR(VLOOKUP(J185,Feature_Mappings!$D$2:$E$5,2,FALSE()),"")</f>
        <v>Olivia Bennett</v>
      </c>
      <c r="N185" t="s">
        <v>19</v>
      </c>
      <c r="O185" t="str">
        <f>IFERROR(INDEX(Store_Manager!$A$2:$A$5,MATCH(M185,Store_Manager!$B$2:$B$5,0)),"")</f>
        <v>MGR001</v>
      </c>
    </row>
    <row r="186" spans="1:15" ht="15.75" customHeight="1">
      <c r="A186">
        <v>185</v>
      </c>
      <c r="B186" s="2">
        <v>44984</v>
      </c>
      <c r="C186" t="s">
        <v>206</v>
      </c>
      <c r="D186" t="s">
        <v>16</v>
      </c>
      <c r="E186">
        <v>24</v>
      </c>
      <c r="F186" s="3" t="s">
        <v>22</v>
      </c>
      <c r="G186">
        <v>1</v>
      </c>
      <c r="H186" s="4">
        <v>25</v>
      </c>
      <c r="I186" s="4">
        <v>25</v>
      </c>
      <c r="J186" t="s">
        <v>18</v>
      </c>
      <c r="K186" t="str">
        <f>IFERROR(VLOOKUP(F186&amp;"|"&amp;H186,Feature_Mappings!$A$2:$C$16,2,FALSE()),"")</f>
        <v>Cotton Socks</v>
      </c>
      <c r="L186" t="str">
        <f>IFERROR(VLOOKUP(F186&amp;"|"&amp;H186,Feature_Mappings!$A$2:$C$16,3,FALSE()),"")</f>
        <v>Urban Basics Co.</v>
      </c>
      <c r="M186" t="str">
        <f>IFERROR(VLOOKUP(J186,Feature_Mappings!$D$2:$E$5,2,FALSE()),"")</f>
        <v>Olivia Bennett</v>
      </c>
      <c r="N186" t="s">
        <v>19</v>
      </c>
      <c r="O186" t="str">
        <f>IFERROR(INDEX(Store_Manager!$A$2:$A$5,MATCH(M186,Store_Manager!$B$2:$B$5,0)),"")</f>
        <v>MGR001</v>
      </c>
    </row>
    <row r="187" spans="1:15" ht="15.75" customHeight="1">
      <c r="A187">
        <v>186</v>
      </c>
      <c r="B187" s="2">
        <v>45112</v>
      </c>
      <c r="C187" t="s">
        <v>207</v>
      </c>
      <c r="D187" t="s">
        <v>16</v>
      </c>
      <c r="E187">
        <v>20</v>
      </c>
      <c r="F187" s="3" t="s">
        <v>22</v>
      </c>
      <c r="G187">
        <v>4</v>
      </c>
      <c r="H187" s="4">
        <v>50</v>
      </c>
      <c r="I187" s="4">
        <v>200</v>
      </c>
      <c r="J187" t="s">
        <v>18</v>
      </c>
      <c r="K187" t="str">
        <f>IFERROR(VLOOKUP(F187&amp;"|"&amp;H187,Feature_Mappings!$A$2:$C$16,2,FALSE()),"")</f>
        <v>Denim Jeans</v>
      </c>
      <c r="L187" t="str">
        <f>IFERROR(VLOOKUP(F187&amp;"|"&amp;H187,Feature_Mappings!$A$2:$C$16,3,FALSE()),"")</f>
        <v>BlueFit Garments</v>
      </c>
      <c r="M187" t="str">
        <f>IFERROR(VLOOKUP(J187,Feature_Mappings!$D$2:$E$5,2,FALSE()),"")</f>
        <v>Olivia Bennett</v>
      </c>
      <c r="N187" t="s">
        <v>19</v>
      </c>
      <c r="O187" t="str">
        <f>IFERROR(INDEX(Store_Manager!$A$2:$A$5,MATCH(M187,Store_Manager!$B$2:$B$5,0)),"")</f>
        <v>MGR001</v>
      </c>
    </row>
    <row r="188" spans="1:15" ht="15.75" customHeight="1">
      <c r="A188">
        <v>187</v>
      </c>
      <c r="B188" s="2">
        <v>45084</v>
      </c>
      <c r="C188" t="s">
        <v>208</v>
      </c>
      <c r="D188" t="s">
        <v>21</v>
      </c>
      <c r="E188">
        <v>64</v>
      </c>
      <c r="F188" s="3" t="s">
        <v>22</v>
      </c>
      <c r="G188">
        <v>2</v>
      </c>
      <c r="H188" s="4">
        <v>50</v>
      </c>
      <c r="I188" s="4">
        <v>100</v>
      </c>
      <c r="J188" t="s">
        <v>18</v>
      </c>
      <c r="K188" t="str">
        <f>IFERROR(VLOOKUP(F188&amp;"|"&amp;H188,Feature_Mappings!$A$2:$C$16,2,FALSE()),"")</f>
        <v>Denim Jeans</v>
      </c>
      <c r="L188" t="str">
        <f>IFERROR(VLOOKUP(F188&amp;"|"&amp;H188,Feature_Mappings!$A$2:$C$16,3,FALSE()),"")</f>
        <v>BlueFit Garments</v>
      </c>
      <c r="M188" t="str">
        <f>IFERROR(VLOOKUP(J188,Feature_Mappings!$D$2:$E$5,2,FALSE()),"")</f>
        <v>Olivia Bennett</v>
      </c>
      <c r="N188" t="s">
        <v>19</v>
      </c>
      <c r="O188" t="str">
        <f>IFERROR(INDEX(Store_Manager!$A$2:$A$5,MATCH(M188,Store_Manager!$B$2:$B$5,0)),"")</f>
        <v>MGR001</v>
      </c>
    </row>
    <row r="189" spans="1:15" ht="15.75" customHeight="1">
      <c r="A189">
        <v>188</v>
      </c>
      <c r="B189" s="2">
        <v>45049</v>
      </c>
      <c r="C189" t="s">
        <v>209</v>
      </c>
      <c r="D189" t="s">
        <v>16</v>
      </c>
      <c r="E189">
        <v>40</v>
      </c>
      <c r="F189" s="3" t="s">
        <v>22</v>
      </c>
      <c r="G189">
        <v>3</v>
      </c>
      <c r="H189" s="4">
        <v>25</v>
      </c>
      <c r="I189" s="4">
        <v>75</v>
      </c>
      <c r="J189" t="s">
        <v>18</v>
      </c>
      <c r="K189" t="str">
        <f>IFERROR(VLOOKUP(F189&amp;"|"&amp;H189,Feature_Mappings!$A$2:$C$16,2,FALSE()),"")</f>
        <v>Cotton Socks</v>
      </c>
      <c r="L189" t="str">
        <f>IFERROR(VLOOKUP(F189&amp;"|"&amp;H189,Feature_Mappings!$A$2:$C$16,3,FALSE()),"")</f>
        <v>Urban Basics Co.</v>
      </c>
      <c r="M189" t="str">
        <f>IFERROR(VLOOKUP(J189,Feature_Mappings!$D$2:$E$5,2,FALSE()),"")</f>
        <v>Olivia Bennett</v>
      </c>
      <c r="N189" t="s">
        <v>19</v>
      </c>
      <c r="O189" t="str">
        <f>IFERROR(INDEX(Store_Manager!$A$2:$A$5,MATCH(M189,Store_Manager!$B$2:$B$5,0)),"")</f>
        <v>MGR001</v>
      </c>
    </row>
    <row r="190" spans="1:15" ht="15.75" customHeight="1">
      <c r="A190">
        <v>189</v>
      </c>
      <c r="B190" s="2">
        <v>44956</v>
      </c>
      <c r="C190" t="s">
        <v>210</v>
      </c>
      <c r="D190" t="s">
        <v>16</v>
      </c>
      <c r="E190">
        <v>63</v>
      </c>
      <c r="F190" s="3" t="s">
        <v>17</v>
      </c>
      <c r="G190">
        <v>1</v>
      </c>
      <c r="H190" s="4">
        <v>50</v>
      </c>
      <c r="I190" s="4">
        <v>50</v>
      </c>
      <c r="J190" t="s">
        <v>18</v>
      </c>
      <c r="K190" t="str">
        <f>IFERROR(VLOOKUP(F190&amp;"|"&amp;H190,Feature_Mappings!$A$2:$C$16,2,FALSE()),"")</f>
        <v>Eau de Parfum</v>
      </c>
      <c r="L190" t="str">
        <f>IFERROR(VLOOKUP(F190&amp;"|"&amp;H190,Feature_Mappings!$A$2:$C$16,3,FALSE()),"")</f>
        <v>Luxe Aroma Labs</v>
      </c>
      <c r="M190" t="str">
        <f>IFERROR(VLOOKUP(J190,Feature_Mappings!$D$2:$E$5,2,FALSE()),"")</f>
        <v>Olivia Bennett</v>
      </c>
      <c r="N190" t="s">
        <v>19</v>
      </c>
      <c r="O190" t="str">
        <f>IFERROR(INDEX(Store_Manager!$A$2:$A$5,MATCH(M190,Store_Manager!$B$2:$B$5,0)),"")</f>
        <v>MGR001</v>
      </c>
    </row>
    <row r="191" spans="1:15" ht="15.75" customHeight="1">
      <c r="A191">
        <v>190</v>
      </c>
      <c r="B191" s="2">
        <v>45050</v>
      </c>
      <c r="C191" t="s">
        <v>211</v>
      </c>
      <c r="D191" t="s">
        <v>21</v>
      </c>
      <c r="E191">
        <v>60</v>
      </c>
      <c r="F191" s="3" t="s">
        <v>17</v>
      </c>
      <c r="G191">
        <v>3</v>
      </c>
      <c r="H191" s="4">
        <v>30</v>
      </c>
      <c r="I191" s="4">
        <v>90</v>
      </c>
      <c r="J191" t="s">
        <v>18</v>
      </c>
      <c r="K191" t="str">
        <f>IFERROR(VLOOKUP(F191&amp;"|"&amp;H191,Feature_Mappings!$A$2:$C$16,2,FALSE()),"")</f>
        <v>Facial Cleanser</v>
      </c>
      <c r="L191" t="str">
        <f>IFERROR(VLOOKUP(F191&amp;"|"&amp;H191,Feature_Mappings!$A$2:$C$16,3,FALSE()),"")</f>
        <v>PureDerma Supplies</v>
      </c>
      <c r="M191" t="str">
        <f>IFERROR(VLOOKUP(J191,Feature_Mappings!$D$2:$E$5,2,FALSE()),"")</f>
        <v>Olivia Bennett</v>
      </c>
      <c r="N191" t="s">
        <v>19</v>
      </c>
      <c r="O191" t="str">
        <f>IFERROR(INDEX(Store_Manager!$A$2:$A$5,MATCH(M191,Store_Manager!$B$2:$B$5,0)),"")</f>
        <v>MGR001</v>
      </c>
    </row>
    <row r="192" spans="1:15" ht="15.75" customHeight="1">
      <c r="A192">
        <v>191</v>
      </c>
      <c r="B192" s="2">
        <v>45217</v>
      </c>
      <c r="C192" t="s">
        <v>212</v>
      </c>
      <c r="D192" t="s">
        <v>16</v>
      </c>
      <c r="E192">
        <v>64</v>
      </c>
      <c r="F192" s="3" t="s">
        <v>17</v>
      </c>
      <c r="G192">
        <v>1</v>
      </c>
      <c r="H192" s="4">
        <v>25</v>
      </c>
      <c r="I192" s="4">
        <v>25</v>
      </c>
      <c r="J192" t="s">
        <v>18</v>
      </c>
      <c r="K192" t="str">
        <f>IFERROR(VLOOKUP(F192&amp;"|"&amp;H192,Feature_Mappings!$A$2:$C$16,2,FALSE()),"")</f>
        <v>Lip Balm</v>
      </c>
      <c r="L192" t="str">
        <f>IFERROR(VLOOKUP(F192&amp;"|"&amp;H192,Feature_Mappings!$A$2:$C$16,3,FALSE()),"")</f>
        <v>GlowSource Cosmetics</v>
      </c>
      <c r="M192" t="str">
        <f>IFERROR(VLOOKUP(J192,Feature_Mappings!$D$2:$E$5,2,FALSE()),"")</f>
        <v>Olivia Bennett</v>
      </c>
      <c r="N192" t="s">
        <v>19</v>
      </c>
      <c r="O192" t="str">
        <f>IFERROR(INDEX(Store_Manager!$A$2:$A$5,MATCH(M192,Store_Manager!$B$2:$B$5,0)),"")</f>
        <v>MGR001</v>
      </c>
    </row>
    <row r="193" spans="1:15" ht="15.75" customHeight="1">
      <c r="A193">
        <v>192</v>
      </c>
      <c r="B193" s="2">
        <v>44967</v>
      </c>
      <c r="C193" t="s">
        <v>213</v>
      </c>
      <c r="D193" t="s">
        <v>16</v>
      </c>
      <c r="E193">
        <v>62</v>
      </c>
      <c r="F193" s="3" t="s">
        <v>17</v>
      </c>
      <c r="G193">
        <v>2</v>
      </c>
      <c r="H193" s="4">
        <v>50</v>
      </c>
      <c r="I193" s="4">
        <v>100</v>
      </c>
      <c r="J193" t="s">
        <v>18</v>
      </c>
      <c r="K193" t="str">
        <f>IFERROR(VLOOKUP(F193&amp;"|"&amp;H193,Feature_Mappings!$A$2:$C$16,2,FALSE()),"")</f>
        <v>Eau de Parfum</v>
      </c>
      <c r="L193" t="str">
        <f>IFERROR(VLOOKUP(F193&amp;"|"&amp;H193,Feature_Mappings!$A$2:$C$16,3,FALSE()),"")</f>
        <v>Luxe Aroma Labs</v>
      </c>
      <c r="M193" t="str">
        <f>IFERROR(VLOOKUP(J193,Feature_Mappings!$D$2:$E$5,2,FALSE()),"")</f>
        <v>Olivia Bennett</v>
      </c>
      <c r="N193" t="s">
        <v>19</v>
      </c>
      <c r="O193" t="str">
        <f>IFERROR(INDEX(Store_Manager!$A$2:$A$5,MATCH(M193,Store_Manager!$B$2:$B$5,0)),"")</f>
        <v>MGR001</v>
      </c>
    </row>
    <row r="194" spans="1:15" ht="15.75" customHeight="1">
      <c r="A194">
        <v>193</v>
      </c>
      <c r="B194" s="2">
        <v>44970</v>
      </c>
      <c r="C194" t="s">
        <v>214</v>
      </c>
      <c r="D194" t="s">
        <v>16</v>
      </c>
      <c r="E194">
        <v>35</v>
      </c>
      <c r="F194" s="3" t="s">
        <v>17</v>
      </c>
      <c r="G194">
        <v>3</v>
      </c>
      <c r="H194" s="4">
        <v>500</v>
      </c>
      <c r="I194" s="4">
        <v>1500</v>
      </c>
      <c r="J194" t="s">
        <v>18</v>
      </c>
      <c r="K194" t="str">
        <f>IFERROR(VLOOKUP(F194&amp;"|"&amp;H194,Feature_Mappings!$A$2:$C$16,2,FALSE()),"")</f>
        <v>LED Beauty Device</v>
      </c>
      <c r="L194" t="str">
        <f>IFERROR(VLOOKUP(F194&amp;"|"&amp;H194,Feature_Mappings!$A$2:$C$16,3,FALSE()),"")</f>
        <v>BeautyTech Pro</v>
      </c>
      <c r="M194" t="str">
        <f>IFERROR(VLOOKUP(J194,Feature_Mappings!$D$2:$E$5,2,FALSE()),"")</f>
        <v>Olivia Bennett</v>
      </c>
      <c r="N194" t="s">
        <v>19</v>
      </c>
      <c r="O194" t="str">
        <f>IFERROR(INDEX(Store_Manager!$A$2:$A$5,MATCH(M194,Store_Manager!$B$2:$B$5,0)),"")</f>
        <v>MGR001</v>
      </c>
    </row>
    <row r="195" spans="1:15" ht="15.75" customHeight="1">
      <c r="A195">
        <v>194</v>
      </c>
      <c r="B195" s="2">
        <v>45175</v>
      </c>
      <c r="C195" t="s">
        <v>215</v>
      </c>
      <c r="D195" t="s">
        <v>16</v>
      </c>
      <c r="E195">
        <v>55</v>
      </c>
      <c r="F195" s="3" t="s">
        <v>22</v>
      </c>
      <c r="G195">
        <v>4</v>
      </c>
      <c r="H195" s="4">
        <v>50</v>
      </c>
      <c r="I195" s="4">
        <v>200</v>
      </c>
      <c r="J195" t="s">
        <v>18</v>
      </c>
      <c r="K195" t="str">
        <f>IFERROR(VLOOKUP(F195&amp;"|"&amp;H195,Feature_Mappings!$A$2:$C$16,2,FALSE()),"")</f>
        <v>Denim Jeans</v>
      </c>
      <c r="L195" t="str">
        <f>IFERROR(VLOOKUP(F195&amp;"|"&amp;H195,Feature_Mappings!$A$2:$C$16,3,FALSE()),"")</f>
        <v>BlueFit Garments</v>
      </c>
      <c r="M195" t="str">
        <f>IFERROR(VLOOKUP(J195,Feature_Mappings!$D$2:$E$5,2,FALSE()),"")</f>
        <v>Olivia Bennett</v>
      </c>
      <c r="N195" t="s">
        <v>19</v>
      </c>
      <c r="O195" t="str">
        <f>IFERROR(INDEX(Store_Manager!$A$2:$A$5,MATCH(M195,Store_Manager!$B$2:$B$5,0)),"")</f>
        <v>MGR001</v>
      </c>
    </row>
    <row r="196" spans="1:15" ht="15.75" customHeight="1">
      <c r="A196">
        <v>195</v>
      </c>
      <c r="B196" s="2">
        <v>44962</v>
      </c>
      <c r="C196" t="s">
        <v>216</v>
      </c>
      <c r="D196" t="s">
        <v>16</v>
      </c>
      <c r="E196">
        <v>52</v>
      </c>
      <c r="F196" s="3" t="s">
        <v>22</v>
      </c>
      <c r="G196">
        <v>1</v>
      </c>
      <c r="H196" s="4">
        <v>30</v>
      </c>
      <c r="I196" s="4">
        <v>30</v>
      </c>
      <c r="J196" t="s">
        <v>18</v>
      </c>
      <c r="K196" t="str">
        <f>IFERROR(VLOOKUP(F196&amp;"|"&amp;H196,Feature_Mappings!$A$2:$C$16,2,FALSE()),"")</f>
        <v>Graphic T-Shirt</v>
      </c>
      <c r="L196" t="str">
        <f>IFERROR(VLOOKUP(F196&amp;"|"&amp;H196,Feature_Mappings!$A$2:$C$16,3,FALSE()),"")</f>
        <v>ThreadWorks Apparel</v>
      </c>
      <c r="M196" t="str">
        <f>IFERROR(VLOOKUP(J196,Feature_Mappings!$D$2:$E$5,2,FALSE()),"")</f>
        <v>Olivia Bennett</v>
      </c>
      <c r="N196" t="s">
        <v>19</v>
      </c>
      <c r="O196" t="str">
        <f>IFERROR(INDEX(Store_Manager!$A$2:$A$5,MATCH(M196,Store_Manager!$B$2:$B$5,0)),"")</f>
        <v>MGR001</v>
      </c>
    </row>
    <row r="197" spans="1:15" ht="15.75" customHeight="1">
      <c r="A197">
        <v>196</v>
      </c>
      <c r="B197" s="2">
        <v>45199</v>
      </c>
      <c r="C197" t="s">
        <v>217</v>
      </c>
      <c r="D197" t="s">
        <v>21</v>
      </c>
      <c r="E197">
        <v>32</v>
      </c>
      <c r="F197" s="3" t="s">
        <v>22</v>
      </c>
      <c r="G197">
        <v>3</v>
      </c>
      <c r="H197" s="4">
        <v>300</v>
      </c>
      <c r="I197" s="4">
        <v>900</v>
      </c>
      <c r="J197" t="s">
        <v>18</v>
      </c>
      <c r="K197" t="str">
        <f>IFERROR(VLOOKUP(F197&amp;"|"&amp;H197,Feature_Mappings!$A$2:$C$16,2,FALSE()),"")</f>
        <v>Leather Jacket</v>
      </c>
      <c r="L197" t="str">
        <f>IFERROR(VLOOKUP(F197&amp;"|"&amp;H197,Feature_Mappings!$A$2:$C$16,3,FALSE()),"")</f>
        <v>Metro Style Manufacturing</v>
      </c>
      <c r="M197" t="str">
        <f>IFERROR(VLOOKUP(J197,Feature_Mappings!$D$2:$E$5,2,FALSE()),"")</f>
        <v>Olivia Bennett</v>
      </c>
      <c r="N197" t="s">
        <v>19</v>
      </c>
      <c r="O197" t="str">
        <f>IFERROR(INDEX(Store_Manager!$A$2:$A$5,MATCH(M197,Store_Manager!$B$2:$B$5,0)),"")</f>
        <v>MGR001</v>
      </c>
    </row>
    <row r="198" spans="1:15" ht="15.75" customHeight="1">
      <c r="A198">
        <v>197</v>
      </c>
      <c r="B198" s="2">
        <v>44991</v>
      </c>
      <c r="C198" t="s">
        <v>218</v>
      </c>
      <c r="D198" t="s">
        <v>21</v>
      </c>
      <c r="E198">
        <v>42</v>
      </c>
      <c r="F198" s="3" t="s">
        <v>22</v>
      </c>
      <c r="G198">
        <v>4</v>
      </c>
      <c r="H198" s="4">
        <v>50</v>
      </c>
      <c r="I198" s="4">
        <v>200</v>
      </c>
      <c r="J198" t="s">
        <v>18</v>
      </c>
      <c r="K198" t="str">
        <f>IFERROR(VLOOKUP(F198&amp;"|"&amp;H198,Feature_Mappings!$A$2:$C$16,2,FALSE()),"")</f>
        <v>Denim Jeans</v>
      </c>
      <c r="L198" t="str">
        <f>IFERROR(VLOOKUP(F198&amp;"|"&amp;H198,Feature_Mappings!$A$2:$C$16,3,FALSE()),"")</f>
        <v>BlueFit Garments</v>
      </c>
      <c r="M198" t="str">
        <f>IFERROR(VLOOKUP(J198,Feature_Mappings!$D$2:$E$5,2,FALSE()),"")</f>
        <v>Olivia Bennett</v>
      </c>
      <c r="N198" t="s">
        <v>19</v>
      </c>
      <c r="O198" t="str">
        <f>IFERROR(INDEX(Store_Manager!$A$2:$A$5,MATCH(M198,Store_Manager!$B$2:$B$5,0)),"")</f>
        <v>MGR001</v>
      </c>
    </row>
    <row r="199" spans="1:15" ht="15.75" customHeight="1">
      <c r="A199">
        <v>198</v>
      </c>
      <c r="B199" s="2">
        <v>44992</v>
      </c>
      <c r="C199" t="s">
        <v>219</v>
      </c>
      <c r="D199" t="s">
        <v>21</v>
      </c>
      <c r="E199">
        <v>54</v>
      </c>
      <c r="F199" s="3" t="s">
        <v>17</v>
      </c>
      <c r="G199">
        <v>3</v>
      </c>
      <c r="H199" s="4">
        <v>300</v>
      </c>
      <c r="I199" s="4">
        <v>900</v>
      </c>
      <c r="J199" t="s">
        <v>18</v>
      </c>
      <c r="K199" t="str">
        <f>IFERROR(VLOOKUP(F199&amp;"|"&amp;H199,Feature_Mappings!$A$2:$C$16,2,FALSE()),"")</f>
        <v>Skincare Gift Set</v>
      </c>
      <c r="L199" t="str">
        <f>IFERROR(VLOOKUP(F199&amp;"|"&amp;H199,Feature_Mappings!$A$2:$C$16,3,FALSE()),"")</f>
        <v>Radiant Beauty Wholesale</v>
      </c>
      <c r="M199" t="str">
        <f>IFERROR(VLOOKUP(J199,Feature_Mappings!$D$2:$E$5,2,FALSE()),"")</f>
        <v>Olivia Bennett</v>
      </c>
      <c r="N199" t="s">
        <v>19</v>
      </c>
      <c r="O199" t="str">
        <f>IFERROR(INDEX(Store_Manager!$A$2:$A$5,MATCH(M199,Store_Manager!$B$2:$B$5,0)),"")</f>
        <v>MGR001</v>
      </c>
    </row>
    <row r="200" spans="1:15" ht="15.75" customHeight="1">
      <c r="A200">
        <v>199</v>
      </c>
      <c r="B200" s="2">
        <v>45264</v>
      </c>
      <c r="C200" t="s">
        <v>220</v>
      </c>
      <c r="D200" t="s">
        <v>16</v>
      </c>
      <c r="E200">
        <v>45</v>
      </c>
      <c r="F200" s="3" t="s">
        <v>17</v>
      </c>
      <c r="G200">
        <v>3</v>
      </c>
      <c r="H200" s="4">
        <v>500</v>
      </c>
      <c r="I200" s="4">
        <v>1500</v>
      </c>
      <c r="J200" t="s">
        <v>18</v>
      </c>
      <c r="K200" t="str">
        <f>IFERROR(VLOOKUP(F200&amp;"|"&amp;H200,Feature_Mappings!$A$2:$C$16,2,FALSE()),"")</f>
        <v>LED Beauty Device</v>
      </c>
      <c r="L200" t="str">
        <f>IFERROR(VLOOKUP(F200&amp;"|"&amp;H200,Feature_Mappings!$A$2:$C$16,3,FALSE()),"")</f>
        <v>BeautyTech Pro</v>
      </c>
      <c r="M200" t="str">
        <f>IFERROR(VLOOKUP(J200,Feature_Mappings!$D$2:$E$5,2,FALSE()),"")</f>
        <v>Olivia Bennett</v>
      </c>
      <c r="N200" t="s">
        <v>19</v>
      </c>
      <c r="O200" t="str">
        <f>IFERROR(INDEX(Store_Manager!$A$2:$A$5,MATCH(M200,Store_Manager!$B$2:$B$5,0)),"")</f>
        <v>MGR001</v>
      </c>
    </row>
    <row r="201" spans="1:15" ht="15.75" customHeight="1">
      <c r="A201">
        <v>200</v>
      </c>
      <c r="B201" s="2">
        <v>45170</v>
      </c>
      <c r="C201" t="s">
        <v>221</v>
      </c>
      <c r="D201" t="s">
        <v>16</v>
      </c>
      <c r="E201">
        <v>27</v>
      </c>
      <c r="F201" s="3" t="s">
        <v>17</v>
      </c>
      <c r="G201">
        <v>3</v>
      </c>
      <c r="H201" s="4">
        <v>50</v>
      </c>
      <c r="I201" s="4">
        <v>150</v>
      </c>
      <c r="J201" t="s">
        <v>18</v>
      </c>
      <c r="K201" t="str">
        <f>IFERROR(VLOOKUP(F201&amp;"|"&amp;H201,Feature_Mappings!$A$2:$C$16,2,FALSE()),"")</f>
        <v>Eau de Parfum</v>
      </c>
      <c r="L201" t="str">
        <f>IFERROR(VLOOKUP(F201&amp;"|"&amp;H201,Feature_Mappings!$A$2:$C$16,3,FALSE()),"")</f>
        <v>Luxe Aroma Labs</v>
      </c>
      <c r="M201" t="str">
        <f>IFERROR(VLOOKUP(J201,Feature_Mappings!$D$2:$E$5,2,FALSE()),"")</f>
        <v>Olivia Bennett</v>
      </c>
      <c r="N201" t="s">
        <v>19</v>
      </c>
      <c r="O201" t="str">
        <f>IFERROR(INDEX(Store_Manager!$A$2:$A$5,MATCH(M201,Store_Manager!$B$2:$B$5,0)),"")</f>
        <v>MGR001</v>
      </c>
    </row>
    <row r="202" spans="1:15" ht="15.75" customHeight="1">
      <c r="A202">
        <v>201</v>
      </c>
      <c r="B202" s="2">
        <v>45208</v>
      </c>
      <c r="C202" t="s">
        <v>222</v>
      </c>
      <c r="D202" t="s">
        <v>16</v>
      </c>
      <c r="E202">
        <v>56</v>
      </c>
      <c r="F202" s="3" t="s">
        <v>24</v>
      </c>
      <c r="G202">
        <v>1</v>
      </c>
      <c r="H202" s="4">
        <v>25</v>
      </c>
      <c r="I202" s="4">
        <v>25</v>
      </c>
      <c r="J202" t="s">
        <v>18</v>
      </c>
      <c r="K202" t="str">
        <f>IFERROR(VLOOKUP(F202&amp;"|"&amp;H202,Feature_Mappings!$A$2:$C$16,2,FALSE()),"")</f>
        <v>USB-C Charger</v>
      </c>
      <c r="L202" t="str">
        <f>IFERROR(VLOOKUP(F202&amp;"|"&amp;H202,Feature_Mappings!$A$2:$C$16,3,FALSE()),"")</f>
        <v>VoltEdge Electronics</v>
      </c>
      <c r="M202" t="str">
        <f>IFERROR(VLOOKUP(J202,Feature_Mappings!$D$2:$E$5,2,FALSE()),"")</f>
        <v>Olivia Bennett</v>
      </c>
      <c r="N202" t="s">
        <v>19</v>
      </c>
      <c r="O202" t="str">
        <f>IFERROR(INDEX(Store_Manager!$A$2:$A$5,MATCH(M202,Store_Manager!$B$2:$B$5,0)),"")</f>
        <v>MGR001</v>
      </c>
    </row>
    <row r="203" spans="1:15" ht="15.75" customHeight="1">
      <c r="A203">
        <v>202</v>
      </c>
      <c r="B203" s="2">
        <v>45011</v>
      </c>
      <c r="C203" t="s">
        <v>223</v>
      </c>
      <c r="D203" t="s">
        <v>21</v>
      </c>
      <c r="E203">
        <v>34</v>
      </c>
      <c r="F203" s="3" t="s">
        <v>22</v>
      </c>
      <c r="G203">
        <v>4</v>
      </c>
      <c r="H203" s="4">
        <v>300</v>
      </c>
      <c r="I203" s="4">
        <v>1200</v>
      </c>
      <c r="J203" t="s">
        <v>18</v>
      </c>
      <c r="K203" t="str">
        <f>IFERROR(VLOOKUP(F203&amp;"|"&amp;H203,Feature_Mappings!$A$2:$C$16,2,FALSE()),"")</f>
        <v>Leather Jacket</v>
      </c>
      <c r="L203" t="str">
        <f>IFERROR(VLOOKUP(F203&amp;"|"&amp;H203,Feature_Mappings!$A$2:$C$16,3,FALSE()),"")</f>
        <v>Metro Style Manufacturing</v>
      </c>
      <c r="M203" t="str">
        <f>IFERROR(VLOOKUP(J203,Feature_Mappings!$D$2:$E$5,2,FALSE()),"")</f>
        <v>Olivia Bennett</v>
      </c>
      <c r="N203" t="s">
        <v>19</v>
      </c>
      <c r="O203" t="str">
        <f>IFERROR(INDEX(Store_Manager!$A$2:$A$5,MATCH(M203,Store_Manager!$B$2:$B$5,0)),"")</f>
        <v>MGR001</v>
      </c>
    </row>
    <row r="204" spans="1:15" ht="15.75" customHeight="1">
      <c r="A204">
        <v>203</v>
      </c>
      <c r="B204" s="2">
        <v>45062</v>
      </c>
      <c r="C204" t="s">
        <v>224</v>
      </c>
      <c r="D204" t="s">
        <v>16</v>
      </c>
      <c r="E204">
        <v>56</v>
      </c>
      <c r="F204" s="3" t="s">
        <v>22</v>
      </c>
      <c r="G204">
        <v>2</v>
      </c>
      <c r="H204" s="4">
        <v>500</v>
      </c>
      <c r="I204" s="4">
        <v>1000</v>
      </c>
      <c r="J204" t="s">
        <v>18</v>
      </c>
      <c r="K204" t="str">
        <f>IFERROR(VLOOKUP(F204&amp;"|"&amp;H204,Feature_Mappings!$A$2:$C$16,2,FALSE()),"")</f>
        <v>Designer Coat</v>
      </c>
      <c r="L204" t="str">
        <f>IFERROR(VLOOKUP(F204&amp;"|"&amp;H204,Feature_Mappings!$A$2:$C$16,3,FALSE()),"")</f>
        <v>Prestige Fashion House</v>
      </c>
      <c r="M204" t="str">
        <f>IFERROR(VLOOKUP(J204,Feature_Mappings!$D$2:$E$5,2,FALSE()),"")</f>
        <v>Olivia Bennett</v>
      </c>
      <c r="N204" t="s">
        <v>19</v>
      </c>
      <c r="O204" t="str">
        <f>IFERROR(INDEX(Store_Manager!$A$2:$A$5,MATCH(M204,Store_Manager!$B$2:$B$5,0)),"")</f>
        <v>MGR001</v>
      </c>
    </row>
    <row r="205" spans="1:15" ht="15.75" customHeight="1">
      <c r="A205">
        <v>204</v>
      </c>
      <c r="B205" s="2">
        <v>45197</v>
      </c>
      <c r="C205" t="s">
        <v>225</v>
      </c>
      <c r="D205" t="s">
        <v>16</v>
      </c>
      <c r="E205">
        <v>39</v>
      </c>
      <c r="F205" s="3" t="s">
        <v>17</v>
      </c>
      <c r="G205">
        <v>1</v>
      </c>
      <c r="H205" s="4">
        <v>25</v>
      </c>
      <c r="I205" s="4">
        <v>25</v>
      </c>
      <c r="J205" t="s">
        <v>18</v>
      </c>
      <c r="K205" t="str">
        <f>IFERROR(VLOOKUP(F205&amp;"|"&amp;H205,Feature_Mappings!$A$2:$C$16,2,FALSE()),"")</f>
        <v>Lip Balm</v>
      </c>
      <c r="L205" t="str">
        <f>IFERROR(VLOOKUP(F205&amp;"|"&amp;H205,Feature_Mappings!$A$2:$C$16,3,FALSE()),"")</f>
        <v>GlowSource Cosmetics</v>
      </c>
      <c r="M205" t="str">
        <f>IFERROR(VLOOKUP(J205,Feature_Mappings!$D$2:$E$5,2,FALSE()),"")</f>
        <v>Olivia Bennett</v>
      </c>
      <c r="N205" t="s">
        <v>19</v>
      </c>
      <c r="O205" t="str">
        <f>IFERROR(INDEX(Store_Manager!$A$2:$A$5,MATCH(M205,Store_Manager!$B$2:$B$5,0)),"")</f>
        <v>MGR001</v>
      </c>
    </row>
    <row r="206" spans="1:15" ht="15.75" customHeight="1">
      <c r="A206">
        <v>205</v>
      </c>
      <c r="B206" s="2">
        <v>45237</v>
      </c>
      <c r="C206" t="s">
        <v>226</v>
      </c>
      <c r="D206" t="s">
        <v>21</v>
      </c>
      <c r="E206">
        <v>43</v>
      </c>
      <c r="F206" s="3" t="s">
        <v>22</v>
      </c>
      <c r="G206">
        <v>1</v>
      </c>
      <c r="H206" s="4">
        <v>25</v>
      </c>
      <c r="I206" s="4">
        <v>25</v>
      </c>
      <c r="J206" t="s">
        <v>18</v>
      </c>
      <c r="K206" t="str">
        <f>IFERROR(VLOOKUP(F206&amp;"|"&amp;H206,Feature_Mappings!$A$2:$C$16,2,FALSE()),"")</f>
        <v>Cotton Socks</v>
      </c>
      <c r="L206" t="str">
        <f>IFERROR(VLOOKUP(F206&amp;"|"&amp;H206,Feature_Mappings!$A$2:$C$16,3,FALSE()),"")</f>
        <v>Urban Basics Co.</v>
      </c>
      <c r="M206" t="str">
        <f>IFERROR(VLOOKUP(J206,Feature_Mappings!$D$2:$E$5,2,FALSE()),"")</f>
        <v>Olivia Bennett</v>
      </c>
      <c r="N206" t="s">
        <v>19</v>
      </c>
      <c r="O206" t="str">
        <f>IFERROR(INDEX(Store_Manager!$A$2:$A$5,MATCH(M206,Store_Manager!$B$2:$B$5,0)),"")</f>
        <v>MGR001</v>
      </c>
    </row>
    <row r="207" spans="1:15" ht="15.75" customHeight="1">
      <c r="A207">
        <v>206</v>
      </c>
      <c r="B207" s="2">
        <v>45143</v>
      </c>
      <c r="C207" t="s">
        <v>227</v>
      </c>
      <c r="D207" t="s">
        <v>16</v>
      </c>
      <c r="E207">
        <v>61</v>
      </c>
      <c r="F207" s="3" t="s">
        <v>22</v>
      </c>
      <c r="G207">
        <v>1</v>
      </c>
      <c r="H207" s="4">
        <v>25</v>
      </c>
      <c r="I207" s="4">
        <v>25</v>
      </c>
      <c r="J207" t="s">
        <v>18</v>
      </c>
      <c r="K207" t="str">
        <f>IFERROR(VLOOKUP(F207&amp;"|"&amp;H207,Feature_Mappings!$A$2:$C$16,2,FALSE()),"")</f>
        <v>Cotton Socks</v>
      </c>
      <c r="L207" t="str">
        <f>IFERROR(VLOOKUP(F207&amp;"|"&amp;H207,Feature_Mappings!$A$2:$C$16,3,FALSE()),"")</f>
        <v>Urban Basics Co.</v>
      </c>
      <c r="M207" t="str">
        <f>IFERROR(VLOOKUP(J207,Feature_Mappings!$D$2:$E$5,2,FALSE()),"")</f>
        <v>Olivia Bennett</v>
      </c>
      <c r="N207" t="s">
        <v>19</v>
      </c>
      <c r="O207" t="str">
        <f>IFERROR(INDEX(Store_Manager!$A$2:$A$5,MATCH(M207,Store_Manager!$B$2:$B$5,0)),"")</f>
        <v>MGR001</v>
      </c>
    </row>
    <row r="208" spans="1:15" ht="15.75" customHeight="1">
      <c r="A208">
        <v>207</v>
      </c>
      <c r="B208" s="2">
        <v>45035</v>
      </c>
      <c r="C208" t="s">
        <v>228</v>
      </c>
      <c r="D208" t="s">
        <v>21</v>
      </c>
      <c r="E208">
        <v>42</v>
      </c>
      <c r="F208" s="3" t="s">
        <v>17</v>
      </c>
      <c r="G208">
        <v>2</v>
      </c>
      <c r="H208" s="4">
        <v>25</v>
      </c>
      <c r="I208" s="4">
        <v>50</v>
      </c>
      <c r="J208" t="s">
        <v>18</v>
      </c>
      <c r="K208" t="str">
        <f>IFERROR(VLOOKUP(F208&amp;"|"&amp;H208,Feature_Mappings!$A$2:$C$16,2,FALSE()),"")</f>
        <v>Lip Balm</v>
      </c>
      <c r="L208" t="str">
        <f>IFERROR(VLOOKUP(F208&amp;"|"&amp;H208,Feature_Mappings!$A$2:$C$16,3,FALSE()),"")</f>
        <v>GlowSource Cosmetics</v>
      </c>
      <c r="M208" t="str">
        <f>IFERROR(VLOOKUP(J208,Feature_Mappings!$D$2:$E$5,2,FALSE()),"")</f>
        <v>Olivia Bennett</v>
      </c>
      <c r="N208" t="s">
        <v>19</v>
      </c>
      <c r="O208" t="str">
        <f>IFERROR(INDEX(Store_Manager!$A$2:$A$5,MATCH(M208,Store_Manager!$B$2:$B$5,0)),"")</f>
        <v>MGR001</v>
      </c>
    </row>
    <row r="209" spans="1:15" ht="15.75" customHeight="1">
      <c r="A209">
        <v>208</v>
      </c>
      <c r="B209" s="2">
        <v>45203</v>
      </c>
      <c r="C209" t="s">
        <v>229</v>
      </c>
      <c r="D209" t="s">
        <v>21</v>
      </c>
      <c r="E209">
        <v>34</v>
      </c>
      <c r="F209" s="3" t="s">
        <v>24</v>
      </c>
      <c r="G209">
        <v>4</v>
      </c>
      <c r="H209" s="4">
        <v>50</v>
      </c>
      <c r="I209" s="4">
        <v>200</v>
      </c>
      <c r="J209" t="s">
        <v>18</v>
      </c>
      <c r="K209" t="str">
        <f>IFERROR(VLOOKUP(F209&amp;"|"&amp;H209,Feature_Mappings!$A$2:$C$16,2,FALSE()),"")</f>
        <v>Bluetooth Speaker</v>
      </c>
      <c r="L209" t="str">
        <f>IFERROR(VLOOKUP(F209&amp;"|"&amp;H209,Feature_Mappings!$A$2:$C$16,3,FALSE()),"")</f>
        <v>SoundSphere Supply</v>
      </c>
      <c r="M209" t="str">
        <f>IFERROR(VLOOKUP(J209,Feature_Mappings!$D$2:$E$5,2,FALSE()),"")</f>
        <v>Olivia Bennett</v>
      </c>
      <c r="N209" t="s">
        <v>19</v>
      </c>
      <c r="O209" t="str">
        <f>IFERROR(INDEX(Store_Manager!$A$2:$A$5,MATCH(M209,Store_Manager!$B$2:$B$5,0)),"")</f>
        <v>MGR001</v>
      </c>
    </row>
    <row r="210" spans="1:15" ht="15.75" customHeight="1">
      <c r="A210">
        <v>209</v>
      </c>
      <c r="B210" s="2">
        <v>45280</v>
      </c>
      <c r="C210" t="s">
        <v>230</v>
      </c>
      <c r="D210" t="s">
        <v>21</v>
      </c>
      <c r="E210">
        <v>30</v>
      </c>
      <c r="F210" s="3" t="s">
        <v>24</v>
      </c>
      <c r="G210">
        <v>4</v>
      </c>
      <c r="H210" s="4">
        <v>50</v>
      </c>
      <c r="I210" s="4">
        <v>200</v>
      </c>
      <c r="J210" t="s">
        <v>18</v>
      </c>
      <c r="K210" t="str">
        <f>IFERROR(VLOOKUP(F210&amp;"|"&amp;H210,Feature_Mappings!$A$2:$C$16,2,FALSE()),"")</f>
        <v>Bluetooth Speaker</v>
      </c>
      <c r="L210" t="str">
        <f>IFERROR(VLOOKUP(F210&amp;"|"&amp;H210,Feature_Mappings!$A$2:$C$16,3,FALSE()),"")</f>
        <v>SoundSphere Supply</v>
      </c>
      <c r="M210" t="str">
        <f>IFERROR(VLOOKUP(J210,Feature_Mappings!$D$2:$E$5,2,FALSE()),"")</f>
        <v>Olivia Bennett</v>
      </c>
      <c r="N210" t="s">
        <v>19</v>
      </c>
      <c r="O210" t="str">
        <f>IFERROR(INDEX(Store_Manager!$A$2:$A$5,MATCH(M210,Store_Manager!$B$2:$B$5,0)),"")</f>
        <v>MGR001</v>
      </c>
    </row>
    <row r="211" spans="1:15" ht="15.75" customHeight="1">
      <c r="A211">
        <v>210</v>
      </c>
      <c r="B211" s="2">
        <v>45029</v>
      </c>
      <c r="C211" t="s">
        <v>231</v>
      </c>
      <c r="D211" t="s">
        <v>16</v>
      </c>
      <c r="E211">
        <v>37</v>
      </c>
      <c r="F211" s="3" t="s">
        <v>24</v>
      </c>
      <c r="G211">
        <v>4</v>
      </c>
      <c r="H211" s="4">
        <v>50</v>
      </c>
      <c r="I211" s="4">
        <v>200</v>
      </c>
      <c r="J211" t="s">
        <v>18</v>
      </c>
      <c r="K211" t="str">
        <f>IFERROR(VLOOKUP(F211&amp;"|"&amp;H211,Feature_Mappings!$A$2:$C$16,2,FALSE()),"")</f>
        <v>Bluetooth Speaker</v>
      </c>
      <c r="L211" t="str">
        <f>IFERROR(VLOOKUP(F211&amp;"|"&amp;H211,Feature_Mappings!$A$2:$C$16,3,FALSE()),"")</f>
        <v>SoundSphere Supply</v>
      </c>
      <c r="M211" t="str">
        <f>IFERROR(VLOOKUP(J211,Feature_Mappings!$D$2:$E$5,2,FALSE()),"")</f>
        <v>Olivia Bennett</v>
      </c>
      <c r="N211" t="s">
        <v>19</v>
      </c>
      <c r="O211" t="str">
        <f>IFERROR(INDEX(Store_Manager!$A$2:$A$5,MATCH(M211,Store_Manager!$B$2:$B$5,0)),"")</f>
        <v>MGR001</v>
      </c>
    </row>
    <row r="212" spans="1:15" ht="15.75" customHeight="1">
      <c r="A212">
        <v>211</v>
      </c>
      <c r="B212" s="2">
        <v>45292</v>
      </c>
      <c r="C212" t="s">
        <v>232</v>
      </c>
      <c r="D212" t="s">
        <v>16</v>
      </c>
      <c r="E212">
        <v>42</v>
      </c>
      <c r="F212" s="3" t="s">
        <v>17</v>
      </c>
      <c r="G212">
        <v>3</v>
      </c>
      <c r="H212" s="4">
        <v>500</v>
      </c>
      <c r="I212" s="4">
        <v>1500</v>
      </c>
      <c r="J212" t="s">
        <v>18</v>
      </c>
      <c r="K212" t="str">
        <f>IFERROR(VLOOKUP(F212&amp;"|"&amp;H212,Feature_Mappings!$A$2:$C$16,2,FALSE()),"")</f>
        <v>LED Beauty Device</v>
      </c>
      <c r="L212" t="str">
        <f>IFERROR(VLOOKUP(F212&amp;"|"&amp;H212,Feature_Mappings!$A$2:$C$16,3,FALSE()),"")</f>
        <v>BeautyTech Pro</v>
      </c>
      <c r="M212" t="str">
        <f>IFERROR(VLOOKUP(J212,Feature_Mappings!$D$2:$E$5,2,FALSE()),"")</f>
        <v>Olivia Bennett</v>
      </c>
      <c r="N212" t="s">
        <v>19</v>
      </c>
      <c r="O212" t="str">
        <f>IFERROR(INDEX(Store_Manager!$A$2:$A$5,MATCH(M212,Store_Manager!$B$2:$B$5,0)),"")</f>
        <v>MGR001</v>
      </c>
    </row>
    <row r="213" spans="1:15" ht="15.75" customHeight="1">
      <c r="A213">
        <v>212</v>
      </c>
      <c r="B213" s="2">
        <v>45086</v>
      </c>
      <c r="C213" t="s">
        <v>233</v>
      </c>
      <c r="D213" t="s">
        <v>16</v>
      </c>
      <c r="E213">
        <v>21</v>
      </c>
      <c r="F213" s="3" t="s">
        <v>22</v>
      </c>
      <c r="G213">
        <v>3</v>
      </c>
      <c r="H213" s="4">
        <v>500</v>
      </c>
      <c r="I213" s="4">
        <v>1500</v>
      </c>
      <c r="J213" t="s">
        <v>18</v>
      </c>
      <c r="K213" t="str">
        <f>IFERROR(VLOOKUP(F213&amp;"|"&amp;H213,Feature_Mappings!$A$2:$C$16,2,FALSE()),"")</f>
        <v>Designer Coat</v>
      </c>
      <c r="L213" t="str">
        <f>IFERROR(VLOOKUP(F213&amp;"|"&amp;H213,Feature_Mappings!$A$2:$C$16,3,FALSE()),"")</f>
        <v>Prestige Fashion House</v>
      </c>
      <c r="M213" t="str">
        <f>IFERROR(VLOOKUP(J213,Feature_Mappings!$D$2:$E$5,2,FALSE()),"")</f>
        <v>Olivia Bennett</v>
      </c>
      <c r="N213" t="s">
        <v>19</v>
      </c>
      <c r="O213" t="str">
        <f>IFERROR(INDEX(Store_Manager!$A$2:$A$5,MATCH(M213,Store_Manager!$B$2:$B$5,0)),"")</f>
        <v>MGR001</v>
      </c>
    </row>
    <row r="214" spans="1:15" ht="15.75" customHeight="1">
      <c r="A214">
        <v>213</v>
      </c>
      <c r="B214" s="2">
        <v>45131</v>
      </c>
      <c r="C214" t="s">
        <v>234</v>
      </c>
      <c r="D214" t="s">
        <v>16</v>
      </c>
      <c r="E214">
        <v>27</v>
      </c>
      <c r="F214" s="3" t="s">
        <v>17</v>
      </c>
      <c r="G214">
        <v>3</v>
      </c>
      <c r="H214" s="4">
        <v>500</v>
      </c>
      <c r="I214" s="4">
        <v>1500</v>
      </c>
      <c r="J214" t="s">
        <v>18</v>
      </c>
      <c r="K214" t="str">
        <f>IFERROR(VLOOKUP(F214&amp;"|"&amp;H214,Feature_Mappings!$A$2:$C$16,2,FALSE()),"")</f>
        <v>LED Beauty Device</v>
      </c>
      <c r="L214" t="str">
        <f>IFERROR(VLOOKUP(F214&amp;"|"&amp;H214,Feature_Mappings!$A$2:$C$16,3,FALSE()),"")</f>
        <v>BeautyTech Pro</v>
      </c>
      <c r="M214" t="str">
        <f>IFERROR(VLOOKUP(J214,Feature_Mappings!$D$2:$E$5,2,FALSE()),"")</f>
        <v>Olivia Bennett</v>
      </c>
      <c r="N214" t="s">
        <v>19</v>
      </c>
      <c r="O214" t="str">
        <f>IFERROR(INDEX(Store_Manager!$A$2:$A$5,MATCH(M214,Store_Manager!$B$2:$B$5,0)),"")</f>
        <v>MGR001</v>
      </c>
    </row>
    <row r="215" spans="1:15" ht="15.75" customHeight="1">
      <c r="A215">
        <v>214</v>
      </c>
      <c r="B215" s="2">
        <v>45270</v>
      </c>
      <c r="C215" t="s">
        <v>235</v>
      </c>
      <c r="D215" t="s">
        <v>16</v>
      </c>
      <c r="E215">
        <v>20</v>
      </c>
      <c r="F215" s="3" t="s">
        <v>17</v>
      </c>
      <c r="G215">
        <v>2</v>
      </c>
      <c r="H215" s="4">
        <v>30</v>
      </c>
      <c r="I215" s="4">
        <v>60</v>
      </c>
      <c r="J215" t="s">
        <v>18</v>
      </c>
      <c r="K215" t="str">
        <f>IFERROR(VLOOKUP(F215&amp;"|"&amp;H215,Feature_Mappings!$A$2:$C$16,2,FALSE()),"")</f>
        <v>Facial Cleanser</v>
      </c>
      <c r="L215" t="str">
        <f>IFERROR(VLOOKUP(F215&amp;"|"&amp;H215,Feature_Mappings!$A$2:$C$16,3,FALSE()),"")</f>
        <v>PureDerma Supplies</v>
      </c>
      <c r="M215" t="str">
        <f>IFERROR(VLOOKUP(J215,Feature_Mappings!$D$2:$E$5,2,FALSE()),"")</f>
        <v>Olivia Bennett</v>
      </c>
      <c r="N215" t="s">
        <v>19</v>
      </c>
      <c r="O215" t="str">
        <f>IFERROR(INDEX(Store_Manager!$A$2:$A$5,MATCH(M215,Store_Manager!$B$2:$B$5,0)),"")</f>
        <v>MGR001</v>
      </c>
    </row>
    <row r="216" spans="1:15" ht="15.75" customHeight="1">
      <c r="A216">
        <v>215</v>
      </c>
      <c r="B216" s="2">
        <v>45259</v>
      </c>
      <c r="C216" t="s">
        <v>236</v>
      </c>
      <c r="D216" t="s">
        <v>16</v>
      </c>
      <c r="E216">
        <v>58</v>
      </c>
      <c r="F216" s="3" t="s">
        <v>22</v>
      </c>
      <c r="G216">
        <v>3</v>
      </c>
      <c r="H216" s="4">
        <v>500</v>
      </c>
      <c r="I216" s="4">
        <v>1500</v>
      </c>
      <c r="J216" t="s">
        <v>18</v>
      </c>
      <c r="K216" t="str">
        <f>IFERROR(VLOOKUP(F216&amp;"|"&amp;H216,Feature_Mappings!$A$2:$C$16,2,FALSE()),"")</f>
        <v>Designer Coat</v>
      </c>
      <c r="L216" t="str">
        <f>IFERROR(VLOOKUP(F216&amp;"|"&amp;H216,Feature_Mappings!$A$2:$C$16,3,FALSE()),"")</f>
        <v>Prestige Fashion House</v>
      </c>
      <c r="M216" t="str">
        <f>IFERROR(VLOOKUP(J216,Feature_Mappings!$D$2:$E$5,2,FALSE()),"")</f>
        <v>Olivia Bennett</v>
      </c>
      <c r="N216" t="s">
        <v>19</v>
      </c>
      <c r="O216" t="str">
        <f>IFERROR(INDEX(Store_Manager!$A$2:$A$5,MATCH(M216,Store_Manager!$B$2:$B$5,0)),"")</f>
        <v>MGR001</v>
      </c>
    </row>
    <row r="217" spans="1:15" ht="15.75" customHeight="1">
      <c r="A217">
        <v>216</v>
      </c>
      <c r="B217" s="2">
        <v>45118</v>
      </c>
      <c r="C217" t="s">
        <v>237</v>
      </c>
      <c r="D217" t="s">
        <v>16</v>
      </c>
      <c r="E217">
        <v>62</v>
      </c>
      <c r="F217" s="3" t="s">
        <v>24</v>
      </c>
      <c r="G217">
        <v>2</v>
      </c>
      <c r="H217" s="4">
        <v>50</v>
      </c>
      <c r="I217" s="4">
        <v>100</v>
      </c>
      <c r="J217" t="s">
        <v>18</v>
      </c>
      <c r="K217" t="str">
        <f>IFERROR(VLOOKUP(F217&amp;"|"&amp;H217,Feature_Mappings!$A$2:$C$16,2,FALSE()),"")</f>
        <v>Bluetooth Speaker</v>
      </c>
      <c r="L217" t="str">
        <f>IFERROR(VLOOKUP(F217&amp;"|"&amp;H217,Feature_Mappings!$A$2:$C$16,3,FALSE()),"")</f>
        <v>SoundSphere Supply</v>
      </c>
      <c r="M217" t="str">
        <f>IFERROR(VLOOKUP(J217,Feature_Mappings!$D$2:$E$5,2,FALSE()),"")</f>
        <v>Olivia Bennett</v>
      </c>
      <c r="N217" t="s">
        <v>19</v>
      </c>
      <c r="O217" t="str">
        <f>IFERROR(INDEX(Store_Manager!$A$2:$A$5,MATCH(M217,Store_Manager!$B$2:$B$5,0)),"")</f>
        <v>MGR001</v>
      </c>
    </row>
    <row r="218" spans="1:15" ht="15.75" customHeight="1">
      <c r="A218">
        <v>217</v>
      </c>
      <c r="B218" s="2">
        <v>45151</v>
      </c>
      <c r="C218" t="s">
        <v>238</v>
      </c>
      <c r="D218" t="s">
        <v>21</v>
      </c>
      <c r="E218">
        <v>35</v>
      </c>
      <c r="F218" s="3" t="s">
        <v>24</v>
      </c>
      <c r="G218">
        <v>4</v>
      </c>
      <c r="H218" s="4">
        <v>50</v>
      </c>
      <c r="I218" s="4">
        <v>200</v>
      </c>
      <c r="J218" t="s">
        <v>18</v>
      </c>
      <c r="K218" t="str">
        <f>IFERROR(VLOOKUP(F218&amp;"|"&amp;H218,Feature_Mappings!$A$2:$C$16,2,FALSE()),"")</f>
        <v>Bluetooth Speaker</v>
      </c>
      <c r="L218" t="str">
        <f>IFERROR(VLOOKUP(F218&amp;"|"&amp;H218,Feature_Mappings!$A$2:$C$16,3,FALSE()),"")</f>
        <v>SoundSphere Supply</v>
      </c>
      <c r="M218" t="str">
        <f>IFERROR(VLOOKUP(J218,Feature_Mappings!$D$2:$E$5,2,FALSE()),"")</f>
        <v>Olivia Bennett</v>
      </c>
      <c r="N218" t="s">
        <v>19</v>
      </c>
      <c r="O218" t="str">
        <f>IFERROR(INDEX(Store_Manager!$A$2:$A$5,MATCH(M218,Store_Manager!$B$2:$B$5,0)),"")</f>
        <v>MGR001</v>
      </c>
    </row>
    <row r="219" spans="1:15" ht="15.75" customHeight="1">
      <c r="A219">
        <v>218</v>
      </c>
      <c r="B219" s="2">
        <v>45191</v>
      </c>
      <c r="C219" t="s">
        <v>239</v>
      </c>
      <c r="D219" t="s">
        <v>16</v>
      </c>
      <c r="E219">
        <v>64</v>
      </c>
      <c r="F219" s="3" t="s">
        <v>17</v>
      </c>
      <c r="G219">
        <v>3</v>
      </c>
      <c r="H219" s="4">
        <v>30</v>
      </c>
      <c r="I219" s="4">
        <v>90</v>
      </c>
      <c r="J219" t="s">
        <v>18</v>
      </c>
      <c r="K219" t="str">
        <f>IFERROR(VLOOKUP(F219&amp;"|"&amp;H219,Feature_Mappings!$A$2:$C$16,2,FALSE()),"")</f>
        <v>Facial Cleanser</v>
      </c>
      <c r="L219" t="str">
        <f>IFERROR(VLOOKUP(F219&amp;"|"&amp;H219,Feature_Mappings!$A$2:$C$16,3,FALSE()),"")</f>
        <v>PureDerma Supplies</v>
      </c>
      <c r="M219" t="str">
        <f>IFERROR(VLOOKUP(J219,Feature_Mappings!$D$2:$E$5,2,FALSE()),"")</f>
        <v>Olivia Bennett</v>
      </c>
      <c r="N219" t="s">
        <v>19</v>
      </c>
      <c r="O219" t="str">
        <f>IFERROR(INDEX(Store_Manager!$A$2:$A$5,MATCH(M219,Store_Manager!$B$2:$B$5,0)),"")</f>
        <v>MGR001</v>
      </c>
    </row>
    <row r="220" spans="1:15" ht="15.75" customHeight="1">
      <c r="A220">
        <v>219</v>
      </c>
      <c r="B220" s="2">
        <v>45158</v>
      </c>
      <c r="C220" t="s">
        <v>240</v>
      </c>
      <c r="D220" t="s">
        <v>21</v>
      </c>
      <c r="E220">
        <v>53</v>
      </c>
      <c r="F220" s="3" t="s">
        <v>24</v>
      </c>
      <c r="G220">
        <v>3</v>
      </c>
      <c r="H220" s="4">
        <v>30</v>
      </c>
      <c r="I220" s="4">
        <v>90</v>
      </c>
      <c r="J220" t="s">
        <v>18</v>
      </c>
      <c r="K220" t="str">
        <f>IFERROR(VLOOKUP(F220&amp;"|"&amp;H220,Feature_Mappings!$A$2:$C$16,2,FALSE()),"")</f>
        <v>Wireless Mouse</v>
      </c>
      <c r="L220" t="str">
        <f>IFERROR(VLOOKUP(F220&amp;"|"&amp;H220,Feature_Mappings!$A$2:$C$16,3,FALSE()),"")</f>
        <v>ByteWave Distributors</v>
      </c>
      <c r="M220" t="str">
        <f>IFERROR(VLOOKUP(J220,Feature_Mappings!$D$2:$E$5,2,FALSE()),"")</f>
        <v>Olivia Bennett</v>
      </c>
      <c r="N220" t="s">
        <v>19</v>
      </c>
      <c r="O220" t="str">
        <f>IFERROR(INDEX(Store_Manager!$A$2:$A$5,MATCH(M220,Store_Manager!$B$2:$B$5,0)),"")</f>
        <v>MGR001</v>
      </c>
    </row>
    <row r="221" spans="1:15" ht="15.75" customHeight="1">
      <c r="A221">
        <v>220</v>
      </c>
      <c r="B221" s="2">
        <v>44988</v>
      </c>
      <c r="C221" t="s">
        <v>241</v>
      </c>
      <c r="D221" t="s">
        <v>16</v>
      </c>
      <c r="E221">
        <v>64</v>
      </c>
      <c r="F221" s="3" t="s">
        <v>17</v>
      </c>
      <c r="G221">
        <v>1</v>
      </c>
      <c r="H221" s="4">
        <v>500</v>
      </c>
      <c r="I221" s="4">
        <v>500</v>
      </c>
      <c r="J221" t="s">
        <v>18</v>
      </c>
      <c r="K221" t="str">
        <f>IFERROR(VLOOKUP(F221&amp;"|"&amp;H221,Feature_Mappings!$A$2:$C$16,2,FALSE()),"")</f>
        <v>LED Beauty Device</v>
      </c>
      <c r="L221" t="str">
        <f>IFERROR(VLOOKUP(F221&amp;"|"&amp;H221,Feature_Mappings!$A$2:$C$16,3,FALSE()),"")</f>
        <v>BeautyTech Pro</v>
      </c>
      <c r="M221" t="str">
        <f>IFERROR(VLOOKUP(J221,Feature_Mappings!$D$2:$E$5,2,FALSE()),"")</f>
        <v>Olivia Bennett</v>
      </c>
      <c r="N221" t="s">
        <v>19</v>
      </c>
      <c r="O221" t="str">
        <f>IFERROR(INDEX(Store_Manager!$A$2:$A$5,MATCH(M221,Store_Manager!$B$2:$B$5,0)),"")</f>
        <v>MGR001</v>
      </c>
    </row>
    <row r="222" spans="1:15" ht="15.75" customHeight="1">
      <c r="A222">
        <v>221</v>
      </c>
      <c r="B222" s="2">
        <v>45053</v>
      </c>
      <c r="C222" t="s">
        <v>242</v>
      </c>
      <c r="D222" t="s">
        <v>16</v>
      </c>
      <c r="E222">
        <v>39</v>
      </c>
      <c r="F222" s="3" t="s">
        <v>17</v>
      </c>
      <c r="G222">
        <v>2</v>
      </c>
      <c r="H222" s="4">
        <v>300</v>
      </c>
      <c r="I222" s="4">
        <v>600</v>
      </c>
      <c r="J222" t="s">
        <v>18</v>
      </c>
      <c r="K222" t="str">
        <f>IFERROR(VLOOKUP(F222&amp;"|"&amp;H222,Feature_Mappings!$A$2:$C$16,2,FALSE()),"")</f>
        <v>Skincare Gift Set</v>
      </c>
      <c r="L222" t="str">
        <f>IFERROR(VLOOKUP(F222&amp;"|"&amp;H222,Feature_Mappings!$A$2:$C$16,3,FALSE()),"")</f>
        <v>Radiant Beauty Wholesale</v>
      </c>
      <c r="M222" t="str">
        <f>IFERROR(VLOOKUP(J222,Feature_Mappings!$D$2:$E$5,2,FALSE()),"")</f>
        <v>Olivia Bennett</v>
      </c>
      <c r="N222" t="s">
        <v>19</v>
      </c>
      <c r="O222" t="str">
        <f>IFERROR(INDEX(Store_Manager!$A$2:$A$5,MATCH(M222,Store_Manager!$B$2:$B$5,0)),"")</f>
        <v>MGR001</v>
      </c>
    </row>
    <row r="223" spans="1:15" ht="15.75" customHeight="1">
      <c r="A223">
        <v>222</v>
      </c>
      <c r="B223" s="2">
        <v>45042</v>
      </c>
      <c r="C223" t="s">
        <v>243</v>
      </c>
      <c r="D223" t="s">
        <v>16</v>
      </c>
      <c r="E223">
        <v>51</v>
      </c>
      <c r="F223" s="3" t="s">
        <v>22</v>
      </c>
      <c r="G223">
        <v>4</v>
      </c>
      <c r="H223" s="4">
        <v>30</v>
      </c>
      <c r="I223" s="4">
        <v>120</v>
      </c>
      <c r="J223" t="s">
        <v>18</v>
      </c>
      <c r="K223" t="str">
        <f>IFERROR(VLOOKUP(F223&amp;"|"&amp;H223,Feature_Mappings!$A$2:$C$16,2,FALSE()),"")</f>
        <v>Graphic T-Shirt</v>
      </c>
      <c r="L223" t="str">
        <f>IFERROR(VLOOKUP(F223&amp;"|"&amp;H223,Feature_Mappings!$A$2:$C$16,3,FALSE()),"")</f>
        <v>ThreadWorks Apparel</v>
      </c>
      <c r="M223" t="str">
        <f>IFERROR(VLOOKUP(J223,Feature_Mappings!$D$2:$E$5,2,FALSE()),"")</f>
        <v>Olivia Bennett</v>
      </c>
      <c r="N223" t="s">
        <v>19</v>
      </c>
      <c r="O223" t="str">
        <f>IFERROR(INDEX(Store_Manager!$A$2:$A$5,MATCH(M223,Store_Manager!$B$2:$B$5,0)),"")</f>
        <v>MGR001</v>
      </c>
    </row>
    <row r="224" spans="1:15" ht="15.75" customHeight="1">
      <c r="A224">
        <v>223</v>
      </c>
      <c r="B224" s="2">
        <v>44959</v>
      </c>
      <c r="C224" t="s">
        <v>244</v>
      </c>
      <c r="D224" t="s">
        <v>21</v>
      </c>
      <c r="E224">
        <v>64</v>
      </c>
      <c r="F224" s="3" t="s">
        <v>22</v>
      </c>
      <c r="G224">
        <v>1</v>
      </c>
      <c r="H224" s="4">
        <v>25</v>
      </c>
      <c r="I224" s="4">
        <v>25</v>
      </c>
      <c r="J224" t="s">
        <v>18</v>
      </c>
      <c r="K224" t="str">
        <f>IFERROR(VLOOKUP(F224&amp;"|"&amp;H224,Feature_Mappings!$A$2:$C$16,2,FALSE()),"")</f>
        <v>Cotton Socks</v>
      </c>
      <c r="L224" t="str">
        <f>IFERROR(VLOOKUP(F224&amp;"|"&amp;H224,Feature_Mappings!$A$2:$C$16,3,FALSE()),"")</f>
        <v>Urban Basics Co.</v>
      </c>
      <c r="M224" t="str">
        <f>IFERROR(VLOOKUP(J224,Feature_Mappings!$D$2:$E$5,2,FALSE()),"")</f>
        <v>Olivia Bennett</v>
      </c>
      <c r="N224" t="s">
        <v>19</v>
      </c>
      <c r="O224" t="str">
        <f>IFERROR(INDEX(Store_Manager!$A$2:$A$5,MATCH(M224,Store_Manager!$B$2:$B$5,0)),"")</f>
        <v>MGR001</v>
      </c>
    </row>
    <row r="225" spans="1:15" ht="15.75" customHeight="1">
      <c r="A225">
        <v>224</v>
      </c>
      <c r="B225" s="2">
        <v>45100</v>
      </c>
      <c r="C225" t="s">
        <v>245</v>
      </c>
      <c r="D225" t="s">
        <v>21</v>
      </c>
      <c r="E225">
        <v>25</v>
      </c>
      <c r="F225" s="3" t="s">
        <v>22</v>
      </c>
      <c r="G225">
        <v>1</v>
      </c>
      <c r="H225" s="4">
        <v>50</v>
      </c>
      <c r="I225" s="4">
        <v>50</v>
      </c>
      <c r="J225" t="s">
        <v>18</v>
      </c>
      <c r="K225" t="str">
        <f>IFERROR(VLOOKUP(F225&amp;"|"&amp;H225,Feature_Mappings!$A$2:$C$16,2,FALSE()),"")</f>
        <v>Denim Jeans</v>
      </c>
      <c r="L225" t="str">
        <f>IFERROR(VLOOKUP(F225&amp;"|"&amp;H225,Feature_Mappings!$A$2:$C$16,3,FALSE()),"")</f>
        <v>BlueFit Garments</v>
      </c>
      <c r="M225" t="str">
        <f>IFERROR(VLOOKUP(J225,Feature_Mappings!$D$2:$E$5,2,FALSE()),"")</f>
        <v>Olivia Bennett</v>
      </c>
      <c r="N225" t="s">
        <v>19</v>
      </c>
      <c r="O225" t="str">
        <f>IFERROR(INDEX(Store_Manager!$A$2:$A$5,MATCH(M225,Store_Manager!$B$2:$B$5,0)),"")</f>
        <v>MGR001</v>
      </c>
    </row>
    <row r="226" spans="1:15" ht="15.75" customHeight="1">
      <c r="A226">
        <v>225</v>
      </c>
      <c r="B226" s="2">
        <v>44937</v>
      </c>
      <c r="C226" t="s">
        <v>246</v>
      </c>
      <c r="D226" t="s">
        <v>21</v>
      </c>
      <c r="E226">
        <v>57</v>
      </c>
      <c r="F226" s="3" t="s">
        <v>17</v>
      </c>
      <c r="G226">
        <v>4</v>
      </c>
      <c r="H226" s="4">
        <v>25</v>
      </c>
      <c r="I226" s="4">
        <v>100</v>
      </c>
      <c r="J226" t="s">
        <v>18</v>
      </c>
      <c r="K226" t="str">
        <f>IFERROR(VLOOKUP(F226&amp;"|"&amp;H226,Feature_Mappings!$A$2:$C$16,2,FALSE()),"")</f>
        <v>Lip Balm</v>
      </c>
      <c r="L226" t="str">
        <f>IFERROR(VLOOKUP(F226&amp;"|"&amp;H226,Feature_Mappings!$A$2:$C$16,3,FALSE()),"")</f>
        <v>GlowSource Cosmetics</v>
      </c>
      <c r="M226" t="str">
        <f>IFERROR(VLOOKUP(J226,Feature_Mappings!$D$2:$E$5,2,FALSE()),"")</f>
        <v>Olivia Bennett</v>
      </c>
      <c r="N226" t="s">
        <v>19</v>
      </c>
      <c r="O226" t="str">
        <f>IFERROR(INDEX(Store_Manager!$A$2:$A$5,MATCH(M226,Store_Manager!$B$2:$B$5,0)),"")</f>
        <v>MGR001</v>
      </c>
    </row>
    <row r="227" spans="1:15" ht="15.75" customHeight="1">
      <c r="A227">
        <v>226</v>
      </c>
      <c r="B227" s="2">
        <v>45228</v>
      </c>
      <c r="C227" t="s">
        <v>247</v>
      </c>
      <c r="D227" t="s">
        <v>21</v>
      </c>
      <c r="E227">
        <v>61</v>
      </c>
      <c r="F227" s="3" t="s">
        <v>22</v>
      </c>
      <c r="G227">
        <v>1</v>
      </c>
      <c r="H227" s="4">
        <v>50</v>
      </c>
      <c r="I227" s="4">
        <v>50</v>
      </c>
      <c r="J227" t="s">
        <v>18</v>
      </c>
      <c r="K227" t="str">
        <f>IFERROR(VLOOKUP(F227&amp;"|"&amp;H227,Feature_Mappings!$A$2:$C$16,2,FALSE()),"")</f>
        <v>Denim Jeans</v>
      </c>
      <c r="L227" t="str">
        <f>IFERROR(VLOOKUP(F227&amp;"|"&amp;H227,Feature_Mappings!$A$2:$C$16,3,FALSE()),"")</f>
        <v>BlueFit Garments</v>
      </c>
      <c r="M227" t="str">
        <f>IFERROR(VLOOKUP(J227,Feature_Mappings!$D$2:$E$5,2,FALSE()),"")</f>
        <v>Olivia Bennett</v>
      </c>
      <c r="N227" t="s">
        <v>19</v>
      </c>
      <c r="O227" t="str">
        <f>IFERROR(INDEX(Store_Manager!$A$2:$A$5,MATCH(M227,Store_Manager!$B$2:$B$5,0)),"")</f>
        <v>MGR001</v>
      </c>
    </row>
    <row r="228" spans="1:15" ht="15.75" customHeight="1">
      <c r="A228">
        <v>227</v>
      </c>
      <c r="B228" s="2">
        <v>45210</v>
      </c>
      <c r="C228" t="s">
        <v>248</v>
      </c>
      <c r="D228" t="s">
        <v>16</v>
      </c>
      <c r="E228">
        <v>36</v>
      </c>
      <c r="F228" s="3" t="s">
        <v>24</v>
      </c>
      <c r="G228">
        <v>2</v>
      </c>
      <c r="H228" s="4">
        <v>50</v>
      </c>
      <c r="I228" s="4">
        <v>100</v>
      </c>
      <c r="J228" t="s">
        <v>18</v>
      </c>
      <c r="K228" t="str">
        <f>IFERROR(VLOOKUP(F228&amp;"|"&amp;H228,Feature_Mappings!$A$2:$C$16,2,FALSE()),"")</f>
        <v>Bluetooth Speaker</v>
      </c>
      <c r="L228" t="str">
        <f>IFERROR(VLOOKUP(F228&amp;"|"&amp;H228,Feature_Mappings!$A$2:$C$16,3,FALSE()),"")</f>
        <v>SoundSphere Supply</v>
      </c>
      <c r="M228" t="str">
        <f>IFERROR(VLOOKUP(J228,Feature_Mappings!$D$2:$E$5,2,FALSE()),"")</f>
        <v>Olivia Bennett</v>
      </c>
      <c r="N228" t="s">
        <v>19</v>
      </c>
      <c r="O228" t="str">
        <f>IFERROR(INDEX(Store_Manager!$A$2:$A$5,MATCH(M228,Store_Manager!$B$2:$B$5,0)),"")</f>
        <v>MGR001</v>
      </c>
    </row>
    <row r="229" spans="1:15" ht="15.75" customHeight="1">
      <c r="A229">
        <v>228</v>
      </c>
      <c r="B229" s="2">
        <v>45044</v>
      </c>
      <c r="C229" t="s">
        <v>249</v>
      </c>
      <c r="D229" t="s">
        <v>21</v>
      </c>
      <c r="E229">
        <v>59</v>
      </c>
      <c r="F229" s="3" t="s">
        <v>24</v>
      </c>
      <c r="G229">
        <v>2</v>
      </c>
      <c r="H229" s="4">
        <v>30</v>
      </c>
      <c r="I229" s="4">
        <v>60</v>
      </c>
      <c r="J229" t="s">
        <v>18</v>
      </c>
      <c r="K229" t="str">
        <f>IFERROR(VLOOKUP(F229&amp;"|"&amp;H229,Feature_Mappings!$A$2:$C$16,2,FALSE()),"")</f>
        <v>Wireless Mouse</v>
      </c>
      <c r="L229" t="str">
        <f>IFERROR(VLOOKUP(F229&amp;"|"&amp;H229,Feature_Mappings!$A$2:$C$16,3,FALSE()),"")</f>
        <v>ByteWave Distributors</v>
      </c>
      <c r="M229" t="str">
        <f>IFERROR(VLOOKUP(J229,Feature_Mappings!$D$2:$E$5,2,FALSE()),"")</f>
        <v>Olivia Bennett</v>
      </c>
      <c r="N229" t="s">
        <v>19</v>
      </c>
      <c r="O229" t="str">
        <f>IFERROR(INDEX(Store_Manager!$A$2:$A$5,MATCH(M229,Store_Manager!$B$2:$B$5,0)),"")</f>
        <v>MGR001</v>
      </c>
    </row>
    <row r="230" spans="1:15" ht="15.75" customHeight="1">
      <c r="A230">
        <v>229</v>
      </c>
      <c r="B230" s="2">
        <v>45228</v>
      </c>
      <c r="C230" t="s">
        <v>250</v>
      </c>
      <c r="D230" t="s">
        <v>16</v>
      </c>
      <c r="E230">
        <v>58</v>
      </c>
      <c r="F230" s="3" t="s">
        <v>17</v>
      </c>
      <c r="G230">
        <v>3</v>
      </c>
      <c r="H230" s="4">
        <v>30</v>
      </c>
      <c r="I230" s="4">
        <v>90</v>
      </c>
      <c r="J230" t="s">
        <v>18</v>
      </c>
      <c r="K230" t="str">
        <f>IFERROR(VLOOKUP(F230&amp;"|"&amp;H230,Feature_Mappings!$A$2:$C$16,2,FALSE()),"")</f>
        <v>Facial Cleanser</v>
      </c>
      <c r="L230" t="str">
        <f>IFERROR(VLOOKUP(F230&amp;"|"&amp;H230,Feature_Mappings!$A$2:$C$16,3,FALSE()),"")</f>
        <v>PureDerma Supplies</v>
      </c>
      <c r="M230" t="str">
        <f>IFERROR(VLOOKUP(J230,Feature_Mappings!$D$2:$E$5,2,FALSE()),"")</f>
        <v>Olivia Bennett</v>
      </c>
      <c r="N230" t="s">
        <v>19</v>
      </c>
      <c r="O230" t="str">
        <f>IFERROR(INDEX(Store_Manager!$A$2:$A$5,MATCH(M230,Store_Manager!$B$2:$B$5,0)),"")</f>
        <v>MGR001</v>
      </c>
    </row>
    <row r="231" spans="1:15" ht="15.75" customHeight="1">
      <c r="A231">
        <v>230</v>
      </c>
      <c r="B231" s="2">
        <v>45039</v>
      </c>
      <c r="C231" t="s">
        <v>251</v>
      </c>
      <c r="D231" t="s">
        <v>16</v>
      </c>
      <c r="E231">
        <v>54</v>
      </c>
      <c r="F231" s="3" t="s">
        <v>17</v>
      </c>
      <c r="G231">
        <v>1</v>
      </c>
      <c r="H231" s="4">
        <v>25</v>
      </c>
      <c r="I231" s="4">
        <v>25</v>
      </c>
      <c r="J231" t="s">
        <v>18</v>
      </c>
      <c r="K231" t="str">
        <f>IFERROR(VLOOKUP(F231&amp;"|"&amp;H231,Feature_Mappings!$A$2:$C$16,2,FALSE()),"")</f>
        <v>Lip Balm</v>
      </c>
      <c r="L231" t="str">
        <f>IFERROR(VLOOKUP(F231&amp;"|"&amp;H231,Feature_Mappings!$A$2:$C$16,3,FALSE()),"")</f>
        <v>GlowSource Cosmetics</v>
      </c>
      <c r="M231" t="str">
        <f>IFERROR(VLOOKUP(J231,Feature_Mappings!$D$2:$E$5,2,FALSE()),"")</f>
        <v>Olivia Bennett</v>
      </c>
      <c r="N231" t="s">
        <v>19</v>
      </c>
      <c r="O231" t="str">
        <f>IFERROR(INDEX(Store_Manager!$A$2:$A$5,MATCH(M231,Store_Manager!$B$2:$B$5,0)),"")</f>
        <v>MGR001</v>
      </c>
    </row>
    <row r="232" spans="1:15" ht="15.75" customHeight="1">
      <c r="A232">
        <v>231</v>
      </c>
      <c r="B232" s="2">
        <v>44930</v>
      </c>
      <c r="C232" t="s">
        <v>252</v>
      </c>
      <c r="D232" t="s">
        <v>21</v>
      </c>
      <c r="E232">
        <v>23</v>
      </c>
      <c r="F232" s="3" t="s">
        <v>22</v>
      </c>
      <c r="G232">
        <v>3</v>
      </c>
      <c r="H232" s="4">
        <v>50</v>
      </c>
      <c r="I232" s="4">
        <v>150</v>
      </c>
      <c r="J232" t="s">
        <v>18</v>
      </c>
      <c r="K232" t="str">
        <f>IFERROR(VLOOKUP(F232&amp;"|"&amp;H232,Feature_Mappings!$A$2:$C$16,2,FALSE()),"")</f>
        <v>Denim Jeans</v>
      </c>
      <c r="L232" t="str">
        <f>IFERROR(VLOOKUP(F232&amp;"|"&amp;H232,Feature_Mappings!$A$2:$C$16,3,FALSE()),"")</f>
        <v>BlueFit Garments</v>
      </c>
      <c r="M232" t="str">
        <f>IFERROR(VLOOKUP(J232,Feature_Mappings!$D$2:$E$5,2,FALSE()),"")</f>
        <v>Olivia Bennett</v>
      </c>
      <c r="N232" t="s">
        <v>19</v>
      </c>
      <c r="O232" t="str">
        <f>IFERROR(INDEX(Store_Manager!$A$2:$A$5,MATCH(M232,Store_Manager!$B$2:$B$5,0)),"")</f>
        <v>MGR001</v>
      </c>
    </row>
    <row r="233" spans="1:15" ht="15.75" customHeight="1">
      <c r="A233">
        <v>232</v>
      </c>
      <c r="B233" s="2">
        <v>44963</v>
      </c>
      <c r="C233" t="s">
        <v>253</v>
      </c>
      <c r="D233" t="s">
        <v>21</v>
      </c>
      <c r="E233">
        <v>43</v>
      </c>
      <c r="F233" s="3" t="s">
        <v>17</v>
      </c>
      <c r="G233">
        <v>1</v>
      </c>
      <c r="H233" s="4">
        <v>25</v>
      </c>
      <c r="I233" s="4">
        <v>25</v>
      </c>
      <c r="J233" t="s">
        <v>18</v>
      </c>
      <c r="K233" t="str">
        <f>IFERROR(VLOOKUP(F233&amp;"|"&amp;H233,Feature_Mappings!$A$2:$C$16,2,FALSE()),"")</f>
        <v>Lip Balm</v>
      </c>
      <c r="L233" t="str">
        <f>IFERROR(VLOOKUP(F233&amp;"|"&amp;H233,Feature_Mappings!$A$2:$C$16,3,FALSE()),"")</f>
        <v>GlowSource Cosmetics</v>
      </c>
      <c r="M233" t="str">
        <f>IFERROR(VLOOKUP(J233,Feature_Mappings!$D$2:$E$5,2,FALSE()),"")</f>
        <v>Olivia Bennett</v>
      </c>
      <c r="N233" t="s">
        <v>19</v>
      </c>
      <c r="O233" t="str">
        <f>IFERROR(INDEX(Store_Manager!$A$2:$A$5,MATCH(M233,Store_Manager!$B$2:$B$5,0)),"")</f>
        <v>MGR001</v>
      </c>
    </row>
    <row r="234" spans="1:15" ht="15.75" customHeight="1">
      <c r="A234">
        <v>233</v>
      </c>
      <c r="B234" s="2">
        <v>45289</v>
      </c>
      <c r="C234" t="s">
        <v>254</v>
      </c>
      <c r="D234" t="s">
        <v>21</v>
      </c>
      <c r="E234">
        <v>51</v>
      </c>
      <c r="F234" s="3" t="s">
        <v>17</v>
      </c>
      <c r="G234">
        <v>2</v>
      </c>
      <c r="H234" s="4">
        <v>300</v>
      </c>
      <c r="I234" s="4">
        <v>600</v>
      </c>
      <c r="J234" t="s">
        <v>18</v>
      </c>
      <c r="K234" t="str">
        <f>IFERROR(VLOOKUP(F234&amp;"|"&amp;H234,Feature_Mappings!$A$2:$C$16,2,FALSE()),"")</f>
        <v>Skincare Gift Set</v>
      </c>
      <c r="L234" t="str">
        <f>IFERROR(VLOOKUP(F234&amp;"|"&amp;H234,Feature_Mappings!$A$2:$C$16,3,FALSE()),"")</f>
        <v>Radiant Beauty Wholesale</v>
      </c>
      <c r="M234" t="str">
        <f>IFERROR(VLOOKUP(J234,Feature_Mappings!$D$2:$E$5,2,FALSE()),"")</f>
        <v>Olivia Bennett</v>
      </c>
      <c r="N234" t="s">
        <v>19</v>
      </c>
      <c r="O234" t="str">
        <f>IFERROR(INDEX(Store_Manager!$A$2:$A$5,MATCH(M234,Store_Manager!$B$2:$B$5,0)),"")</f>
        <v>MGR001</v>
      </c>
    </row>
    <row r="235" spans="1:15" ht="15.75" customHeight="1">
      <c r="A235">
        <v>234</v>
      </c>
      <c r="B235" s="2">
        <v>45250</v>
      </c>
      <c r="C235" t="s">
        <v>255</v>
      </c>
      <c r="D235" t="s">
        <v>21</v>
      </c>
      <c r="E235">
        <v>62</v>
      </c>
      <c r="F235" s="3" t="s">
        <v>24</v>
      </c>
      <c r="G235">
        <v>2</v>
      </c>
      <c r="H235" s="4">
        <v>25</v>
      </c>
      <c r="I235" s="4">
        <v>50</v>
      </c>
      <c r="J235" t="s">
        <v>18</v>
      </c>
      <c r="K235" t="str">
        <f>IFERROR(VLOOKUP(F235&amp;"|"&amp;H235,Feature_Mappings!$A$2:$C$16,2,FALSE()),"")</f>
        <v>USB-C Charger</v>
      </c>
      <c r="L235" t="str">
        <f>IFERROR(VLOOKUP(F235&amp;"|"&amp;H235,Feature_Mappings!$A$2:$C$16,3,FALSE()),"")</f>
        <v>VoltEdge Electronics</v>
      </c>
      <c r="M235" t="str">
        <f>IFERROR(VLOOKUP(J235,Feature_Mappings!$D$2:$E$5,2,FALSE()),"")</f>
        <v>Olivia Bennett</v>
      </c>
      <c r="N235" t="s">
        <v>19</v>
      </c>
      <c r="O235" t="str">
        <f>IFERROR(INDEX(Store_Manager!$A$2:$A$5,MATCH(M235,Store_Manager!$B$2:$B$5,0)),"")</f>
        <v>MGR001</v>
      </c>
    </row>
    <row r="236" spans="1:15" ht="15.75" customHeight="1">
      <c r="A236">
        <v>235</v>
      </c>
      <c r="B236" s="2">
        <v>44957</v>
      </c>
      <c r="C236" t="s">
        <v>256</v>
      </c>
      <c r="D236" t="s">
        <v>21</v>
      </c>
      <c r="E236">
        <v>23</v>
      </c>
      <c r="F236" s="3" t="s">
        <v>24</v>
      </c>
      <c r="G236">
        <v>2</v>
      </c>
      <c r="H236" s="4">
        <v>500</v>
      </c>
      <c r="I236" s="4">
        <v>1000</v>
      </c>
      <c r="J236" t="s">
        <v>18</v>
      </c>
      <c r="K236" t="str">
        <f>IFERROR(VLOOKUP(F236&amp;"|"&amp;H236,Feature_Mappings!$A$2:$C$16,2,FALSE()),"")</f>
        <v>Smartphone</v>
      </c>
      <c r="L236" t="str">
        <f>IFERROR(VLOOKUP(F236&amp;"|"&amp;H236,Feature_Mappings!$A$2:$C$16,3,FALSE()),"")</f>
        <v>NovaTech Wholesale</v>
      </c>
      <c r="M236" t="str">
        <f>IFERROR(VLOOKUP(J236,Feature_Mappings!$D$2:$E$5,2,FALSE()),"")</f>
        <v>Olivia Bennett</v>
      </c>
      <c r="N236" t="s">
        <v>19</v>
      </c>
      <c r="O236" t="str">
        <f>IFERROR(INDEX(Store_Manager!$A$2:$A$5,MATCH(M236,Store_Manager!$B$2:$B$5,0)),"")</f>
        <v>MGR001</v>
      </c>
    </row>
    <row r="237" spans="1:15" ht="15.75" customHeight="1">
      <c r="A237">
        <v>236</v>
      </c>
      <c r="B237" s="2">
        <v>45044</v>
      </c>
      <c r="C237" t="s">
        <v>257</v>
      </c>
      <c r="D237" t="s">
        <v>21</v>
      </c>
      <c r="E237">
        <v>54</v>
      </c>
      <c r="F237" s="3" t="s">
        <v>22</v>
      </c>
      <c r="G237">
        <v>1</v>
      </c>
      <c r="H237" s="4">
        <v>25</v>
      </c>
      <c r="I237" s="4">
        <v>25</v>
      </c>
      <c r="J237" t="s">
        <v>18</v>
      </c>
      <c r="K237" t="str">
        <f>IFERROR(VLOOKUP(F237&amp;"|"&amp;H237,Feature_Mappings!$A$2:$C$16,2,FALSE()),"")</f>
        <v>Cotton Socks</v>
      </c>
      <c r="L237" t="str">
        <f>IFERROR(VLOOKUP(F237&amp;"|"&amp;H237,Feature_Mappings!$A$2:$C$16,3,FALSE()),"")</f>
        <v>Urban Basics Co.</v>
      </c>
      <c r="M237" t="str">
        <f>IFERROR(VLOOKUP(J237,Feature_Mappings!$D$2:$E$5,2,FALSE()),"")</f>
        <v>Olivia Bennett</v>
      </c>
      <c r="N237" t="s">
        <v>19</v>
      </c>
      <c r="O237" t="str">
        <f>IFERROR(INDEX(Store_Manager!$A$2:$A$5,MATCH(M237,Store_Manager!$B$2:$B$5,0)),"")</f>
        <v>MGR001</v>
      </c>
    </row>
    <row r="238" spans="1:15" ht="15.75" customHeight="1">
      <c r="A238">
        <v>237</v>
      </c>
      <c r="B238" s="2">
        <v>44961</v>
      </c>
      <c r="C238" t="s">
        <v>258</v>
      </c>
      <c r="D238" t="s">
        <v>21</v>
      </c>
      <c r="E238">
        <v>50</v>
      </c>
      <c r="F238" s="3" t="s">
        <v>17</v>
      </c>
      <c r="G238">
        <v>2</v>
      </c>
      <c r="H238" s="4">
        <v>500</v>
      </c>
      <c r="I238" s="4">
        <v>1000</v>
      </c>
      <c r="J238" t="s">
        <v>18</v>
      </c>
      <c r="K238" t="str">
        <f>IFERROR(VLOOKUP(F238&amp;"|"&amp;H238,Feature_Mappings!$A$2:$C$16,2,FALSE()),"")</f>
        <v>LED Beauty Device</v>
      </c>
      <c r="L238" t="str">
        <f>IFERROR(VLOOKUP(F238&amp;"|"&amp;H238,Feature_Mappings!$A$2:$C$16,3,FALSE()),"")</f>
        <v>BeautyTech Pro</v>
      </c>
      <c r="M238" t="str">
        <f>IFERROR(VLOOKUP(J238,Feature_Mappings!$D$2:$E$5,2,FALSE()),"")</f>
        <v>Olivia Bennett</v>
      </c>
      <c r="N238" t="s">
        <v>19</v>
      </c>
      <c r="O238" t="str">
        <f>IFERROR(INDEX(Store_Manager!$A$2:$A$5,MATCH(M238,Store_Manager!$B$2:$B$5,0)),"")</f>
        <v>MGR001</v>
      </c>
    </row>
    <row r="239" spans="1:15" ht="15.75" customHeight="1">
      <c r="A239">
        <v>238</v>
      </c>
      <c r="B239" s="2">
        <v>44943</v>
      </c>
      <c r="C239" t="s">
        <v>259</v>
      </c>
      <c r="D239" t="s">
        <v>21</v>
      </c>
      <c r="E239">
        <v>39</v>
      </c>
      <c r="F239" s="3" t="s">
        <v>17</v>
      </c>
      <c r="G239">
        <v>1</v>
      </c>
      <c r="H239" s="4">
        <v>500</v>
      </c>
      <c r="I239" s="4">
        <v>500</v>
      </c>
      <c r="J239" t="s">
        <v>18</v>
      </c>
      <c r="K239" t="str">
        <f>IFERROR(VLOOKUP(F239&amp;"|"&amp;H239,Feature_Mappings!$A$2:$C$16,2,FALSE()),"")</f>
        <v>LED Beauty Device</v>
      </c>
      <c r="L239" t="str">
        <f>IFERROR(VLOOKUP(F239&amp;"|"&amp;H239,Feature_Mappings!$A$2:$C$16,3,FALSE()),"")</f>
        <v>BeautyTech Pro</v>
      </c>
      <c r="M239" t="str">
        <f>IFERROR(VLOOKUP(J239,Feature_Mappings!$D$2:$E$5,2,FALSE()),"")</f>
        <v>Olivia Bennett</v>
      </c>
      <c r="N239" t="s">
        <v>19</v>
      </c>
      <c r="O239" t="str">
        <f>IFERROR(INDEX(Store_Manager!$A$2:$A$5,MATCH(M239,Store_Manager!$B$2:$B$5,0)),"")</f>
        <v>MGR001</v>
      </c>
    </row>
    <row r="240" spans="1:15" ht="15.75" customHeight="1">
      <c r="A240">
        <v>239</v>
      </c>
      <c r="B240" s="2">
        <v>45096</v>
      </c>
      <c r="C240" t="s">
        <v>260</v>
      </c>
      <c r="D240" t="s">
        <v>16</v>
      </c>
      <c r="E240">
        <v>38</v>
      </c>
      <c r="F240" s="3" t="s">
        <v>24</v>
      </c>
      <c r="G240">
        <v>3</v>
      </c>
      <c r="H240" s="4">
        <v>500</v>
      </c>
      <c r="I240" s="4">
        <v>1500</v>
      </c>
      <c r="J240" t="s">
        <v>18</v>
      </c>
      <c r="K240" t="str">
        <f>IFERROR(VLOOKUP(F240&amp;"|"&amp;H240,Feature_Mappings!$A$2:$C$16,2,FALSE()),"")</f>
        <v>Smartphone</v>
      </c>
      <c r="L240" t="str">
        <f>IFERROR(VLOOKUP(F240&amp;"|"&amp;H240,Feature_Mappings!$A$2:$C$16,3,FALSE()),"")</f>
        <v>NovaTech Wholesale</v>
      </c>
      <c r="M240" t="str">
        <f>IFERROR(VLOOKUP(J240,Feature_Mappings!$D$2:$E$5,2,FALSE()),"")</f>
        <v>Olivia Bennett</v>
      </c>
      <c r="N240" t="s">
        <v>19</v>
      </c>
      <c r="O240" t="str">
        <f>IFERROR(INDEX(Store_Manager!$A$2:$A$5,MATCH(M240,Store_Manager!$B$2:$B$5,0)),"")</f>
        <v>MGR001</v>
      </c>
    </row>
    <row r="241" spans="1:15" ht="15.75" customHeight="1">
      <c r="A241">
        <v>240</v>
      </c>
      <c r="B241" s="2">
        <v>44963</v>
      </c>
      <c r="C241" t="s">
        <v>261</v>
      </c>
      <c r="D241" t="s">
        <v>21</v>
      </c>
      <c r="E241">
        <v>23</v>
      </c>
      <c r="F241" s="3" t="s">
        <v>17</v>
      </c>
      <c r="G241">
        <v>1</v>
      </c>
      <c r="H241" s="4">
        <v>300</v>
      </c>
      <c r="I241" s="4">
        <v>300</v>
      </c>
      <c r="J241" t="s">
        <v>18</v>
      </c>
      <c r="K241" t="str">
        <f>IFERROR(VLOOKUP(F241&amp;"|"&amp;H241,Feature_Mappings!$A$2:$C$16,2,FALSE()),"")</f>
        <v>Skincare Gift Set</v>
      </c>
      <c r="L241" t="str">
        <f>IFERROR(VLOOKUP(F241&amp;"|"&amp;H241,Feature_Mappings!$A$2:$C$16,3,FALSE()),"")</f>
        <v>Radiant Beauty Wholesale</v>
      </c>
      <c r="M241" t="str">
        <f>IFERROR(VLOOKUP(J241,Feature_Mappings!$D$2:$E$5,2,FALSE()),"")</f>
        <v>Olivia Bennett</v>
      </c>
      <c r="N241" t="s">
        <v>19</v>
      </c>
      <c r="O241" t="str">
        <f>IFERROR(INDEX(Store_Manager!$A$2:$A$5,MATCH(M241,Store_Manager!$B$2:$B$5,0)),"")</f>
        <v>MGR001</v>
      </c>
    </row>
    <row r="242" spans="1:15" ht="15.75" customHeight="1">
      <c r="A242">
        <v>241</v>
      </c>
      <c r="B242" s="2">
        <v>45190</v>
      </c>
      <c r="C242" t="s">
        <v>262</v>
      </c>
      <c r="D242" t="s">
        <v>21</v>
      </c>
      <c r="E242">
        <v>23</v>
      </c>
      <c r="F242" s="3" t="s">
        <v>24</v>
      </c>
      <c r="G242">
        <v>3</v>
      </c>
      <c r="H242" s="4">
        <v>25</v>
      </c>
      <c r="I242" s="4">
        <v>75</v>
      </c>
      <c r="J242" t="s">
        <v>18</v>
      </c>
      <c r="K242" t="str">
        <f>IFERROR(VLOOKUP(F242&amp;"|"&amp;H242,Feature_Mappings!$A$2:$C$16,2,FALSE()),"")</f>
        <v>USB-C Charger</v>
      </c>
      <c r="L242" t="str">
        <f>IFERROR(VLOOKUP(F242&amp;"|"&amp;H242,Feature_Mappings!$A$2:$C$16,3,FALSE()),"")</f>
        <v>VoltEdge Electronics</v>
      </c>
      <c r="M242" t="str">
        <f>IFERROR(VLOOKUP(J242,Feature_Mappings!$D$2:$E$5,2,FALSE()),"")</f>
        <v>Olivia Bennett</v>
      </c>
      <c r="N242" t="s">
        <v>19</v>
      </c>
      <c r="O242" t="str">
        <f>IFERROR(INDEX(Store_Manager!$A$2:$A$5,MATCH(M242,Store_Manager!$B$2:$B$5,0)),"")</f>
        <v>MGR001</v>
      </c>
    </row>
    <row r="243" spans="1:15" ht="15.75" customHeight="1">
      <c r="A243">
        <v>242</v>
      </c>
      <c r="B243" s="2">
        <v>45048</v>
      </c>
      <c r="C243" t="s">
        <v>263</v>
      </c>
      <c r="D243" t="s">
        <v>16</v>
      </c>
      <c r="E243">
        <v>21</v>
      </c>
      <c r="F243" s="3" t="s">
        <v>22</v>
      </c>
      <c r="G243">
        <v>1</v>
      </c>
      <c r="H243" s="4">
        <v>25</v>
      </c>
      <c r="I243" s="4">
        <v>25</v>
      </c>
      <c r="J243" t="s">
        <v>18</v>
      </c>
      <c r="K243" t="str">
        <f>IFERROR(VLOOKUP(F243&amp;"|"&amp;H243,Feature_Mappings!$A$2:$C$16,2,FALSE()),"")</f>
        <v>Cotton Socks</v>
      </c>
      <c r="L243" t="str">
        <f>IFERROR(VLOOKUP(F243&amp;"|"&amp;H243,Feature_Mappings!$A$2:$C$16,3,FALSE()),"")</f>
        <v>Urban Basics Co.</v>
      </c>
      <c r="M243" t="str">
        <f>IFERROR(VLOOKUP(J243,Feature_Mappings!$D$2:$E$5,2,FALSE()),"")</f>
        <v>Olivia Bennett</v>
      </c>
      <c r="N243" t="s">
        <v>19</v>
      </c>
      <c r="O243" t="str">
        <f>IFERROR(INDEX(Store_Manager!$A$2:$A$5,MATCH(M243,Store_Manager!$B$2:$B$5,0)),"")</f>
        <v>MGR001</v>
      </c>
    </row>
    <row r="244" spans="1:15" ht="15.75" customHeight="1">
      <c r="A244">
        <v>243</v>
      </c>
      <c r="B244" s="2">
        <v>45069</v>
      </c>
      <c r="C244" t="s">
        <v>264</v>
      </c>
      <c r="D244" t="s">
        <v>21</v>
      </c>
      <c r="E244">
        <v>47</v>
      </c>
      <c r="F244" s="3" t="s">
        <v>24</v>
      </c>
      <c r="G244">
        <v>3</v>
      </c>
      <c r="H244" s="4">
        <v>300</v>
      </c>
      <c r="I244" s="4">
        <v>900</v>
      </c>
      <c r="J244" t="s">
        <v>18</v>
      </c>
      <c r="K244" t="str">
        <f>IFERROR(VLOOKUP(F244&amp;"|"&amp;H244,Feature_Mappings!$A$2:$C$16,2,FALSE()),"")</f>
        <v>Tablet</v>
      </c>
      <c r="L244" t="str">
        <f>IFERROR(VLOOKUP(F244&amp;"|"&amp;H244,Feature_Mappings!$A$2:$C$16,3,FALSE()),"")</f>
        <v>NextGen Devices</v>
      </c>
      <c r="M244" t="str">
        <f>IFERROR(VLOOKUP(J244,Feature_Mappings!$D$2:$E$5,2,FALSE()),"")</f>
        <v>Olivia Bennett</v>
      </c>
      <c r="N244" t="s">
        <v>19</v>
      </c>
      <c r="O244" t="str">
        <f>IFERROR(INDEX(Store_Manager!$A$2:$A$5,MATCH(M244,Store_Manager!$B$2:$B$5,0)),"")</f>
        <v>MGR001</v>
      </c>
    </row>
    <row r="245" spans="1:15" ht="15.75" customHeight="1">
      <c r="A245">
        <v>244</v>
      </c>
      <c r="B245" s="2">
        <v>45269</v>
      </c>
      <c r="C245" t="s">
        <v>265</v>
      </c>
      <c r="D245" t="s">
        <v>16</v>
      </c>
      <c r="E245">
        <v>28</v>
      </c>
      <c r="F245" s="3" t="s">
        <v>17</v>
      </c>
      <c r="G245">
        <v>2</v>
      </c>
      <c r="H245" s="4">
        <v>50</v>
      </c>
      <c r="I245" s="4">
        <v>100</v>
      </c>
      <c r="J245" t="s">
        <v>18</v>
      </c>
      <c r="K245" t="str">
        <f>IFERROR(VLOOKUP(F245&amp;"|"&amp;H245,Feature_Mappings!$A$2:$C$16,2,FALSE()),"")</f>
        <v>Eau de Parfum</v>
      </c>
      <c r="L245" t="str">
        <f>IFERROR(VLOOKUP(F245&amp;"|"&amp;H245,Feature_Mappings!$A$2:$C$16,3,FALSE()),"")</f>
        <v>Luxe Aroma Labs</v>
      </c>
      <c r="M245" t="str">
        <f>IFERROR(VLOOKUP(J245,Feature_Mappings!$D$2:$E$5,2,FALSE()),"")</f>
        <v>Olivia Bennett</v>
      </c>
      <c r="N245" t="s">
        <v>19</v>
      </c>
      <c r="O245" t="str">
        <f>IFERROR(INDEX(Store_Manager!$A$2:$A$5,MATCH(M245,Store_Manager!$B$2:$B$5,0)),"")</f>
        <v>MGR001</v>
      </c>
    </row>
    <row r="246" spans="1:15" ht="15.75" customHeight="1">
      <c r="A246">
        <v>245</v>
      </c>
      <c r="B246" s="2">
        <v>45175</v>
      </c>
      <c r="C246" t="s">
        <v>266</v>
      </c>
      <c r="D246" t="s">
        <v>16</v>
      </c>
      <c r="E246">
        <v>47</v>
      </c>
      <c r="F246" s="3" t="s">
        <v>22</v>
      </c>
      <c r="G246">
        <v>3</v>
      </c>
      <c r="H246" s="4">
        <v>30</v>
      </c>
      <c r="I246" s="4">
        <v>90</v>
      </c>
      <c r="J246" t="s">
        <v>18</v>
      </c>
      <c r="K246" t="str">
        <f>IFERROR(VLOOKUP(F246&amp;"|"&amp;H246,Feature_Mappings!$A$2:$C$16,2,FALSE()),"")</f>
        <v>Graphic T-Shirt</v>
      </c>
      <c r="L246" t="str">
        <f>IFERROR(VLOOKUP(F246&amp;"|"&amp;H246,Feature_Mappings!$A$2:$C$16,3,FALSE()),"")</f>
        <v>ThreadWorks Apparel</v>
      </c>
      <c r="M246" t="str">
        <f>IFERROR(VLOOKUP(J246,Feature_Mappings!$D$2:$E$5,2,FALSE()),"")</f>
        <v>Olivia Bennett</v>
      </c>
      <c r="N246" t="s">
        <v>19</v>
      </c>
      <c r="O246" t="str">
        <f>IFERROR(INDEX(Store_Manager!$A$2:$A$5,MATCH(M246,Store_Manager!$B$2:$B$5,0)),"")</f>
        <v>MGR001</v>
      </c>
    </row>
    <row r="247" spans="1:15" ht="15.75" customHeight="1">
      <c r="A247">
        <v>246</v>
      </c>
      <c r="B247" s="2">
        <v>45036</v>
      </c>
      <c r="C247" t="s">
        <v>267</v>
      </c>
      <c r="D247" t="s">
        <v>21</v>
      </c>
      <c r="E247">
        <v>48</v>
      </c>
      <c r="F247" s="3" t="s">
        <v>24</v>
      </c>
      <c r="G247">
        <v>2</v>
      </c>
      <c r="H247" s="4">
        <v>25</v>
      </c>
      <c r="I247" s="4">
        <v>50</v>
      </c>
      <c r="J247" t="s">
        <v>18</v>
      </c>
      <c r="K247" t="str">
        <f>IFERROR(VLOOKUP(F247&amp;"|"&amp;H247,Feature_Mappings!$A$2:$C$16,2,FALSE()),"")</f>
        <v>USB-C Charger</v>
      </c>
      <c r="L247" t="str">
        <f>IFERROR(VLOOKUP(F247&amp;"|"&amp;H247,Feature_Mappings!$A$2:$C$16,3,FALSE()),"")</f>
        <v>VoltEdge Electronics</v>
      </c>
      <c r="M247" t="str">
        <f>IFERROR(VLOOKUP(J247,Feature_Mappings!$D$2:$E$5,2,FALSE()),"")</f>
        <v>Olivia Bennett</v>
      </c>
      <c r="N247" t="s">
        <v>19</v>
      </c>
      <c r="O247" t="str">
        <f>IFERROR(INDEX(Store_Manager!$A$2:$A$5,MATCH(M247,Store_Manager!$B$2:$B$5,0)),"")</f>
        <v>MGR001</v>
      </c>
    </row>
    <row r="248" spans="1:15" ht="15.75" customHeight="1">
      <c r="A248">
        <v>247</v>
      </c>
      <c r="B248" s="2">
        <v>45203</v>
      </c>
      <c r="C248" t="s">
        <v>268</v>
      </c>
      <c r="D248" t="s">
        <v>16</v>
      </c>
      <c r="E248">
        <v>41</v>
      </c>
      <c r="F248" s="3" t="s">
        <v>24</v>
      </c>
      <c r="G248">
        <v>2</v>
      </c>
      <c r="H248" s="4">
        <v>30</v>
      </c>
      <c r="I248" s="4">
        <v>60</v>
      </c>
      <c r="J248" t="s">
        <v>18</v>
      </c>
      <c r="K248" t="str">
        <f>IFERROR(VLOOKUP(F248&amp;"|"&amp;H248,Feature_Mappings!$A$2:$C$16,2,FALSE()),"")</f>
        <v>Wireless Mouse</v>
      </c>
      <c r="L248" t="str">
        <f>IFERROR(VLOOKUP(F248&amp;"|"&amp;H248,Feature_Mappings!$A$2:$C$16,3,FALSE()),"")</f>
        <v>ByteWave Distributors</v>
      </c>
      <c r="M248" t="str">
        <f>IFERROR(VLOOKUP(J248,Feature_Mappings!$D$2:$E$5,2,FALSE()),"")</f>
        <v>Olivia Bennett</v>
      </c>
      <c r="N248" t="s">
        <v>19</v>
      </c>
      <c r="O248" t="str">
        <f>IFERROR(INDEX(Store_Manager!$A$2:$A$5,MATCH(M248,Store_Manager!$B$2:$B$5,0)),"")</f>
        <v>MGR001</v>
      </c>
    </row>
    <row r="249" spans="1:15" ht="15.75" customHeight="1">
      <c r="A249">
        <v>248</v>
      </c>
      <c r="B249" s="2">
        <v>44994</v>
      </c>
      <c r="C249" t="s">
        <v>269</v>
      </c>
      <c r="D249" t="s">
        <v>16</v>
      </c>
      <c r="E249">
        <v>26</v>
      </c>
      <c r="F249" s="3" t="s">
        <v>22</v>
      </c>
      <c r="G249">
        <v>3</v>
      </c>
      <c r="H249" s="4">
        <v>300</v>
      </c>
      <c r="I249" s="4">
        <v>900</v>
      </c>
      <c r="J249" t="s">
        <v>18</v>
      </c>
      <c r="K249" t="str">
        <f>IFERROR(VLOOKUP(F249&amp;"|"&amp;H249,Feature_Mappings!$A$2:$C$16,2,FALSE()),"")</f>
        <v>Leather Jacket</v>
      </c>
      <c r="L249" t="str">
        <f>IFERROR(VLOOKUP(F249&amp;"|"&amp;H249,Feature_Mappings!$A$2:$C$16,3,FALSE()),"")</f>
        <v>Metro Style Manufacturing</v>
      </c>
      <c r="M249" t="str">
        <f>IFERROR(VLOOKUP(J249,Feature_Mappings!$D$2:$E$5,2,FALSE()),"")</f>
        <v>Olivia Bennett</v>
      </c>
      <c r="N249" t="s">
        <v>19</v>
      </c>
      <c r="O249" t="str">
        <f>IFERROR(INDEX(Store_Manager!$A$2:$A$5,MATCH(M249,Store_Manager!$B$2:$B$5,0)),"")</f>
        <v>MGR001</v>
      </c>
    </row>
    <row r="250" spans="1:15" ht="15.75" customHeight="1">
      <c r="A250">
        <v>249</v>
      </c>
      <c r="B250" s="2">
        <v>45219</v>
      </c>
      <c r="C250" t="s">
        <v>270</v>
      </c>
      <c r="D250" t="s">
        <v>16</v>
      </c>
      <c r="E250">
        <v>20</v>
      </c>
      <c r="F250" s="3" t="s">
        <v>22</v>
      </c>
      <c r="G250">
        <v>1</v>
      </c>
      <c r="H250" s="4">
        <v>50</v>
      </c>
      <c r="I250" s="4">
        <v>50</v>
      </c>
      <c r="J250" t="s">
        <v>18</v>
      </c>
      <c r="K250" t="str">
        <f>IFERROR(VLOOKUP(F250&amp;"|"&amp;H250,Feature_Mappings!$A$2:$C$16,2,FALSE()),"")</f>
        <v>Denim Jeans</v>
      </c>
      <c r="L250" t="str">
        <f>IFERROR(VLOOKUP(F250&amp;"|"&amp;H250,Feature_Mappings!$A$2:$C$16,3,FALSE()),"")</f>
        <v>BlueFit Garments</v>
      </c>
      <c r="M250" t="str">
        <f>IFERROR(VLOOKUP(J250,Feature_Mappings!$D$2:$E$5,2,FALSE()),"")</f>
        <v>Olivia Bennett</v>
      </c>
      <c r="N250" t="s">
        <v>19</v>
      </c>
      <c r="O250" t="str">
        <f>IFERROR(INDEX(Store_Manager!$A$2:$A$5,MATCH(M250,Store_Manager!$B$2:$B$5,0)),"")</f>
        <v>MGR001</v>
      </c>
    </row>
    <row r="251" spans="1:15" ht="15.75" customHeight="1">
      <c r="A251">
        <v>250</v>
      </c>
      <c r="B251" s="2">
        <v>45222</v>
      </c>
      <c r="C251" t="s">
        <v>271</v>
      </c>
      <c r="D251" t="s">
        <v>16</v>
      </c>
      <c r="E251">
        <v>48</v>
      </c>
      <c r="F251" s="3" t="s">
        <v>24</v>
      </c>
      <c r="G251">
        <v>1</v>
      </c>
      <c r="H251" s="4">
        <v>50</v>
      </c>
      <c r="I251" s="4">
        <v>50</v>
      </c>
      <c r="J251" t="s">
        <v>18</v>
      </c>
      <c r="K251" t="str">
        <f>IFERROR(VLOOKUP(F251&amp;"|"&amp;H251,Feature_Mappings!$A$2:$C$16,2,FALSE()),"")</f>
        <v>Bluetooth Speaker</v>
      </c>
      <c r="L251" t="str">
        <f>IFERROR(VLOOKUP(F251&amp;"|"&amp;H251,Feature_Mappings!$A$2:$C$16,3,FALSE()),"")</f>
        <v>SoundSphere Supply</v>
      </c>
      <c r="M251" t="str">
        <f>IFERROR(VLOOKUP(J251,Feature_Mappings!$D$2:$E$5,2,FALSE()),"")</f>
        <v>Olivia Bennett</v>
      </c>
      <c r="N251" t="s">
        <v>19</v>
      </c>
      <c r="O251" t="str">
        <f>IFERROR(INDEX(Store_Manager!$A$2:$A$5,MATCH(M251,Store_Manager!$B$2:$B$5,0)),"")</f>
        <v>MGR001</v>
      </c>
    </row>
    <row r="252" spans="1:15" ht="15.75" customHeight="1">
      <c r="A252">
        <v>251</v>
      </c>
      <c r="B252" s="2">
        <v>45169</v>
      </c>
      <c r="C252" t="s">
        <v>272</v>
      </c>
      <c r="D252" t="s">
        <v>21</v>
      </c>
      <c r="E252">
        <v>57</v>
      </c>
      <c r="F252" s="3" t="s">
        <v>17</v>
      </c>
      <c r="G252">
        <v>4</v>
      </c>
      <c r="H252" s="4">
        <v>50</v>
      </c>
      <c r="I252" s="4">
        <v>200</v>
      </c>
      <c r="J252" t="s">
        <v>273</v>
      </c>
      <c r="K252" t="str">
        <f>IFERROR(VLOOKUP(F252&amp;"|"&amp;H252,Feature_Mappings!$A$2:$C$16,2,FALSE()),"")</f>
        <v>Eau de Parfum</v>
      </c>
      <c r="L252" t="str">
        <f>IFERROR(VLOOKUP(F252&amp;"|"&amp;H252,Feature_Mappings!$A$2:$C$16,3,FALSE()),"")</f>
        <v>Luxe Aroma Labs</v>
      </c>
      <c r="M252" t="str">
        <f>IFERROR(VLOOKUP(J252,Feature_Mappings!$D$2:$E$5,2,FALSE()),"")</f>
        <v>Liam Carter</v>
      </c>
      <c r="N252" t="s">
        <v>274</v>
      </c>
      <c r="O252" t="str">
        <f>IFERROR(INDEX(Store_Manager!$A$2:$A$5,MATCH(M252,Store_Manager!$B$2:$B$5,0)),"")</f>
        <v>MGR002</v>
      </c>
    </row>
    <row r="253" spans="1:15" ht="15.75" customHeight="1">
      <c r="A253">
        <v>252</v>
      </c>
      <c r="B253" s="2">
        <v>45051</v>
      </c>
      <c r="C253" t="s">
        <v>275</v>
      </c>
      <c r="D253" t="s">
        <v>16</v>
      </c>
      <c r="E253">
        <v>54</v>
      </c>
      <c r="F253" s="3" t="s">
        <v>24</v>
      </c>
      <c r="G253">
        <v>1</v>
      </c>
      <c r="H253" s="4">
        <v>300</v>
      </c>
      <c r="I253" s="4">
        <v>300</v>
      </c>
      <c r="J253" t="s">
        <v>273</v>
      </c>
      <c r="K253" t="str">
        <f>IFERROR(VLOOKUP(F253&amp;"|"&amp;H253,Feature_Mappings!$A$2:$C$16,2,FALSE()),"")</f>
        <v>Tablet</v>
      </c>
      <c r="L253" t="str">
        <f>IFERROR(VLOOKUP(F253&amp;"|"&amp;H253,Feature_Mappings!$A$2:$C$16,3,FALSE()),"")</f>
        <v>NextGen Devices</v>
      </c>
      <c r="M253" t="str">
        <f>IFERROR(VLOOKUP(J253,Feature_Mappings!$D$2:$E$5,2,FALSE()),"")</f>
        <v>Liam Carter</v>
      </c>
      <c r="N253" t="s">
        <v>274</v>
      </c>
      <c r="O253" t="str">
        <f>IFERROR(INDEX(Store_Manager!$A$2:$A$5,MATCH(M253,Store_Manager!$B$2:$B$5,0)),"")</f>
        <v>MGR002</v>
      </c>
    </row>
    <row r="254" spans="1:15" ht="15.75" customHeight="1">
      <c r="A254">
        <v>253</v>
      </c>
      <c r="B254" s="2">
        <v>45169</v>
      </c>
      <c r="C254" t="s">
        <v>276</v>
      </c>
      <c r="D254" t="s">
        <v>21</v>
      </c>
      <c r="E254">
        <v>53</v>
      </c>
      <c r="F254" s="3" t="s">
        <v>22</v>
      </c>
      <c r="G254">
        <v>4</v>
      </c>
      <c r="H254" s="4">
        <v>500</v>
      </c>
      <c r="I254" s="4">
        <v>2000</v>
      </c>
      <c r="J254" t="s">
        <v>273</v>
      </c>
      <c r="K254" t="str">
        <f>IFERROR(VLOOKUP(F254&amp;"|"&amp;H254,Feature_Mappings!$A$2:$C$16,2,FALSE()),"")</f>
        <v>Designer Coat</v>
      </c>
      <c r="L254" t="str">
        <f>IFERROR(VLOOKUP(F254&amp;"|"&amp;H254,Feature_Mappings!$A$2:$C$16,3,FALSE()),"")</f>
        <v>Prestige Fashion House</v>
      </c>
      <c r="M254" t="str">
        <f>IFERROR(VLOOKUP(J254,Feature_Mappings!$D$2:$E$5,2,FALSE()),"")</f>
        <v>Liam Carter</v>
      </c>
      <c r="N254" t="s">
        <v>274</v>
      </c>
      <c r="O254" t="str">
        <f>IFERROR(INDEX(Store_Manager!$A$2:$A$5,MATCH(M254,Store_Manager!$B$2:$B$5,0)),"")</f>
        <v>MGR002</v>
      </c>
    </row>
    <row r="255" spans="1:15" ht="15.75" customHeight="1">
      <c r="A255">
        <v>254</v>
      </c>
      <c r="B255" s="2">
        <v>45135</v>
      </c>
      <c r="C255" t="s">
        <v>277</v>
      </c>
      <c r="D255" t="s">
        <v>16</v>
      </c>
      <c r="E255">
        <v>41</v>
      </c>
      <c r="F255" s="3" t="s">
        <v>24</v>
      </c>
      <c r="G255">
        <v>1</v>
      </c>
      <c r="H255" s="4">
        <v>500</v>
      </c>
      <c r="I255" s="4">
        <v>500</v>
      </c>
      <c r="J255" t="s">
        <v>273</v>
      </c>
      <c r="K255" t="str">
        <f>IFERROR(VLOOKUP(F255&amp;"|"&amp;H255,Feature_Mappings!$A$2:$C$16,2,FALSE()),"")</f>
        <v>Smartphone</v>
      </c>
      <c r="L255" t="str">
        <f>IFERROR(VLOOKUP(F255&amp;"|"&amp;H255,Feature_Mappings!$A$2:$C$16,3,FALSE()),"")</f>
        <v>NovaTech Wholesale</v>
      </c>
      <c r="M255" t="str">
        <f>IFERROR(VLOOKUP(J255,Feature_Mappings!$D$2:$E$5,2,FALSE()),"")</f>
        <v>Liam Carter</v>
      </c>
      <c r="N255" t="s">
        <v>274</v>
      </c>
      <c r="O255" t="str">
        <f>IFERROR(INDEX(Store_Manager!$A$2:$A$5,MATCH(M255,Store_Manager!$B$2:$B$5,0)),"")</f>
        <v>MGR002</v>
      </c>
    </row>
    <row r="256" spans="1:15" ht="15.75" customHeight="1">
      <c r="A256">
        <v>255</v>
      </c>
      <c r="B256" s="2">
        <v>45024</v>
      </c>
      <c r="C256" t="s">
        <v>278</v>
      </c>
      <c r="D256" t="s">
        <v>16</v>
      </c>
      <c r="E256">
        <v>48</v>
      </c>
      <c r="F256" s="3" t="s">
        <v>22</v>
      </c>
      <c r="G256">
        <v>1</v>
      </c>
      <c r="H256" s="4">
        <v>30</v>
      </c>
      <c r="I256" s="4">
        <v>30</v>
      </c>
      <c r="J256" t="s">
        <v>273</v>
      </c>
      <c r="K256" t="str">
        <f>IFERROR(VLOOKUP(F256&amp;"|"&amp;H256,Feature_Mappings!$A$2:$C$16,2,FALSE()),"")</f>
        <v>Graphic T-Shirt</v>
      </c>
      <c r="L256" t="str">
        <f>IFERROR(VLOOKUP(F256&amp;"|"&amp;H256,Feature_Mappings!$A$2:$C$16,3,FALSE()),"")</f>
        <v>ThreadWorks Apparel</v>
      </c>
      <c r="M256" t="str">
        <f>IFERROR(VLOOKUP(J256,Feature_Mappings!$D$2:$E$5,2,FALSE()),"")</f>
        <v>Liam Carter</v>
      </c>
      <c r="N256" t="s">
        <v>274</v>
      </c>
      <c r="O256" t="str">
        <f>IFERROR(INDEX(Store_Manager!$A$2:$A$5,MATCH(M256,Store_Manager!$B$2:$B$5,0)),"")</f>
        <v>MGR002</v>
      </c>
    </row>
    <row r="257" spans="1:15" ht="15.75" customHeight="1">
      <c r="A257">
        <v>256</v>
      </c>
      <c r="B257" s="2">
        <v>44975</v>
      </c>
      <c r="C257" t="s">
        <v>279</v>
      </c>
      <c r="D257" t="s">
        <v>16</v>
      </c>
      <c r="E257">
        <v>23</v>
      </c>
      <c r="F257" s="3" t="s">
        <v>22</v>
      </c>
      <c r="G257">
        <v>2</v>
      </c>
      <c r="H257" s="4">
        <v>500</v>
      </c>
      <c r="I257" s="4">
        <v>1000</v>
      </c>
      <c r="J257" t="s">
        <v>273</v>
      </c>
      <c r="K257" t="str">
        <f>IFERROR(VLOOKUP(F257&amp;"|"&amp;H257,Feature_Mappings!$A$2:$C$16,2,FALSE()),"")</f>
        <v>Designer Coat</v>
      </c>
      <c r="L257" t="str">
        <f>IFERROR(VLOOKUP(F257&amp;"|"&amp;H257,Feature_Mappings!$A$2:$C$16,3,FALSE()),"")</f>
        <v>Prestige Fashion House</v>
      </c>
      <c r="M257" t="str">
        <f>IFERROR(VLOOKUP(J257,Feature_Mappings!$D$2:$E$5,2,FALSE()),"")</f>
        <v>Liam Carter</v>
      </c>
      <c r="N257" t="s">
        <v>274</v>
      </c>
      <c r="O257" t="str">
        <f>IFERROR(INDEX(Store_Manager!$A$2:$A$5,MATCH(M257,Store_Manager!$B$2:$B$5,0)),"")</f>
        <v>MGR002</v>
      </c>
    </row>
    <row r="258" spans="1:15" ht="15.75" customHeight="1">
      <c r="A258">
        <v>257</v>
      </c>
      <c r="B258" s="2">
        <v>44976</v>
      </c>
      <c r="C258" t="s">
        <v>280</v>
      </c>
      <c r="D258" t="s">
        <v>16</v>
      </c>
      <c r="E258">
        <v>19</v>
      </c>
      <c r="F258" s="3" t="s">
        <v>17</v>
      </c>
      <c r="G258">
        <v>4</v>
      </c>
      <c r="H258" s="4">
        <v>500</v>
      </c>
      <c r="I258" s="4">
        <v>2000</v>
      </c>
      <c r="J258" t="s">
        <v>273</v>
      </c>
      <c r="K258" t="str">
        <f>IFERROR(VLOOKUP(F258&amp;"|"&amp;H258,Feature_Mappings!$A$2:$C$16,2,FALSE()),"")</f>
        <v>LED Beauty Device</v>
      </c>
      <c r="L258" t="str">
        <f>IFERROR(VLOOKUP(F258&amp;"|"&amp;H258,Feature_Mappings!$A$2:$C$16,3,FALSE()),"")</f>
        <v>BeautyTech Pro</v>
      </c>
      <c r="M258" t="str">
        <f>IFERROR(VLOOKUP(J258,Feature_Mappings!$D$2:$E$5,2,FALSE()),"")</f>
        <v>Liam Carter</v>
      </c>
      <c r="N258" t="s">
        <v>274</v>
      </c>
      <c r="O258" t="str">
        <f>IFERROR(INDEX(Store_Manager!$A$2:$A$5,MATCH(M258,Store_Manager!$B$2:$B$5,0)),"")</f>
        <v>MGR002</v>
      </c>
    </row>
    <row r="259" spans="1:15" ht="15.75" customHeight="1">
      <c r="A259">
        <v>258</v>
      </c>
      <c r="B259" s="2">
        <v>45264</v>
      </c>
      <c r="C259" t="s">
        <v>281</v>
      </c>
      <c r="D259" t="s">
        <v>21</v>
      </c>
      <c r="E259">
        <v>37</v>
      </c>
      <c r="F259" s="3" t="s">
        <v>22</v>
      </c>
      <c r="G259">
        <v>1</v>
      </c>
      <c r="H259" s="4">
        <v>50</v>
      </c>
      <c r="I259" s="4">
        <v>50</v>
      </c>
      <c r="J259" t="s">
        <v>273</v>
      </c>
      <c r="K259" t="str">
        <f>IFERROR(VLOOKUP(F259&amp;"|"&amp;H259,Feature_Mappings!$A$2:$C$16,2,FALSE()),"")</f>
        <v>Denim Jeans</v>
      </c>
      <c r="L259" t="str">
        <f>IFERROR(VLOOKUP(F259&amp;"|"&amp;H259,Feature_Mappings!$A$2:$C$16,3,FALSE()),"")</f>
        <v>BlueFit Garments</v>
      </c>
      <c r="M259" t="str">
        <f>IFERROR(VLOOKUP(J259,Feature_Mappings!$D$2:$E$5,2,FALSE()),"")</f>
        <v>Liam Carter</v>
      </c>
      <c r="N259" t="s">
        <v>274</v>
      </c>
      <c r="O259" t="str">
        <f>IFERROR(INDEX(Store_Manager!$A$2:$A$5,MATCH(M259,Store_Manager!$B$2:$B$5,0)),"")</f>
        <v>MGR002</v>
      </c>
    </row>
    <row r="260" spans="1:15" ht="15.75" customHeight="1">
      <c r="A260">
        <v>259</v>
      </c>
      <c r="B260" s="2">
        <v>45147</v>
      </c>
      <c r="C260" t="s">
        <v>282</v>
      </c>
      <c r="D260" t="s">
        <v>21</v>
      </c>
      <c r="E260">
        <v>45</v>
      </c>
      <c r="F260" s="3" t="s">
        <v>22</v>
      </c>
      <c r="G260">
        <v>4</v>
      </c>
      <c r="H260" s="4">
        <v>50</v>
      </c>
      <c r="I260" s="4">
        <v>200</v>
      </c>
      <c r="J260" t="s">
        <v>273</v>
      </c>
      <c r="K260" t="str">
        <f>IFERROR(VLOOKUP(F260&amp;"|"&amp;H260,Feature_Mappings!$A$2:$C$16,2,FALSE()),"")</f>
        <v>Denim Jeans</v>
      </c>
      <c r="L260" t="str">
        <f>IFERROR(VLOOKUP(F260&amp;"|"&amp;H260,Feature_Mappings!$A$2:$C$16,3,FALSE()),"")</f>
        <v>BlueFit Garments</v>
      </c>
      <c r="M260" t="str">
        <f>IFERROR(VLOOKUP(J260,Feature_Mappings!$D$2:$E$5,2,FALSE()),"")</f>
        <v>Liam Carter</v>
      </c>
      <c r="N260" t="s">
        <v>274</v>
      </c>
      <c r="O260" t="str">
        <f>IFERROR(INDEX(Store_Manager!$A$2:$A$5,MATCH(M260,Store_Manager!$B$2:$B$5,0)),"")</f>
        <v>MGR002</v>
      </c>
    </row>
    <row r="261" spans="1:15" ht="15.75" customHeight="1">
      <c r="A261">
        <v>260</v>
      </c>
      <c r="B261" s="2">
        <v>45108</v>
      </c>
      <c r="C261" t="s">
        <v>283</v>
      </c>
      <c r="D261" t="s">
        <v>16</v>
      </c>
      <c r="E261">
        <v>28</v>
      </c>
      <c r="F261" s="3" t="s">
        <v>17</v>
      </c>
      <c r="G261">
        <v>2</v>
      </c>
      <c r="H261" s="4">
        <v>30</v>
      </c>
      <c r="I261" s="4">
        <v>60</v>
      </c>
      <c r="J261" t="s">
        <v>273</v>
      </c>
      <c r="K261" t="str">
        <f>IFERROR(VLOOKUP(F261&amp;"|"&amp;H261,Feature_Mappings!$A$2:$C$16,2,FALSE()),"")</f>
        <v>Facial Cleanser</v>
      </c>
      <c r="L261" t="str">
        <f>IFERROR(VLOOKUP(F261&amp;"|"&amp;H261,Feature_Mappings!$A$2:$C$16,3,FALSE()),"")</f>
        <v>PureDerma Supplies</v>
      </c>
      <c r="M261" t="str">
        <f>IFERROR(VLOOKUP(J261,Feature_Mappings!$D$2:$E$5,2,FALSE()),"")</f>
        <v>Liam Carter</v>
      </c>
      <c r="N261" t="s">
        <v>274</v>
      </c>
      <c r="O261" t="str">
        <f>IFERROR(INDEX(Store_Manager!$A$2:$A$5,MATCH(M261,Store_Manager!$B$2:$B$5,0)),"")</f>
        <v>MGR002</v>
      </c>
    </row>
    <row r="262" spans="1:15" ht="15.75" customHeight="1">
      <c r="A262">
        <v>261</v>
      </c>
      <c r="B262" s="2">
        <v>45143</v>
      </c>
      <c r="C262" t="s">
        <v>284</v>
      </c>
      <c r="D262" t="s">
        <v>16</v>
      </c>
      <c r="E262">
        <v>21</v>
      </c>
      <c r="F262" s="3" t="s">
        <v>22</v>
      </c>
      <c r="G262">
        <v>2</v>
      </c>
      <c r="H262" s="4">
        <v>25</v>
      </c>
      <c r="I262" s="4">
        <v>50</v>
      </c>
      <c r="J262" t="s">
        <v>273</v>
      </c>
      <c r="K262" t="str">
        <f>IFERROR(VLOOKUP(F262&amp;"|"&amp;H262,Feature_Mappings!$A$2:$C$16,2,FALSE()),"")</f>
        <v>Cotton Socks</v>
      </c>
      <c r="L262" t="str">
        <f>IFERROR(VLOOKUP(F262&amp;"|"&amp;H262,Feature_Mappings!$A$2:$C$16,3,FALSE()),"")</f>
        <v>Urban Basics Co.</v>
      </c>
      <c r="M262" t="str">
        <f>IFERROR(VLOOKUP(J262,Feature_Mappings!$D$2:$E$5,2,FALSE()),"")</f>
        <v>Liam Carter</v>
      </c>
      <c r="N262" t="s">
        <v>274</v>
      </c>
      <c r="O262" t="str">
        <f>IFERROR(INDEX(Store_Manager!$A$2:$A$5,MATCH(M262,Store_Manager!$B$2:$B$5,0)),"")</f>
        <v>MGR002</v>
      </c>
    </row>
    <row r="263" spans="1:15" ht="15.75" customHeight="1">
      <c r="A263">
        <v>262</v>
      </c>
      <c r="B263" s="2">
        <v>45137</v>
      </c>
      <c r="C263" t="s">
        <v>285</v>
      </c>
      <c r="D263" t="s">
        <v>21</v>
      </c>
      <c r="E263">
        <v>32</v>
      </c>
      <c r="F263" s="3" t="s">
        <v>17</v>
      </c>
      <c r="G263">
        <v>4</v>
      </c>
      <c r="H263" s="4">
        <v>30</v>
      </c>
      <c r="I263" s="4">
        <v>120</v>
      </c>
      <c r="J263" t="s">
        <v>273</v>
      </c>
      <c r="K263" t="str">
        <f>IFERROR(VLOOKUP(F263&amp;"|"&amp;H263,Feature_Mappings!$A$2:$C$16,2,FALSE()),"")</f>
        <v>Facial Cleanser</v>
      </c>
      <c r="L263" t="str">
        <f>IFERROR(VLOOKUP(F263&amp;"|"&amp;H263,Feature_Mappings!$A$2:$C$16,3,FALSE()),"")</f>
        <v>PureDerma Supplies</v>
      </c>
      <c r="M263" t="str">
        <f>IFERROR(VLOOKUP(J263,Feature_Mappings!$D$2:$E$5,2,FALSE()),"")</f>
        <v>Liam Carter</v>
      </c>
      <c r="N263" t="s">
        <v>274</v>
      </c>
      <c r="O263" t="str">
        <f>IFERROR(INDEX(Store_Manager!$A$2:$A$5,MATCH(M263,Store_Manager!$B$2:$B$5,0)),"")</f>
        <v>MGR002</v>
      </c>
    </row>
    <row r="264" spans="1:15" ht="15.75" customHeight="1">
      <c r="A264">
        <v>263</v>
      </c>
      <c r="B264" s="2">
        <v>45166</v>
      </c>
      <c r="C264" t="s">
        <v>286</v>
      </c>
      <c r="D264" t="s">
        <v>16</v>
      </c>
      <c r="E264">
        <v>23</v>
      </c>
      <c r="F264" s="3" t="s">
        <v>17</v>
      </c>
      <c r="G264">
        <v>2</v>
      </c>
      <c r="H264" s="4">
        <v>30</v>
      </c>
      <c r="I264" s="4">
        <v>60</v>
      </c>
      <c r="J264" t="s">
        <v>273</v>
      </c>
      <c r="K264" t="str">
        <f>IFERROR(VLOOKUP(F264&amp;"|"&amp;H264,Feature_Mappings!$A$2:$C$16,2,FALSE()),"")</f>
        <v>Facial Cleanser</v>
      </c>
      <c r="L264" t="str">
        <f>IFERROR(VLOOKUP(F264&amp;"|"&amp;H264,Feature_Mappings!$A$2:$C$16,3,FALSE()),"")</f>
        <v>PureDerma Supplies</v>
      </c>
      <c r="M264" t="str">
        <f>IFERROR(VLOOKUP(J264,Feature_Mappings!$D$2:$E$5,2,FALSE()),"")</f>
        <v>Liam Carter</v>
      </c>
      <c r="N264" t="s">
        <v>274</v>
      </c>
      <c r="O264" t="str">
        <f>IFERROR(INDEX(Store_Manager!$A$2:$A$5,MATCH(M264,Store_Manager!$B$2:$B$5,0)),"")</f>
        <v>MGR002</v>
      </c>
    </row>
    <row r="265" spans="1:15" ht="15.75" customHeight="1">
      <c r="A265">
        <v>264</v>
      </c>
      <c r="B265" s="2">
        <v>44954</v>
      </c>
      <c r="C265" t="s">
        <v>287</v>
      </c>
      <c r="D265" t="s">
        <v>16</v>
      </c>
      <c r="E265">
        <v>47</v>
      </c>
      <c r="F265" s="3" t="s">
        <v>22</v>
      </c>
      <c r="G265">
        <v>3</v>
      </c>
      <c r="H265" s="4">
        <v>300</v>
      </c>
      <c r="I265" s="4">
        <v>900</v>
      </c>
      <c r="J265" t="s">
        <v>273</v>
      </c>
      <c r="K265" t="str">
        <f>IFERROR(VLOOKUP(F265&amp;"|"&amp;H265,Feature_Mappings!$A$2:$C$16,2,FALSE()),"")</f>
        <v>Leather Jacket</v>
      </c>
      <c r="L265" t="str">
        <f>IFERROR(VLOOKUP(F265&amp;"|"&amp;H265,Feature_Mappings!$A$2:$C$16,3,FALSE()),"")</f>
        <v>Metro Style Manufacturing</v>
      </c>
      <c r="M265" t="str">
        <f>IFERROR(VLOOKUP(J265,Feature_Mappings!$D$2:$E$5,2,FALSE()),"")</f>
        <v>Liam Carter</v>
      </c>
      <c r="N265" t="s">
        <v>274</v>
      </c>
      <c r="O265" t="str">
        <f>IFERROR(INDEX(Store_Manager!$A$2:$A$5,MATCH(M265,Store_Manager!$B$2:$B$5,0)),"")</f>
        <v>MGR002</v>
      </c>
    </row>
    <row r="266" spans="1:15" ht="15.75" customHeight="1">
      <c r="A266">
        <v>265</v>
      </c>
      <c r="B266" s="2">
        <v>45271</v>
      </c>
      <c r="C266" t="s">
        <v>288</v>
      </c>
      <c r="D266" t="s">
        <v>16</v>
      </c>
      <c r="E266">
        <v>55</v>
      </c>
      <c r="F266" s="3" t="s">
        <v>22</v>
      </c>
      <c r="G266">
        <v>3</v>
      </c>
      <c r="H266" s="4">
        <v>300</v>
      </c>
      <c r="I266" s="4">
        <v>900</v>
      </c>
      <c r="J266" t="s">
        <v>273</v>
      </c>
      <c r="K266" t="str">
        <f>IFERROR(VLOOKUP(F266&amp;"|"&amp;H266,Feature_Mappings!$A$2:$C$16,2,FALSE()),"")</f>
        <v>Leather Jacket</v>
      </c>
      <c r="L266" t="str">
        <f>IFERROR(VLOOKUP(F266&amp;"|"&amp;H266,Feature_Mappings!$A$2:$C$16,3,FALSE()),"")</f>
        <v>Metro Style Manufacturing</v>
      </c>
      <c r="M266" t="str">
        <f>IFERROR(VLOOKUP(J266,Feature_Mappings!$D$2:$E$5,2,FALSE()),"")</f>
        <v>Liam Carter</v>
      </c>
      <c r="N266" t="s">
        <v>274</v>
      </c>
      <c r="O266" t="str">
        <f>IFERROR(INDEX(Store_Manager!$A$2:$A$5,MATCH(M266,Store_Manager!$B$2:$B$5,0)),"")</f>
        <v>MGR002</v>
      </c>
    </row>
    <row r="267" spans="1:15" ht="15.75" customHeight="1">
      <c r="A267">
        <v>266</v>
      </c>
      <c r="B267" s="2">
        <v>45261</v>
      </c>
      <c r="C267" t="s">
        <v>289</v>
      </c>
      <c r="D267" t="s">
        <v>21</v>
      </c>
      <c r="E267">
        <v>19</v>
      </c>
      <c r="F267" s="3" t="s">
        <v>24</v>
      </c>
      <c r="G267">
        <v>2</v>
      </c>
      <c r="H267" s="4">
        <v>30</v>
      </c>
      <c r="I267" s="4">
        <v>60</v>
      </c>
      <c r="J267" t="s">
        <v>273</v>
      </c>
      <c r="K267" t="str">
        <f>IFERROR(VLOOKUP(F267&amp;"|"&amp;H267,Feature_Mappings!$A$2:$C$16,2,FALSE()),"")</f>
        <v>Wireless Mouse</v>
      </c>
      <c r="L267" t="str">
        <f>IFERROR(VLOOKUP(F267&amp;"|"&amp;H267,Feature_Mappings!$A$2:$C$16,3,FALSE()),"")</f>
        <v>ByteWave Distributors</v>
      </c>
      <c r="M267" t="str">
        <f>IFERROR(VLOOKUP(J267,Feature_Mappings!$D$2:$E$5,2,FALSE()),"")</f>
        <v>Liam Carter</v>
      </c>
      <c r="N267" t="s">
        <v>274</v>
      </c>
      <c r="O267" t="str">
        <f>IFERROR(INDEX(Store_Manager!$A$2:$A$5,MATCH(M267,Store_Manager!$B$2:$B$5,0)),"")</f>
        <v>MGR002</v>
      </c>
    </row>
    <row r="268" spans="1:15" ht="15.75" customHeight="1">
      <c r="A268">
        <v>267</v>
      </c>
      <c r="B268" s="2">
        <v>45257</v>
      </c>
      <c r="C268" t="s">
        <v>290</v>
      </c>
      <c r="D268" t="s">
        <v>21</v>
      </c>
      <c r="E268">
        <v>32</v>
      </c>
      <c r="F268" s="3" t="s">
        <v>17</v>
      </c>
      <c r="G268">
        <v>3</v>
      </c>
      <c r="H268" s="4">
        <v>30</v>
      </c>
      <c r="I268" s="4">
        <v>90</v>
      </c>
      <c r="J268" t="s">
        <v>273</v>
      </c>
      <c r="K268" t="str">
        <f>IFERROR(VLOOKUP(F268&amp;"|"&amp;H268,Feature_Mappings!$A$2:$C$16,2,FALSE()),"")</f>
        <v>Facial Cleanser</v>
      </c>
      <c r="L268" t="str">
        <f>IFERROR(VLOOKUP(F268&amp;"|"&amp;H268,Feature_Mappings!$A$2:$C$16,3,FALSE()),"")</f>
        <v>PureDerma Supplies</v>
      </c>
      <c r="M268" t="str">
        <f>IFERROR(VLOOKUP(J268,Feature_Mappings!$D$2:$E$5,2,FALSE()),"")</f>
        <v>Liam Carter</v>
      </c>
      <c r="N268" t="s">
        <v>274</v>
      </c>
      <c r="O268" t="str">
        <f>IFERROR(INDEX(Store_Manager!$A$2:$A$5,MATCH(M268,Store_Manager!$B$2:$B$5,0)),"")</f>
        <v>MGR002</v>
      </c>
    </row>
    <row r="269" spans="1:15" ht="15.75" customHeight="1">
      <c r="A269">
        <v>268</v>
      </c>
      <c r="B269" s="2">
        <v>44977</v>
      </c>
      <c r="C269" t="s">
        <v>291</v>
      </c>
      <c r="D269" t="s">
        <v>21</v>
      </c>
      <c r="E269">
        <v>28</v>
      </c>
      <c r="F269" s="3" t="s">
        <v>24</v>
      </c>
      <c r="G269">
        <v>1</v>
      </c>
      <c r="H269" s="4">
        <v>30</v>
      </c>
      <c r="I269" s="4">
        <v>30</v>
      </c>
      <c r="J269" t="s">
        <v>273</v>
      </c>
      <c r="K269" t="str">
        <f>IFERROR(VLOOKUP(F269&amp;"|"&amp;H269,Feature_Mappings!$A$2:$C$16,2,FALSE()),"")</f>
        <v>Wireless Mouse</v>
      </c>
      <c r="L269" t="str">
        <f>IFERROR(VLOOKUP(F269&amp;"|"&amp;H269,Feature_Mappings!$A$2:$C$16,3,FALSE()),"")</f>
        <v>ByteWave Distributors</v>
      </c>
      <c r="M269" t="str">
        <f>IFERROR(VLOOKUP(J269,Feature_Mappings!$D$2:$E$5,2,FALSE()),"")</f>
        <v>Liam Carter</v>
      </c>
      <c r="N269" t="s">
        <v>274</v>
      </c>
      <c r="O269" t="str">
        <f>IFERROR(INDEX(Store_Manager!$A$2:$A$5,MATCH(M269,Store_Manager!$B$2:$B$5,0)),"")</f>
        <v>MGR002</v>
      </c>
    </row>
    <row r="270" spans="1:15" ht="15.75" customHeight="1">
      <c r="A270">
        <v>269</v>
      </c>
      <c r="B270" s="2">
        <v>44958</v>
      </c>
      <c r="C270" t="s">
        <v>292</v>
      </c>
      <c r="D270" t="s">
        <v>16</v>
      </c>
      <c r="E270">
        <v>25</v>
      </c>
      <c r="F270" s="3" t="s">
        <v>22</v>
      </c>
      <c r="G270">
        <v>4</v>
      </c>
      <c r="H270" s="4">
        <v>500</v>
      </c>
      <c r="I270" s="4">
        <v>2000</v>
      </c>
      <c r="J270" t="s">
        <v>273</v>
      </c>
      <c r="K270" t="str">
        <f>IFERROR(VLOOKUP(F270&amp;"|"&amp;H270,Feature_Mappings!$A$2:$C$16,2,FALSE()),"")</f>
        <v>Designer Coat</v>
      </c>
      <c r="L270" t="str">
        <f>IFERROR(VLOOKUP(F270&amp;"|"&amp;H270,Feature_Mappings!$A$2:$C$16,3,FALSE()),"")</f>
        <v>Prestige Fashion House</v>
      </c>
      <c r="M270" t="str">
        <f>IFERROR(VLOOKUP(J270,Feature_Mappings!$D$2:$E$5,2,FALSE()),"")</f>
        <v>Liam Carter</v>
      </c>
      <c r="N270" t="s">
        <v>274</v>
      </c>
      <c r="O270" t="str">
        <f>IFERROR(INDEX(Store_Manager!$A$2:$A$5,MATCH(M270,Store_Manager!$B$2:$B$5,0)),"")</f>
        <v>MGR002</v>
      </c>
    </row>
    <row r="271" spans="1:15" ht="15.75" customHeight="1">
      <c r="A271">
        <v>270</v>
      </c>
      <c r="B271" s="2">
        <v>45133</v>
      </c>
      <c r="C271" t="s">
        <v>293</v>
      </c>
      <c r="D271" t="s">
        <v>16</v>
      </c>
      <c r="E271">
        <v>43</v>
      </c>
      <c r="F271" s="3" t="s">
        <v>24</v>
      </c>
      <c r="G271">
        <v>1</v>
      </c>
      <c r="H271" s="4">
        <v>300</v>
      </c>
      <c r="I271" s="4">
        <v>300</v>
      </c>
      <c r="J271" t="s">
        <v>273</v>
      </c>
      <c r="K271" t="str">
        <f>IFERROR(VLOOKUP(F271&amp;"|"&amp;H271,Feature_Mappings!$A$2:$C$16,2,FALSE()),"")</f>
        <v>Tablet</v>
      </c>
      <c r="L271" t="str">
        <f>IFERROR(VLOOKUP(F271&amp;"|"&amp;H271,Feature_Mappings!$A$2:$C$16,3,FALSE()),"")</f>
        <v>NextGen Devices</v>
      </c>
      <c r="M271" t="str">
        <f>IFERROR(VLOOKUP(J271,Feature_Mappings!$D$2:$E$5,2,FALSE()),"")</f>
        <v>Liam Carter</v>
      </c>
      <c r="N271" t="s">
        <v>274</v>
      </c>
      <c r="O271" t="str">
        <f>IFERROR(INDEX(Store_Manager!$A$2:$A$5,MATCH(M271,Store_Manager!$B$2:$B$5,0)),"")</f>
        <v>MGR002</v>
      </c>
    </row>
    <row r="272" spans="1:15" ht="15.75" customHeight="1">
      <c r="A272">
        <v>271</v>
      </c>
      <c r="B272" s="2">
        <v>45100</v>
      </c>
      <c r="C272" t="s">
        <v>294</v>
      </c>
      <c r="D272" t="s">
        <v>21</v>
      </c>
      <c r="E272">
        <v>62</v>
      </c>
      <c r="F272" s="3" t="s">
        <v>17</v>
      </c>
      <c r="G272">
        <v>4</v>
      </c>
      <c r="H272" s="4">
        <v>30</v>
      </c>
      <c r="I272" s="4">
        <v>120</v>
      </c>
      <c r="J272" t="s">
        <v>273</v>
      </c>
      <c r="K272" t="str">
        <f>IFERROR(VLOOKUP(F272&amp;"|"&amp;H272,Feature_Mappings!$A$2:$C$16,2,FALSE()),"")</f>
        <v>Facial Cleanser</v>
      </c>
      <c r="L272" t="str">
        <f>IFERROR(VLOOKUP(F272&amp;"|"&amp;H272,Feature_Mappings!$A$2:$C$16,3,FALSE()),"")</f>
        <v>PureDerma Supplies</v>
      </c>
      <c r="M272" t="str">
        <f>IFERROR(VLOOKUP(J272,Feature_Mappings!$D$2:$E$5,2,FALSE()),"")</f>
        <v>Liam Carter</v>
      </c>
      <c r="N272" t="s">
        <v>274</v>
      </c>
      <c r="O272" t="str">
        <f>IFERROR(INDEX(Store_Manager!$A$2:$A$5,MATCH(M272,Store_Manager!$B$2:$B$5,0)),"")</f>
        <v>MGR002</v>
      </c>
    </row>
    <row r="273" spans="1:15" ht="15.75" customHeight="1">
      <c r="A273">
        <v>272</v>
      </c>
      <c r="B273" s="2">
        <v>44982</v>
      </c>
      <c r="C273" t="s">
        <v>295</v>
      </c>
      <c r="D273" t="s">
        <v>21</v>
      </c>
      <c r="E273">
        <v>61</v>
      </c>
      <c r="F273" s="3" t="s">
        <v>24</v>
      </c>
      <c r="G273">
        <v>2</v>
      </c>
      <c r="H273" s="4">
        <v>50</v>
      </c>
      <c r="I273" s="4">
        <v>100</v>
      </c>
      <c r="J273" t="s">
        <v>273</v>
      </c>
      <c r="K273" t="str">
        <f>IFERROR(VLOOKUP(F273&amp;"|"&amp;H273,Feature_Mappings!$A$2:$C$16,2,FALSE()),"")</f>
        <v>Bluetooth Speaker</v>
      </c>
      <c r="L273" t="str">
        <f>IFERROR(VLOOKUP(F273&amp;"|"&amp;H273,Feature_Mappings!$A$2:$C$16,3,FALSE()),"")</f>
        <v>SoundSphere Supply</v>
      </c>
      <c r="M273" t="str">
        <f>IFERROR(VLOOKUP(J273,Feature_Mappings!$D$2:$E$5,2,FALSE()),"")</f>
        <v>Liam Carter</v>
      </c>
      <c r="N273" t="s">
        <v>274</v>
      </c>
      <c r="O273" t="str">
        <f>IFERROR(INDEX(Store_Manager!$A$2:$A$5,MATCH(M273,Store_Manager!$B$2:$B$5,0)),"")</f>
        <v>MGR002</v>
      </c>
    </row>
    <row r="274" spans="1:15" ht="15.75" customHeight="1">
      <c r="A274">
        <v>273</v>
      </c>
      <c r="B274" s="2">
        <v>45054</v>
      </c>
      <c r="C274" t="s">
        <v>296</v>
      </c>
      <c r="D274" t="s">
        <v>21</v>
      </c>
      <c r="E274">
        <v>22</v>
      </c>
      <c r="F274" s="3" t="s">
        <v>17</v>
      </c>
      <c r="G274">
        <v>1</v>
      </c>
      <c r="H274" s="4">
        <v>50</v>
      </c>
      <c r="I274" s="4">
        <v>50</v>
      </c>
      <c r="J274" t="s">
        <v>273</v>
      </c>
      <c r="K274" t="str">
        <f>IFERROR(VLOOKUP(F274&amp;"|"&amp;H274,Feature_Mappings!$A$2:$C$16,2,FALSE()),"")</f>
        <v>Eau de Parfum</v>
      </c>
      <c r="L274" t="str">
        <f>IFERROR(VLOOKUP(F274&amp;"|"&amp;H274,Feature_Mappings!$A$2:$C$16,3,FALSE()),"")</f>
        <v>Luxe Aroma Labs</v>
      </c>
      <c r="M274" t="str">
        <f>IFERROR(VLOOKUP(J274,Feature_Mappings!$D$2:$E$5,2,FALSE()),"")</f>
        <v>Liam Carter</v>
      </c>
      <c r="N274" t="s">
        <v>274</v>
      </c>
      <c r="O274" t="str">
        <f>IFERROR(INDEX(Store_Manager!$A$2:$A$5,MATCH(M274,Store_Manager!$B$2:$B$5,0)),"")</f>
        <v>MGR002</v>
      </c>
    </row>
    <row r="275" spans="1:15" ht="15.75" customHeight="1">
      <c r="A275">
        <v>274</v>
      </c>
      <c r="B275" s="2">
        <v>45025</v>
      </c>
      <c r="C275" t="s">
        <v>297</v>
      </c>
      <c r="D275" t="s">
        <v>21</v>
      </c>
      <c r="E275">
        <v>23</v>
      </c>
      <c r="F275" s="3" t="s">
        <v>22</v>
      </c>
      <c r="G275">
        <v>2</v>
      </c>
      <c r="H275" s="4">
        <v>500</v>
      </c>
      <c r="I275" s="4">
        <v>1000</v>
      </c>
      <c r="J275" t="s">
        <v>273</v>
      </c>
      <c r="K275" t="str">
        <f>IFERROR(VLOOKUP(F275&amp;"|"&amp;H275,Feature_Mappings!$A$2:$C$16,2,FALSE()),"")</f>
        <v>Designer Coat</v>
      </c>
      <c r="L275" t="str">
        <f>IFERROR(VLOOKUP(F275&amp;"|"&amp;H275,Feature_Mappings!$A$2:$C$16,3,FALSE()),"")</f>
        <v>Prestige Fashion House</v>
      </c>
      <c r="M275" t="str">
        <f>IFERROR(VLOOKUP(J275,Feature_Mappings!$D$2:$E$5,2,FALSE()),"")</f>
        <v>Liam Carter</v>
      </c>
      <c r="N275" t="s">
        <v>274</v>
      </c>
      <c r="O275" t="str">
        <f>IFERROR(INDEX(Store_Manager!$A$2:$A$5,MATCH(M275,Store_Manager!$B$2:$B$5,0)),"")</f>
        <v>MGR002</v>
      </c>
    </row>
    <row r="276" spans="1:15" ht="15.75" customHeight="1">
      <c r="A276">
        <v>275</v>
      </c>
      <c r="B276" s="2">
        <v>45024</v>
      </c>
      <c r="C276" t="s">
        <v>298</v>
      </c>
      <c r="D276" t="s">
        <v>16</v>
      </c>
      <c r="E276">
        <v>43</v>
      </c>
      <c r="F276" s="3" t="s">
        <v>22</v>
      </c>
      <c r="G276">
        <v>2</v>
      </c>
      <c r="H276" s="4">
        <v>500</v>
      </c>
      <c r="I276" s="4">
        <v>1000</v>
      </c>
      <c r="J276" t="s">
        <v>273</v>
      </c>
      <c r="K276" t="str">
        <f>IFERROR(VLOOKUP(F276&amp;"|"&amp;H276,Feature_Mappings!$A$2:$C$16,2,FALSE()),"")</f>
        <v>Designer Coat</v>
      </c>
      <c r="L276" t="str">
        <f>IFERROR(VLOOKUP(F276&amp;"|"&amp;H276,Feature_Mappings!$A$2:$C$16,3,FALSE()),"")</f>
        <v>Prestige Fashion House</v>
      </c>
      <c r="M276" t="str">
        <f>IFERROR(VLOOKUP(J276,Feature_Mappings!$D$2:$E$5,2,FALSE()),"")</f>
        <v>Liam Carter</v>
      </c>
      <c r="N276" t="s">
        <v>274</v>
      </c>
      <c r="O276" t="str">
        <f>IFERROR(INDEX(Store_Manager!$A$2:$A$5,MATCH(M276,Store_Manager!$B$2:$B$5,0)),"")</f>
        <v>MGR002</v>
      </c>
    </row>
    <row r="277" spans="1:15" ht="15.75" customHeight="1">
      <c r="A277">
        <v>276</v>
      </c>
      <c r="B277" s="2">
        <v>45201</v>
      </c>
      <c r="C277" t="s">
        <v>299</v>
      </c>
      <c r="D277" t="s">
        <v>21</v>
      </c>
      <c r="E277">
        <v>21</v>
      </c>
      <c r="F277" s="3" t="s">
        <v>17</v>
      </c>
      <c r="G277">
        <v>4</v>
      </c>
      <c r="H277" s="4">
        <v>25</v>
      </c>
      <c r="I277" s="4">
        <v>100</v>
      </c>
      <c r="J277" t="s">
        <v>273</v>
      </c>
      <c r="K277" t="str">
        <f>IFERROR(VLOOKUP(F277&amp;"|"&amp;H277,Feature_Mappings!$A$2:$C$16,2,FALSE()),"")</f>
        <v>Lip Balm</v>
      </c>
      <c r="L277" t="str">
        <f>IFERROR(VLOOKUP(F277&amp;"|"&amp;H277,Feature_Mappings!$A$2:$C$16,3,FALSE()),"")</f>
        <v>GlowSource Cosmetics</v>
      </c>
      <c r="M277" t="str">
        <f>IFERROR(VLOOKUP(J277,Feature_Mappings!$D$2:$E$5,2,FALSE()),"")</f>
        <v>Liam Carter</v>
      </c>
      <c r="N277" t="s">
        <v>274</v>
      </c>
      <c r="O277" t="str">
        <f>IFERROR(INDEX(Store_Manager!$A$2:$A$5,MATCH(M277,Store_Manager!$B$2:$B$5,0)),"")</f>
        <v>MGR002</v>
      </c>
    </row>
    <row r="278" spans="1:15" ht="15.75" customHeight="1">
      <c r="A278">
        <v>277</v>
      </c>
      <c r="B278" s="2">
        <v>45156</v>
      </c>
      <c r="C278" t="s">
        <v>300</v>
      </c>
      <c r="D278" t="s">
        <v>16</v>
      </c>
      <c r="E278">
        <v>36</v>
      </c>
      <c r="F278" s="3" t="s">
        <v>22</v>
      </c>
      <c r="G278">
        <v>4</v>
      </c>
      <c r="H278" s="4">
        <v>25</v>
      </c>
      <c r="I278" s="4">
        <v>100</v>
      </c>
      <c r="J278" t="s">
        <v>273</v>
      </c>
      <c r="K278" t="str">
        <f>IFERROR(VLOOKUP(F278&amp;"|"&amp;H278,Feature_Mappings!$A$2:$C$16,2,FALSE()),"")</f>
        <v>Cotton Socks</v>
      </c>
      <c r="L278" t="str">
        <f>IFERROR(VLOOKUP(F278&amp;"|"&amp;H278,Feature_Mappings!$A$2:$C$16,3,FALSE()),"")</f>
        <v>Urban Basics Co.</v>
      </c>
      <c r="M278" t="str">
        <f>IFERROR(VLOOKUP(J278,Feature_Mappings!$D$2:$E$5,2,FALSE()),"")</f>
        <v>Liam Carter</v>
      </c>
      <c r="N278" t="s">
        <v>274</v>
      </c>
      <c r="O278" t="str">
        <f>IFERROR(INDEX(Store_Manager!$A$2:$A$5,MATCH(M278,Store_Manager!$B$2:$B$5,0)),"")</f>
        <v>MGR002</v>
      </c>
    </row>
    <row r="279" spans="1:15" ht="15.75" customHeight="1">
      <c r="A279">
        <v>278</v>
      </c>
      <c r="B279" s="2">
        <v>44998</v>
      </c>
      <c r="C279" t="s">
        <v>301</v>
      </c>
      <c r="D279" t="s">
        <v>21</v>
      </c>
      <c r="E279">
        <v>37</v>
      </c>
      <c r="F279" s="3" t="s">
        <v>22</v>
      </c>
      <c r="G279">
        <v>4</v>
      </c>
      <c r="H279" s="4">
        <v>25</v>
      </c>
      <c r="I279" s="4">
        <v>100</v>
      </c>
      <c r="J279" t="s">
        <v>273</v>
      </c>
      <c r="K279" t="str">
        <f>IFERROR(VLOOKUP(F279&amp;"|"&amp;H279,Feature_Mappings!$A$2:$C$16,2,FALSE()),"")</f>
        <v>Cotton Socks</v>
      </c>
      <c r="L279" t="str">
        <f>IFERROR(VLOOKUP(F279&amp;"|"&amp;H279,Feature_Mappings!$A$2:$C$16,3,FALSE()),"")</f>
        <v>Urban Basics Co.</v>
      </c>
      <c r="M279" t="str">
        <f>IFERROR(VLOOKUP(J279,Feature_Mappings!$D$2:$E$5,2,FALSE()),"")</f>
        <v>Liam Carter</v>
      </c>
      <c r="N279" t="s">
        <v>274</v>
      </c>
      <c r="O279" t="str">
        <f>IFERROR(INDEX(Store_Manager!$A$2:$A$5,MATCH(M279,Store_Manager!$B$2:$B$5,0)),"")</f>
        <v>MGR002</v>
      </c>
    </row>
    <row r="280" spans="1:15" ht="15.75" customHeight="1">
      <c r="A280">
        <v>279</v>
      </c>
      <c r="B280" s="2">
        <v>45143</v>
      </c>
      <c r="C280" t="s">
        <v>302</v>
      </c>
      <c r="D280" t="s">
        <v>16</v>
      </c>
      <c r="E280">
        <v>50</v>
      </c>
      <c r="F280" s="3" t="s">
        <v>22</v>
      </c>
      <c r="G280">
        <v>1</v>
      </c>
      <c r="H280" s="4">
        <v>500</v>
      </c>
      <c r="I280" s="4">
        <v>500</v>
      </c>
      <c r="J280" t="s">
        <v>273</v>
      </c>
      <c r="K280" t="str">
        <f>IFERROR(VLOOKUP(F280&amp;"|"&amp;H280,Feature_Mappings!$A$2:$C$16,2,FALSE()),"")</f>
        <v>Designer Coat</v>
      </c>
      <c r="L280" t="str">
        <f>IFERROR(VLOOKUP(F280&amp;"|"&amp;H280,Feature_Mappings!$A$2:$C$16,3,FALSE()),"")</f>
        <v>Prestige Fashion House</v>
      </c>
      <c r="M280" t="str">
        <f>IFERROR(VLOOKUP(J280,Feature_Mappings!$D$2:$E$5,2,FALSE()),"")</f>
        <v>Liam Carter</v>
      </c>
      <c r="N280" t="s">
        <v>274</v>
      </c>
      <c r="O280" t="str">
        <f>IFERROR(INDEX(Store_Manager!$A$2:$A$5,MATCH(M280,Store_Manager!$B$2:$B$5,0)),"")</f>
        <v>MGR002</v>
      </c>
    </row>
    <row r="281" spans="1:15" ht="15.75" customHeight="1">
      <c r="A281">
        <v>280</v>
      </c>
      <c r="B281" s="2">
        <v>45020</v>
      </c>
      <c r="C281" t="s">
        <v>303</v>
      </c>
      <c r="D281" t="s">
        <v>21</v>
      </c>
      <c r="E281">
        <v>37</v>
      </c>
      <c r="F281" s="3" t="s">
        <v>22</v>
      </c>
      <c r="G281">
        <v>3</v>
      </c>
      <c r="H281" s="4">
        <v>500</v>
      </c>
      <c r="I281" s="4">
        <v>1500</v>
      </c>
      <c r="J281" t="s">
        <v>273</v>
      </c>
      <c r="K281" t="str">
        <f>IFERROR(VLOOKUP(F281&amp;"|"&amp;H281,Feature_Mappings!$A$2:$C$16,2,FALSE()),"")</f>
        <v>Designer Coat</v>
      </c>
      <c r="L281" t="str">
        <f>IFERROR(VLOOKUP(F281&amp;"|"&amp;H281,Feature_Mappings!$A$2:$C$16,3,FALSE()),"")</f>
        <v>Prestige Fashion House</v>
      </c>
      <c r="M281" t="str">
        <f>IFERROR(VLOOKUP(J281,Feature_Mappings!$D$2:$E$5,2,FALSE()),"")</f>
        <v>Liam Carter</v>
      </c>
      <c r="N281" t="s">
        <v>274</v>
      </c>
      <c r="O281" t="str">
        <f>IFERROR(INDEX(Store_Manager!$A$2:$A$5,MATCH(M281,Store_Manager!$B$2:$B$5,0)),"")</f>
        <v>MGR002</v>
      </c>
    </row>
    <row r="282" spans="1:15" ht="15.75" customHeight="1">
      <c r="A282">
        <v>281</v>
      </c>
      <c r="B282" s="2">
        <v>45069</v>
      </c>
      <c r="C282" t="s">
        <v>304</v>
      </c>
      <c r="D282" t="s">
        <v>21</v>
      </c>
      <c r="E282">
        <v>29</v>
      </c>
      <c r="F282" s="3" t="s">
        <v>17</v>
      </c>
      <c r="G282">
        <v>4</v>
      </c>
      <c r="H282" s="4">
        <v>500</v>
      </c>
      <c r="I282" s="4">
        <v>2000</v>
      </c>
      <c r="J282" t="s">
        <v>273</v>
      </c>
      <c r="K282" t="str">
        <f>IFERROR(VLOOKUP(F282&amp;"|"&amp;H282,Feature_Mappings!$A$2:$C$16,2,FALSE()),"")</f>
        <v>LED Beauty Device</v>
      </c>
      <c r="L282" t="str">
        <f>IFERROR(VLOOKUP(F282&amp;"|"&amp;H282,Feature_Mappings!$A$2:$C$16,3,FALSE()),"")</f>
        <v>BeautyTech Pro</v>
      </c>
      <c r="M282" t="str">
        <f>IFERROR(VLOOKUP(J282,Feature_Mappings!$D$2:$E$5,2,FALSE()),"")</f>
        <v>Liam Carter</v>
      </c>
      <c r="N282" t="s">
        <v>274</v>
      </c>
      <c r="O282" t="str">
        <f>IFERROR(INDEX(Store_Manager!$A$2:$A$5,MATCH(M282,Store_Manager!$B$2:$B$5,0)),"")</f>
        <v>MGR002</v>
      </c>
    </row>
    <row r="283" spans="1:15" ht="15.75" customHeight="1">
      <c r="A283">
        <v>282</v>
      </c>
      <c r="B283" s="2">
        <v>45163</v>
      </c>
      <c r="C283" t="s">
        <v>305</v>
      </c>
      <c r="D283" t="s">
        <v>21</v>
      </c>
      <c r="E283">
        <v>64</v>
      </c>
      <c r="F283" s="3" t="s">
        <v>24</v>
      </c>
      <c r="G283">
        <v>4</v>
      </c>
      <c r="H283" s="4">
        <v>50</v>
      </c>
      <c r="I283" s="4">
        <v>200</v>
      </c>
      <c r="J283" t="s">
        <v>273</v>
      </c>
      <c r="K283" t="str">
        <f>IFERROR(VLOOKUP(F283&amp;"|"&amp;H283,Feature_Mappings!$A$2:$C$16,2,FALSE()),"")</f>
        <v>Bluetooth Speaker</v>
      </c>
      <c r="L283" t="str">
        <f>IFERROR(VLOOKUP(F283&amp;"|"&amp;H283,Feature_Mappings!$A$2:$C$16,3,FALSE()),"")</f>
        <v>SoundSphere Supply</v>
      </c>
      <c r="M283" t="str">
        <f>IFERROR(VLOOKUP(J283,Feature_Mappings!$D$2:$E$5,2,FALSE()),"")</f>
        <v>Liam Carter</v>
      </c>
      <c r="N283" t="s">
        <v>274</v>
      </c>
      <c r="O283" t="str">
        <f>IFERROR(INDEX(Store_Manager!$A$2:$A$5,MATCH(M283,Store_Manager!$B$2:$B$5,0)),"")</f>
        <v>MGR002</v>
      </c>
    </row>
    <row r="284" spans="1:15" ht="15.75" customHeight="1">
      <c r="A284">
        <v>283</v>
      </c>
      <c r="B284" s="2">
        <v>45054</v>
      </c>
      <c r="C284" t="s">
        <v>306</v>
      </c>
      <c r="D284" t="s">
        <v>21</v>
      </c>
      <c r="E284">
        <v>18</v>
      </c>
      <c r="F284" s="3" t="s">
        <v>24</v>
      </c>
      <c r="G284">
        <v>1</v>
      </c>
      <c r="H284" s="4">
        <v>500</v>
      </c>
      <c r="I284" s="4">
        <v>500</v>
      </c>
      <c r="J284" t="s">
        <v>273</v>
      </c>
      <c r="K284" t="str">
        <f>IFERROR(VLOOKUP(F284&amp;"|"&amp;H284,Feature_Mappings!$A$2:$C$16,2,FALSE()),"")</f>
        <v>Smartphone</v>
      </c>
      <c r="L284" t="str">
        <f>IFERROR(VLOOKUP(F284&amp;"|"&amp;H284,Feature_Mappings!$A$2:$C$16,3,FALSE()),"")</f>
        <v>NovaTech Wholesale</v>
      </c>
      <c r="M284" t="str">
        <f>IFERROR(VLOOKUP(J284,Feature_Mappings!$D$2:$E$5,2,FALSE()),"")</f>
        <v>Liam Carter</v>
      </c>
      <c r="N284" t="s">
        <v>274</v>
      </c>
      <c r="O284" t="str">
        <f>IFERROR(INDEX(Store_Manager!$A$2:$A$5,MATCH(M284,Store_Manager!$B$2:$B$5,0)),"")</f>
        <v>MGR002</v>
      </c>
    </row>
    <row r="285" spans="1:15" ht="15.75" customHeight="1">
      <c r="A285">
        <v>284</v>
      </c>
      <c r="B285" s="2">
        <v>44965</v>
      </c>
      <c r="C285" t="s">
        <v>307</v>
      </c>
      <c r="D285" t="s">
        <v>16</v>
      </c>
      <c r="E285">
        <v>43</v>
      </c>
      <c r="F285" s="3" t="s">
        <v>22</v>
      </c>
      <c r="G285">
        <v>4</v>
      </c>
      <c r="H285" s="4">
        <v>50</v>
      </c>
      <c r="I285" s="4">
        <v>200</v>
      </c>
      <c r="J285" t="s">
        <v>273</v>
      </c>
      <c r="K285" t="str">
        <f>IFERROR(VLOOKUP(F285&amp;"|"&amp;H285,Feature_Mappings!$A$2:$C$16,2,FALSE()),"")</f>
        <v>Denim Jeans</v>
      </c>
      <c r="L285" t="str">
        <f>IFERROR(VLOOKUP(F285&amp;"|"&amp;H285,Feature_Mappings!$A$2:$C$16,3,FALSE()),"")</f>
        <v>BlueFit Garments</v>
      </c>
      <c r="M285" t="str">
        <f>IFERROR(VLOOKUP(J285,Feature_Mappings!$D$2:$E$5,2,FALSE()),"")</f>
        <v>Liam Carter</v>
      </c>
      <c r="N285" t="s">
        <v>274</v>
      </c>
      <c r="O285" t="str">
        <f>IFERROR(INDEX(Store_Manager!$A$2:$A$5,MATCH(M285,Store_Manager!$B$2:$B$5,0)),"")</f>
        <v>MGR002</v>
      </c>
    </row>
    <row r="286" spans="1:15" ht="15.75" customHeight="1">
      <c r="A286">
        <v>285</v>
      </c>
      <c r="B286" s="2">
        <v>45153</v>
      </c>
      <c r="C286" t="s">
        <v>308</v>
      </c>
      <c r="D286" t="s">
        <v>21</v>
      </c>
      <c r="E286">
        <v>31</v>
      </c>
      <c r="F286" s="3" t="s">
        <v>24</v>
      </c>
      <c r="G286">
        <v>1</v>
      </c>
      <c r="H286" s="4">
        <v>25</v>
      </c>
      <c r="I286" s="4">
        <v>25</v>
      </c>
      <c r="J286" t="s">
        <v>273</v>
      </c>
      <c r="K286" t="str">
        <f>IFERROR(VLOOKUP(F286&amp;"|"&amp;H286,Feature_Mappings!$A$2:$C$16,2,FALSE()),"")</f>
        <v>USB-C Charger</v>
      </c>
      <c r="L286" t="str">
        <f>IFERROR(VLOOKUP(F286&amp;"|"&amp;H286,Feature_Mappings!$A$2:$C$16,3,FALSE()),"")</f>
        <v>VoltEdge Electronics</v>
      </c>
      <c r="M286" t="str">
        <f>IFERROR(VLOOKUP(J286,Feature_Mappings!$D$2:$E$5,2,FALSE()),"")</f>
        <v>Liam Carter</v>
      </c>
      <c r="N286" t="s">
        <v>274</v>
      </c>
      <c r="O286" t="str">
        <f>IFERROR(INDEX(Store_Manager!$A$2:$A$5,MATCH(M286,Store_Manager!$B$2:$B$5,0)),"")</f>
        <v>MGR002</v>
      </c>
    </row>
    <row r="287" spans="1:15" ht="15.75" customHeight="1">
      <c r="A287">
        <v>286</v>
      </c>
      <c r="B287" s="2">
        <v>45208</v>
      </c>
      <c r="C287" t="s">
        <v>309</v>
      </c>
      <c r="D287" t="s">
        <v>16</v>
      </c>
      <c r="E287">
        <v>55</v>
      </c>
      <c r="F287" s="3" t="s">
        <v>24</v>
      </c>
      <c r="G287">
        <v>2</v>
      </c>
      <c r="H287" s="4">
        <v>25</v>
      </c>
      <c r="I287" s="4">
        <v>50</v>
      </c>
      <c r="J287" t="s">
        <v>273</v>
      </c>
      <c r="K287" t="str">
        <f>IFERROR(VLOOKUP(F287&amp;"|"&amp;H287,Feature_Mappings!$A$2:$C$16,2,FALSE()),"")</f>
        <v>USB-C Charger</v>
      </c>
      <c r="L287" t="str">
        <f>IFERROR(VLOOKUP(F287&amp;"|"&amp;H287,Feature_Mappings!$A$2:$C$16,3,FALSE()),"")</f>
        <v>VoltEdge Electronics</v>
      </c>
      <c r="M287" t="str">
        <f>IFERROR(VLOOKUP(J287,Feature_Mappings!$D$2:$E$5,2,FALSE()),"")</f>
        <v>Liam Carter</v>
      </c>
      <c r="N287" t="s">
        <v>274</v>
      </c>
      <c r="O287" t="str">
        <f>IFERROR(INDEX(Store_Manager!$A$2:$A$5,MATCH(M287,Store_Manager!$B$2:$B$5,0)),"")</f>
        <v>MGR002</v>
      </c>
    </row>
    <row r="288" spans="1:15" ht="15.75" customHeight="1">
      <c r="A288">
        <v>287</v>
      </c>
      <c r="B288" s="2">
        <v>44977</v>
      </c>
      <c r="C288" t="s">
        <v>310</v>
      </c>
      <c r="D288" t="s">
        <v>16</v>
      </c>
      <c r="E288">
        <v>54</v>
      </c>
      <c r="F288" s="3" t="s">
        <v>22</v>
      </c>
      <c r="G288">
        <v>4</v>
      </c>
      <c r="H288" s="4">
        <v>25</v>
      </c>
      <c r="I288" s="4">
        <v>100</v>
      </c>
      <c r="J288" t="s">
        <v>273</v>
      </c>
      <c r="K288" t="str">
        <f>IFERROR(VLOOKUP(F288&amp;"|"&amp;H288,Feature_Mappings!$A$2:$C$16,2,FALSE()),"")</f>
        <v>Cotton Socks</v>
      </c>
      <c r="L288" t="str">
        <f>IFERROR(VLOOKUP(F288&amp;"|"&amp;H288,Feature_Mappings!$A$2:$C$16,3,FALSE()),"")</f>
        <v>Urban Basics Co.</v>
      </c>
      <c r="M288" t="str">
        <f>IFERROR(VLOOKUP(J288,Feature_Mappings!$D$2:$E$5,2,FALSE()),"")</f>
        <v>Liam Carter</v>
      </c>
      <c r="N288" t="s">
        <v>274</v>
      </c>
      <c r="O288" t="str">
        <f>IFERROR(INDEX(Store_Manager!$A$2:$A$5,MATCH(M288,Store_Manager!$B$2:$B$5,0)),"")</f>
        <v>MGR002</v>
      </c>
    </row>
    <row r="289" spans="1:15" ht="15.75" customHeight="1">
      <c r="A289">
        <v>288</v>
      </c>
      <c r="B289" s="2">
        <v>44952</v>
      </c>
      <c r="C289" t="s">
        <v>311</v>
      </c>
      <c r="D289" t="s">
        <v>16</v>
      </c>
      <c r="E289">
        <v>28</v>
      </c>
      <c r="F289" s="3" t="s">
        <v>22</v>
      </c>
      <c r="G289">
        <v>4</v>
      </c>
      <c r="H289" s="4">
        <v>30</v>
      </c>
      <c r="I289" s="4">
        <v>120</v>
      </c>
      <c r="J289" t="s">
        <v>273</v>
      </c>
      <c r="K289" t="str">
        <f>IFERROR(VLOOKUP(F289&amp;"|"&amp;H289,Feature_Mappings!$A$2:$C$16,2,FALSE()),"")</f>
        <v>Graphic T-Shirt</v>
      </c>
      <c r="L289" t="str">
        <f>IFERROR(VLOOKUP(F289&amp;"|"&amp;H289,Feature_Mappings!$A$2:$C$16,3,FALSE()),"")</f>
        <v>ThreadWorks Apparel</v>
      </c>
      <c r="M289" t="str">
        <f>IFERROR(VLOOKUP(J289,Feature_Mappings!$D$2:$E$5,2,FALSE()),"")</f>
        <v>Liam Carter</v>
      </c>
      <c r="N289" t="s">
        <v>274</v>
      </c>
      <c r="O289" t="str">
        <f>IFERROR(INDEX(Store_Manager!$A$2:$A$5,MATCH(M289,Store_Manager!$B$2:$B$5,0)),"")</f>
        <v>MGR002</v>
      </c>
    </row>
    <row r="290" spans="1:15" ht="15.75" customHeight="1">
      <c r="A290">
        <v>289</v>
      </c>
      <c r="B290" s="2">
        <v>45260</v>
      </c>
      <c r="C290" t="s">
        <v>312</v>
      </c>
      <c r="D290" t="s">
        <v>16</v>
      </c>
      <c r="E290">
        <v>53</v>
      </c>
      <c r="F290" s="3" t="s">
        <v>24</v>
      </c>
      <c r="G290">
        <v>2</v>
      </c>
      <c r="H290" s="4">
        <v>30</v>
      </c>
      <c r="I290" s="4">
        <v>60</v>
      </c>
      <c r="J290" t="s">
        <v>273</v>
      </c>
      <c r="K290" t="str">
        <f>IFERROR(VLOOKUP(F290&amp;"|"&amp;H290,Feature_Mappings!$A$2:$C$16,2,FALSE()),"")</f>
        <v>Wireless Mouse</v>
      </c>
      <c r="L290" t="str">
        <f>IFERROR(VLOOKUP(F290&amp;"|"&amp;H290,Feature_Mappings!$A$2:$C$16,3,FALSE()),"")</f>
        <v>ByteWave Distributors</v>
      </c>
      <c r="M290" t="str">
        <f>IFERROR(VLOOKUP(J290,Feature_Mappings!$D$2:$E$5,2,FALSE()),"")</f>
        <v>Liam Carter</v>
      </c>
      <c r="N290" t="s">
        <v>274</v>
      </c>
      <c r="O290" t="str">
        <f>IFERROR(INDEX(Store_Manager!$A$2:$A$5,MATCH(M290,Store_Manager!$B$2:$B$5,0)),"")</f>
        <v>MGR002</v>
      </c>
    </row>
    <row r="291" spans="1:15" ht="15.75" customHeight="1">
      <c r="A291">
        <v>290</v>
      </c>
      <c r="B291" s="2">
        <v>45203</v>
      </c>
      <c r="C291" t="s">
        <v>313</v>
      </c>
      <c r="D291" t="s">
        <v>21</v>
      </c>
      <c r="E291">
        <v>30</v>
      </c>
      <c r="F291" s="3" t="s">
        <v>17</v>
      </c>
      <c r="G291">
        <v>2</v>
      </c>
      <c r="H291" s="4">
        <v>300</v>
      </c>
      <c r="I291" s="4">
        <v>600</v>
      </c>
      <c r="J291" t="s">
        <v>273</v>
      </c>
      <c r="K291" t="str">
        <f>IFERROR(VLOOKUP(F291&amp;"|"&amp;H291,Feature_Mappings!$A$2:$C$16,2,FALSE()),"")</f>
        <v>Skincare Gift Set</v>
      </c>
      <c r="L291" t="str">
        <f>IFERROR(VLOOKUP(F291&amp;"|"&amp;H291,Feature_Mappings!$A$2:$C$16,3,FALSE()),"")</f>
        <v>Radiant Beauty Wholesale</v>
      </c>
      <c r="M291" t="str">
        <f>IFERROR(VLOOKUP(J291,Feature_Mappings!$D$2:$E$5,2,FALSE()),"")</f>
        <v>Liam Carter</v>
      </c>
      <c r="N291" t="s">
        <v>274</v>
      </c>
      <c r="O291" t="str">
        <f>IFERROR(INDEX(Store_Manager!$A$2:$A$5,MATCH(M291,Store_Manager!$B$2:$B$5,0)),"")</f>
        <v>MGR002</v>
      </c>
    </row>
    <row r="292" spans="1:15" ht="15.75" customHeight="1">
      <c r="A292">
        <v>291</v>
      </c>
      <c r="B292" s="2">
        <v>44934</v>
      </c>
      <c r="C292" t="s">
        <v>314</v>
      </c>
      <c r="D292" t="s">
        <v>16</v>
      </c>
      <c r="E292">
        <v>60</v>
      </c>
      <c r="F292" s="3" t="s">
        <v>22</v>
      </c>
      <c r="G292">
        <v>2</v>
      </c>
      <c r="H292" s="4">
        <v>300</v>
      </c>
      <c r="I292" s="4">
        <v>600</v>
      </c>
      <c r="J292" t="s">
        <v>273</v>
      </c>
      <c r="K292" t="str">
        <f>IFERROR(VLOOKUP(F292&amp;"|"&amp;H292,Feature_Mappings!$A$2:$C$16,2,FALSE()),"")</f>
        <v>Leather Jacket</v>
      </c>
      <c r="L292" t="str">
        <f>IFERROR(VLOOKUP(F292&amp;"|"&amp;H292,Feature_Mappings!$A$2:$C$16,3,FALSE()),"")</f>
        <v>Metro Style Manufacturing</v>
      </c>
      <c r="M292" t="str">
        <f>IFERROR(VLOOKUP(J292,Feature_Mappings!$D$2:$E$5,2,FALSE()),"")</f>
        <v>Liam Carter</v>
      </c>
      <c r="N292" t="s">
        <v>274</v>
      </c>
      <c r="O292" t="str">
        <f>IFERROR(INDEX(Store_Manager!$A$2:$A$5,MATCH(M292,Store_Manager!$B$2:$B$5,0)),"")</f>
        <v>MGR002</v>
      </c>
    </row>
    <row r="293" spans="1:15" ht="15.75" customHeight="1">
      <c r="A293">
        <v>292</v>
      </c>
      <c r="B293" s="2">
        <v>44974</v>
      </c>
      <c r="C293" t="s">
        <v>315</v>
      </c>
      <c r="D293" t="s">
        <v>16</v>
      </c>
      <c r="E293">
        <v>20</v>
      </c>
      <c r="F293" s="3" t="s">
        <v>17</v>
      </c>
      <c r="G293">
        <v>4</v>
      </c>
      <c r="H293" s="4">
        <v>300</v>
      </c>
      <c r="I293" s="4">
        <v>1200</v>
      </c>
      <c r="J293" t="s">
        <v>273</v>
      </c>
      <c r="K293" t="str">
        <f>IFERROR(VLOOKUP(F293&amp;"|"&amp;H293,Feature_Mappings!$A$2:$C$16,2,FALSE()),"")</f>
        <v>Skincare Gift Set</v>
      </c>
      <c r="L293" t="str">
        <f>IFERROR(VLOOKUP(F293&amp;"|"&amp;H293,Feature_Mappings!$A$2:$C$16,3,FALSE()),"")</f>
        <v>Radiant Beauty Wholesale</v>
      </c>
      <c r="M293" t="str">
        <f>IFERROR(VLOOKUP(J293,Feature_Mappings!$D$2:$E$5,2,FALSE()),"")</f>
        <v>Liam Carter</v>
      </c>
      <c r="N293" t="s">
        <v>274</v>
      </c>
      <c r="O293" t="str">
        <f>IFERROR(INDEX(Store_Manager!$A$2:$A$5,MATCH(M293,Store_Manager!$B$2:$B$5,0)),"")</f>
        <v>MGR002</v>
      </c>
    </row>
    <row r="294" spans="1:15" ht="15.75" customHeight="1">
      <c r="A294">
        <v>293</v>
      </c>
      <c r="B294" s="2">
        <v>45048</v>
      </c>
      <c r="C294" t="s">
        <v>316</v>
      </c>
      <c r="D294" t="s">
        <v>16</v>
      </c>
      <c r="E294">
        <v>50</v>
      </c>
      <c r="F294" s="3" t="s">
        <v>24</v>
      </c>
      <c r="G294">
        <v>3</v>
      </c>
      <c r="H294" s="4">
        <v>30</v>
      </c>
      <c r="I294" s="4">
        <v>90</v>
      </c>
      <c r="J294" t="s">
        <v>273</v>
      </c>
      <c r="K294" t="str">
        <f>IFERROR(VLOOKUP(F294&amp;"|"&amp;H294,Feature_Mappings!$A$2:$C$16,2,FALSE()),"")</f>
        <v>Wireless Mouse</v>
      </c>
      <c r="L294" t="str">
        <f>IFERROR(VLOOKUP(F294&amp;"|"&amp;H294,Feature_Mappings!$A$2:$C$16,3,FALSE()),"")</f>
        <v>ByteWave Distributors</v>
      </c>
      <c r="M294" t="str">
        <f>IFERROR(VLOOKUP(J294,Feature_Mappings!$D$2:$E$5,2,FALSE()),"")</f>
        <v>Liam Carter</v>
      </c>
      <c r="N294" t="s">
        <v>274</v>
      </c>
      <c r="O294" t="str">
        <f>IFERROR(INDEX(Store_Manager!$A$2:$A$5,MATCH(M294,Store_Manager!$B$2:$B$5,0)),"")</f>
        <v>MGR002</v>
      </c>
    </row>
    <row r="295" spans="1:15" ht="15.75" customHeight="1">
      <c r="A295">
        <v>294</v>
      </c>
      <c r="B295" s="2">
        <v>45012</v>
      </c>
      <c r="C295" t="s">
        <v>317</v>
      </c>
      <c r="D295" t="s">
        <v>21</v>
      </c>
      <c r="E295">
        <v>23</v>
      </c>
      <c r="F295" s="3" t="s">
        <v>22</v>
      </c>
      <c r="G295">
        <v>3</v>
      </c>
      <c r="H295" s="4">
        <v>30</v>
      </c>
      <c r="I295" s="4">
        <v>90</v>
      </c>
      <c r="J295" t="s">
        <v>273</v>
      </c>
      <c r="K295" t="str">
        <f>IFERROR(VLOOKUP(F295&amp;"|"&amp;H295,Feature_Mappings!$A$2:$C$16,2,FALSE()),"")</f>
        <v>Graphic T-Shirt</v>
      </c>
      <c r="L295" t="str">
        <f>IFERROR(VLOOKUP(F295&amp;"|"&amp;H295,Feature_Mappings!$A$2:$C$16,3,FALSE()),"")</f>
        <v>ThreadWorks Apparel</v>
      </c>
      <c r="M295" t="str">
        <f>IFERROR(VLOOKUP(J295,Feature_Mappings!$D$2:$E$5,2,FALSE()),"")</f>
        <v>Liam Carter</v>
      </c>
      <c r="N295" t="s">
        <v>274</v>
      </c>
      <c r="O295" t="str">
        <f>IFERROR(INDEX(Store_Manager!$A$2:$A$5,MATCH(M295,Store_Manager!$B$2:$B$5,0)),"")</f>
        <v>MGR002</v>
      </c>
    </row>
    <row r="296" spans="1:15" ht="15.75" customHeight="1">
      <c r="A296">
        <v>295</v>
      </c>
      <c r="B296" s="2">
        <v>45135</v>
      </c>
      <c r="C296" t="s">
        <v>318</v>
      </c>
      <c r="D296" t="s">
        <v>21</v>
      </c>
      <c r="E296">
        <v>27</v>
      </c>
      <c r="F296" s="3" t="s">
        <v>17</v>
      </c>
      <c r="G296">
        <v>3</v>
      </c>
      <c r="H296" s="4">
        <v>300</v>
      </c>
      <c r="I296" s="4">
        <v>900</v>
      </c>
      <c r="J296" t="s">
        <v>273</v>
      </c>
      <c r="K296" t="str">
        <f>IFERROR(VLOOKUP(F296&amp;"|"&amp;H296,Feature_Mappings!$A$2:$C$16,2,FALSE()),"")</f>
        <v>Skincare Gift Set</v>
      </c>
      <c r="L296" t="str">
        <f>IFERROR(VLOOKUP(F296&amp;"|"&amp;H296,Feature_Mappings!$A$2:$C$16,3,FALSE()),"")</f>
        <v>Radiant Beauty Wholesale</v>
      </c>
      <c r="M296" t="str">
        <f>IFERROR(VLOOKUP(J296,Feature_Mappings!$D$2:$E$5,2,FALSE()),"")</f>
        <v>Liam Carter</v>
      </c>
      <c r="N296" t="s">
        <v>274</v>
      </c>
      <c r="O296" t="str">
        <f>IFERROR(INDEX(Store_Manager!$A$2:$A$5,MATCH(M296,Store_Manager!$B$2:$B$5,0)),"")</f>
        <v>MGR002</v>
      </c>
    </row>
    <row r="297" spans="1:15" ht="15.75" customHeight="1">
      <c r="A297">
        <v>296</v>
      </c>
      <c r="B297" s="2">
        <v>45175</v>
      </c>
      <c r="C297" t="s">
        <v>319</v>
      </c>
      <c r="D297" t="s">
        <v>21</v>
      </c>
      <c r="E297">
        <v>22</v>
      </c>
      <c r="F297" s="3" t="s">
        <v>22</v>
      </c>
      <c r="G297">
        <v>4</v>
      </c>
      <c r="H297" s="4">
        <v>300</v>
      </c>
      <c r="I297" s="4">
        <v>1200</v>
      </c>
      <c r="J297" t="s">
        <v>273</v>
      </c>
      <c r="K297" t="str">
        <f>IFERROR(VLOOKUP(F297&amp;"|"&amp;H297,Feature_Mappings!$A$2:$C$16,2,FALSE()),"")</f>
        <v>Leather Jacket</v>
      </c>
      <c r="L297" t="str">
        <f>IFERROR(VLOOKUP(F297&amp;"|"&amp;H297,Feature_Mappings!$A$2:$C$16,3,FALSE()),"")</f>
        <v>Metro Style Manufacturing</v>
      </c>
      <c r="M297" t="str">
        <f>IFERROR(VLOOKUP(J297,Feature_Mappings!$D$2:$E$5,2,FALSE()),"")</f>
        <v>Liam Carter</v>
      </c>
      <c r="N297" t="s">
        <v>274</v>
      </c>
      <c r="O297" t="str">
        <f>IFERROR(INDEX(Store_Manager!$A$2:$A$5,MATCH(M297,Store_Manager!$B$2:$B$5,0)),"")</f>
        <v>MGR002</v>
      </c>
    </row>
    <row r="298" spans="1:15" ht="15.75" customHeight="1">
      <c r="A298">
        <v>297</v>
      </c>
      <c r="B298" s="2">
        <v>45173</v>
      </c>
      <c r="C298" t="s">
        <v>320</v>
      </c>
      <c r="D298" t="s">
        <v>21</v>
      </c>
      <c r="E298">
        <v>40</v>
      </c>
      <c r="F298" s="3" t="s">
        <v>24</v>
      </c>
      <c r="G298">
        <v>2</v>
      </c>
      <c r="H298" s="4">
        <v>500</v>
      </c>
      <c r="I298" s="4">
        <v>1000</v>
      </c>
      <c r="J298" t="s">
        <v>273</v>
      </c>
      <c r="K298" t="str">
        <f>IFERROR(VLOOKUP(F298&amp;"|"&amp;H298,Feature_Mappings!$A$2:$C$16,2,FALSE()),"")</f>
        <v>Smartphone</v>
      </c>
      <c r="L298" t="str">
        <f>IFERROR(VLOOKUP(F298&amp;"|"&amp;H298,Feature_Mappings!$A$2:$C$16,3,FALSE()),"")</f>
        <v>NovaTech Wholesale</v>
      </c>
      <c r="M298" t="str">
        <f>IFERROR(VLOOKUP(J298,Feature_Mappings!$D$2:$E$5,2,FALSE()),"")</f>
        <v>Liam Carter</v>
      </c>
      <c r="N298" t="s">
        <v>274</v>
      </c>
      <c r="O298" t="str">
        <f>IFERROR(INDEX(Store_Manager!$A$2:$A$5,MATCH(M298,Store_Manager!$B$2:$B$5,0)),"")</f>
        <v>MGR002</v>
      </c>
    </row>
    <row r="299" spans="1:15" ht="15.75" customHeight="1">
      <c r="A299">
        <v>298</v>
      </c>
      <c r="B299" s="2">
        <v>45036</v>
      </c>
      <c r="C299" t="s">
        <v>321</v>
      </c>
      <c r="D299" t="s">
        <v>16</v>
      </c>
      <c r="E299">
        <v>27</v>
      </c>
      <c r="F299" s="3" t="s">
        <v>17</v>
      </c>
      <c r="G299">
        <v>4</v>
      </c>
      <c r="H299" s="4">
        <v>300</v>
      </c>
      <c r="I299" s="4">
        <v>1200</v>
      </c>
      <c r="J299" t="s">
        <v>273</v>
      </c>
      <c r="K299" t="str">
        <f>IFERROR(VLOOKUP(F299&amp;"|"&amp;H299,Feature_Mappings!$A$2:$C$16,2,FALSE()),"")</f>
        <v>Skincare Gift Set</v>
      </c>
      <c r="L299" t="str">
        <f>IFERROR(VLOOKUP(F299&amp;"|"&amp;H299,Feature_Mappings!$A$2:$C$16,3,FALSE()),"")</f>
        <v>Radiant Beauty Wholesale</v>
      </c>
      <c r="M299" t="str">
        <f>IFERROR(VLOOKUP(J299,Feature_Mappings!$D$2:$E$5,2,FALSE()),"")</f>
        <v>Liam Carter</v>
      </c>
      <c r="N299" t="s">
        <v>274</v>
      </c>
      <c r="O299" t="str">
        <f>IFERROR(INDEX(Store_Manager!$A$2:$A$5,MATCH(M299,Store_Manager!$B$2:$B$5,0)),"")</f>
        <v>MGR002</v>
      </c>
    </row>
    <row r="300" spans="1:15" ht="15.75" customHeight="1">
      <c r="A300">
        <v>299</v>
      </c>
      <c r="B300" s="2">
        <v>45132</v>
      </c>
      <c r="C300" t="s">
        <v>322</v>
      </c>
      <c r="D300" t="s">
        <v>16</v>
      </c>
      <c r="E300">
        <v>61</v>
      </c>
      <c r="F300" s="3" t="s">
        <v>24</v>
      </c>
      <c r="G300">
        <v>2</v>
      </c>
      <c r="H300" s="4">
        <v>500</v>
      </c>
      <c r="I300" s="4">
        <v>1000</v>
      </c>
      <c r="J300" t="s">
        <v>273</v>
      </c>
      <c r="K300" t="str">
        <f>IFERROR(VLOOKUP(F300&amp;"|"&amp;H300,Feature_Mappings!$A$2:$C$16,2,FALSE()),"")</f>
        <v>Smartphone</v>
      </c>
      <c r="L300" t="str">
        <f>IFERROR(VLOOKUP(F300&amp;"|"&amp;H300,Feature_Mappings!$A$2:$C$16,3,FALSE()),"")</f>
        <v>NovaTech Wholesale</v>
      </c>
      <c r="M300" t="str">
        <f>IFERROR(VLOOKUP(J300,Feature_Mappings!$D$2:$E$5,2,FALSE()),"")</f>
        <v>Liam Carter</v>
      </c>
      <c r="N300" t="s">
        <v>274</v>
      </c>
      <c r="O300" t="str">
        <f>IFERROR(INDEX(Store_Manager!$A$2:$A$5,MATCH(M300,Store_Manager!$B$2:$B$5,0)),"")</f>
        <v>MGR002</v>
      </c>
    </row>
    <row r="301" spans="1:15" ht="15.75" customHeight="1">
      <c r="A301">
        <v>300</v>
      </c>
      <c r="B301" s="2">
        <v>44957</v>
      </c>
      <c r="C301" t="s">
        <v>323</v>
      </c>
      <c r="D301" t="s">
        <v>21</v>
      </c>
      <c r="E301">
        <v>19</v>
      </c>
      <c r="F301" s="3" t="s">
        <v>24</v>
      </c>
      <c r="G301">
        <v>4</v>
      </c>
      <c r="H301" s="4">
        <v>50</v>
      </c>
      <c r="I301" s="4">
        <v>200</v>
      </c>
      <c r="J301" t="s">
        <v>273</v>
      </c>
      <c r="K301" t="str">
        <f>IFERROR(VLOOKUP(F301&amp;"|"&amp;H301,Feature_Mappings!$A$2:$C$16,2,FALSE()),"")</f>
        <v>Bluetooth Speaker</v>
      </c>
      <c r="L301" t="str">
        <f>IFERROR(VLOOKUP(F301&amp;"|"&amp;H301,Feature_Mappings!$A$2:$C$16,3,FALSE()),"")</f>
        <v>SoundSphere Supply</v>
      </c>
      <c r="M301" t="str">
        <f>IFERROR(VLOOKUP(J301,Feature_Mappings!$D$2:$E$5,2,FALSE()),"")</f>
        <v>Liam Carter</v>
      </c>
      <c r="N301" t="s">
        <v>274</v>
      </c>
      <c r="O301" t="str">
        <f>IFERROR(INDEX(Store_Manager!$A$2:$A$5,MATCH(M301,Store_Manager!$B$2:$B$5,0)),"")</f>
        <v>MGR002</v>
      </c>
    </row>
    <row r="302" spans="1:15" ht="15.75" customHeight="1">
      <c r="A302">
        <v>301</v>
      </c>
      <c r="B302" s="2">
        <v>45011</v>
      </c>
      <c r="C302" t="s">
        <v>324</v>
      </c>
      <c r="D302" t="s">
        <v>16</v>
      </c>
      <c r="E302">
        <v>30</v>
      </c>
      <c r="F302" s="3" t="s">
        <v>22</v>
      </c>
      <c r="G302">
        <v>4</v>
      </c>
      <c r="H302" s="4">
        <v>30</v>
      </c>
      <c r="I302" s="4">
        <v>120</v>
      </c>
      <c r="J302" t="s">
        <v>273</v>
      </c>
      <c r="K302" t="str">
        <f>IFERROR(VLOOKUP(F302&amp;"|"&amp;H302,Feature_Mappings!$A$2:$C$16,2,FALSE()),"")</f>
        <v>Graphic T-Shirt</v>
      </c>
      <c r="L302" t="str">
        <f>IFERROR(VLOOKUP(F302&amp;"|"&amp;H302,Feature_Mappings!$A$2:$C$16,3,FALSE()),"")</f>
        <v>ThreadWorks Apparel</v>
      </c>
      <c r="M302" t="str">
        <f>IFERROR(VLOOKUP(J302,Feature_Mappings!$D$2:$E$5,2,FALSE()),"")</f>
        <v>Liam Carter</v>
      </c>
      <c r="N302" t="s">
        <v>274</v>
      </c>
      <c r="O302" t="str">
        <f>IFERROR(INDEX(Store_Manager!$A$2:$A$5,MATCH(M302,Store_Manager!$B$2:$B$5,0)),"")</f>
        <v>MGR002</v>
      </c>
    </row>
    <row r="303" spans="1:15" ht="15.75" customHeight="1">
      <c r="A303">
        <v>302</v>
      </c>
      <c r="B303" s="2">
        <v>45121</v>
      </c>
      <c r="C303" t="s">
        <v>325</v>
      </c>
      <c r="D303" t="s">
        <v>16</v>
      </c>
      <c r="E303">
        <v>57</v>
      </c>
      <c r="F303" s="3" t="s">
        <v>17</v>
      </c>
      <c r="G303">
        <v>2</v>
      </c>
      <c r="H303" s="4">
        <v>300</v>
      </c>
      <c r="I303" s="4">
        <v>600</v>
      </c>
      <c r="J303" t="s">
        <v>273</v>
      </c>
      <c r="K303" t="str">
        <f>IFERROR(VLOOKUP(F303&amp;"|"&amp;H303,Feature_Mappings!$A$2:$C$16,2,FALSE()),"")</f>
        <v>Skincare Gift Set</v>
      </c>
      <c r="L303" t="str">
        <f>IFERROR(VLOOKUP(F303&amp;"|"&amp;H303,Feature_Mappings!$A$2:$C$16,3,FALSE()),"")</f>
        <v>Radiant Beauty Wholesale</v>
      </c>
      <c r="M303" t="str">
        <f>IFERROR(VLOOKUP(J303,Feature_Mappings!$D$2:$E$5,2,FALSE()),"")</f>
        <v>Liam Carter</v>
      </c>
      <c r="N303" t="s">
        <v>274</v>
      </c>
      <c r="O303" t="str">
        <f>IFERROR(INDEX(Store_Manager!$A$2:$A$5,MATCH(M303,Store_Manager!$B$2:$B$5,0)),"")</f>
        <v>MGR002</v>
      </c>
    </row>
    <row r="304" spans="1:15" ht="15.75" customHeight="1">
      <c r="A304">
        <v>303</v>
      </c>
      <c r="B304" s="2">
        <v>44928</v>
      </c>
      <c r="C304" t="s">
        <v>326</v>
      </c>
      <c r="D304" t="s">
        <v>16</v>
      </c>
      <c r="E304">
        <v>19</v>
      </c>
      <c r="F304" s="3" t="s">
        <v>24</v>
      </c>
      <c r="G304">
        <v>3</v>
      </c>
      <c r="H304" s="4">
        <v>30</v>
      </c>
      <c r="I304" s="4">
        <v>90</v>
      </c>
      <c r="J304" t="s">
        <v>273</v>
      </c>
      <c r="K304" t="str">
        <f>IFERROR(VLOOKUP(F304&amp;"|"&amp;H304,Feature_Mappings!$A$2:$C$16,2,FALSE()),"")</f>
        <v>Wireless Mouse</v>
      </c>
      <c r="L304" t="str">
        <f>IFERROR(VLOOKUP(F304&amp;"|"&amp;H304,Feature_Mappings!$A$2:$C$16,3,FALSE()),"")</f>
        <v>ByteWave Distributors</v>
      </c>
      <c r="M304" t="str">
        <f>IFERROR(VLOOKUP(J304,Feature_Mappings!$D$2:$E$5,2,FALSE()),"")</f>
        <v>Liam Carter</v>
      </c>
      <c r="N304" t="s">
        <v>274</v>
      </c>
      <c r="O304" t="str">
        <f>IFERROR(INDEX(Store_Manager!$A$2:$A$5,MATCH(M304,Store_Manager!$B$2:$B$5,0)),"")</f>
        <v>MGR002</v>
      </c>
    </row>
    <row r="305" spans="1:15" ht="15.75" customHeight="1">
      <c r="A305">
        <v>304</v>
      </c>
      <c r="B305" s="2">
        <v>45126</v>
      </c>
      <c r="C305" t="s">
        <v>327</v>
      </c>
      <c r="D305" t="s">
        <v>21</v>
      </c>
      <c r="E305">
        <v>37</v>
      </c>
      <c r="F305" s="3" t="s">
        <v>24</v>
      </c>
      <c r="G305">
        <v>2</v>
      </c>
      <c r="H305" s="4">
        <v>30</v>
      </c>
      <c r="I305" s="4">
        <v>60</v>
      </c>
      <c r="J305" t="s">
        <v>273</v>
      </c>
      <c r="K305" t="str">
        <f>IFERROR(VLOOKUP(F305&amp;"|"&amp;H305,Feature_Mappings!$A$2:$C$16,2,FALSE()),"")</f>
        <v>Wireless Mouse</v>
      </c>
      <c r="L305" t="str">
        <f>IFERROR(VLOOKUP(F305&amp;"|"&amp;H305,Feature_Mappings!$A$2:$C$16,3,FALSE()),"")</f>
        <v>ByteWave Distributors</v>
      </c>
      <c r="M305" t="str">
        <f>IFERROR(VLOOKUP(J305,Feature_Mappings!$D$2:$E$5,2,FALSE()),"")</f>
        <v>Liam Carter</v>
      </c>
      <c r="N305" t="s">
        <v>274</v>
      </c>
      <c r="O305" t="str">
        <f>IFERROR(INDEX(Store_Manager!$A$2:$A$5,MATCH(M305,Store_Manager!$B$2:$B$5,0)),"")</f>
        <v>MGR002</v>
      </c>
    </row>
    <row r="306" spans="1:15" ht="15.75" customHeight="1">
      <c r="A306">
        <v>305</v>
      </c>
      <c r="B306" s="2">
        <v>45062</v>
      </c>
      <c r="C306" t="s">
        <v>328</v>
      </c>
      <c r="D306" t="s">
        <v>21</v>
      </c>
      <c r="E306">
        <v>18</v>
      </c>
      <c r="F306" s="3" t="s">
        <v>17</v>
      </c>
      <c r="G306">
        <v>1</v>
      </c>
      <c r="H306" s="4">
        <v>30</v>
      </c>
      <c r="I306" s="4">
        <v>30</v>
      </c>
      <c r="J306" t="s">
        <v>273</v>
      </c>
      <c r="K306" t="str">
        <f>IFERROR(VLOOKUP(F306&amp;"|"&amp;H306,Feature_Mappings!$A$2:$C$16,2,FALSE()),"")</f>
        <v>Facial Cleanser</v>
      </c>
      <c r="L306" t="str">
        <f>IFERROR(VLOOKUP(F306&amp;"|"&amp;H306,Feature_Mappings!$A$2:$C$16,3,FALSE()),"")</f>
        <v>PureDerma Supplies</v>
      </c>
      <c r="M306" t="str">
        <f>IFERROR(VLOOKUP(J306,Feature_Mappings!$D$2:$E$5,2,FALSE()),"")</f>
        <v>Liam Carter</v>
      </c>
      <c r="N306" t="s">
        <v>274</v>
      </c>
      <c r="O306" t="str">
        <f>IFERROR(INDEX(Store_Manager!$A$2:$A$5,MATCH(M306,Store_Manager!$B$2:$B$5,0)),"")</f>
        <v>MGR002</v>
      </c>
    </row>
    <row r="307" spans="1:15" ht="15.75" customHeight="1">
      <c r="A307">
        <v>306</v>
      </c>
      <c r="B307" s="2">
        <v>45159</v>
      </c>
      <c r="C307" t="s">
        <v>329</v>
      </c>
      <c r="D307" t="s">
        <v>16</v>
      </c>
      <c r="E307">
        <v>54</v>
      </c>
      <c r="F307" s="3" t="s">
        <v>24</v>
      </c>
      <c r="G307">
        <v>1</v>
      </c>
      <c r="H307" s="4">
        <v>50</v>
      </c>
      <c r="I307" s="4">
        <v>50</v>
      </c>
      <c r="J307" t="s">
        <v>273</v>
      </c>
      <c r="K307" t="str">
        <f>IFERROR(VLOOKUP(F307&amp;"|"&amp;H307,Feature_Mappings!$A$2:$C$16,2,FALSE()),"")</f>
        <v>Bluetooth Speaker</v>
      </c>
      <c r="L307" t="str">
        <f>IFERROR(VLOOKUP(F307&amp;"|"&amp;H307,Feature_Mappings!$A$2:$C$16,3,FALSE()),"")</f>
        <v>SoundSphere Supply</v>
      </c>
      <c r="M307" t="str">
        <f>IFERROR(VLOOKUP(J307,Feature_Mappings!$D$2:$E$5,2,FALSE()),"")</f>
        <v>Liam Carter</v>
      </c>
      <c r="N307" t="s">
        <v>274</v>
      </c>
      <c r="O307" t="str">
        <f>IFERROR(INDEX(Store_Manager!$A$2:$A$5,MATCH(M307,Store_Manager!$B$2:$B$5,0)),"")</f>
        <v>MGR002</v>
      </c>
    </row>
    <row r="308" spans="1:15" ht="15.75" customHeight="1">
      <c r="A308">
        <v>307</v>
      </c>
      <c r="B308" s="2">
        <v>45073</v>
      </c>
      <c r="C308" t="s">
        <v>330</v>
      </c>
      <c r="D308" t="s">
        <v>21</v>
      </c>
      <c r="E308">
        <v>26</v>
      </c>
      <c r="F308" s="3" t="s">
        <v>24</v>
      </c>
      <c r="G308">
        <v>2</v>
      </c>
      <c r="H308" s="4">
        <v>25</v>
      </c>
      <c r="I308" s="4">
        <v>50</v>
      </c>
      <c r="J308" t="s">
        <v>273</v>
      </c>
      <c r="K308" t="str">
        <f>IFERROR(VLOOKUP(F308&amp;"|"&amp;H308,Feature_Mappings!$A$2:$C$16,2,FALSE()),"")</f>
        <v>USB-C Charger</v>
      </c>
      <c r="L308" t="str">
        <f>IFERROR(VLOOKUP(F308&amp;"|"&amp;H308,Feature_Mappings!$A$2:$C$16,3,FALSE()),"")</f>
        <v>VoltEdge Electronics</v>
      </c>
      <c r="M308" t="str">
        <f>IFERROR(VLOOKUP(J308,Feature_Mappings!$D$2:$E$5,2,FALSE()),"")</f>
        <v>Liam Carter</v>
      </c>
      <c r="N308" t="s">
        <v>274</v>
      </c>
      <c r="O308" t="str">
        <f>IFERROR(INDEX(Store_Manager!$A$2:$A$5,MATCH(M308,Store_Manager!$B$2:$B$5,0)),"")</f>
        <v>MGR002</v>
      </c>
    </row>
    <row r="309" spans="1:15" ht="15.75" customHeight="1">
      <c r="A309">
        <v>308</v>
      </c>
      <c r="B309" s="2">
        <v>45143</v>
      </c>
      <c r="C309" t="s">
        <v>331</v>
      </c>
      <c r="D309" t="s">
        <v>21</v>
      </c>
      <c r="E309">
        <v>34</v>
      </c>
      <c r="F309" s="3" t="s">
        <v>17</v>
      </c>
      <c r="G309">
        <v>4</v>
      </c>
      <c r="H309" s="4">
        <v>300</v>
      </c>
      <c r="I309" s="4">
        <v>1200</v>
      </c>
      <c r="J309" t="s">
        <v>273</v>
      </c>
      <c r="K309" t="str">
        <f>IFERROR(VLOOKUP(F309&amp;"|"&amp;H309,Feature_Mappings!$A$2:$C$16,2,FALSE()),"")</f>
        <v>Skincare Gift Set</v>
      </c>
      <c r="L309" t="str">
        <f>IFERROR(VLOOKUP(F309&amp;"|"&amp;H309,Feature_Mappings!$A$2:$C$16,3,FALSE()),"")</f>
        <v>Radiant Beauty Wholesale</v>
      </c>
      <c r="M309" t="str">
        <f>IFERROR(VLOOKUP(J309,Feature_Mappings!$D$2:$E$5,2,FALSE()),"")</f>
        <v>Liam Carter</v>
      </c>
      <c r="N309" t="s">
        <v>274</v>
      </c>
      <c r="O309" t="str">
        <f>IFERROR(INDEX(Store_Manager!$A$2:$A$5,MATCH(M309,Store_Manager!$B$2:$B$5,0)),"")</f>
        <v>MGR002</v>
      </c>
    </row>
    <row r="310" spans="1:15" ht="15.75" customHeight="1">
      <c r="A310">
        <v>309</v>
      </c>
      <c r="B310" s="2">
        <v>45283</v>
      </c>
      <c r="C310" t="s">
        <v>332</v>
      </c>
      <c r="D310" t="s">
        <v>21</v>
      </c>
      <c r="E310">
        <v>26</v>
      </c>
      <c r="F310" s="3" t="s">
        <v>17</v>
      </c>
      <c r="G310">
        <v>1</v>
      </c>
      <c r="H310" s="4">
        <v>25</v>
      </c>
      <c r="I310" s="4">
        <v>25</v>
      </c>
      <c r="J310" t="s">
        <v>273</v>
      </c>
      <c r="K310" t="str">
        <f>IFERROR(VLOOKUP(F310&amp;"|"&amp;H310,Feature_Mappings!$A$2:$C$16,2,FALSE()),"")</f>
        <v>Lip Balm</v>
      </c>
      <c r="L310" t="str">
        <f>IFERROR(VLOOKUP(F310&amp;"|"&amp;H310,Feature_Mappings!$A$2:$C$16,3,FALSE()),"")</f>
        <v>GlowSource Cosmetics</v>
      </c>
      <c r="M310" t="str">
        <f>IFERROR(VLOOKUP(J310,Feature_Mappings!$D$2:$E$5,2,FALSE()),"")</f>
        <v>Liam Carter</v>
      </c>
      <c r="N310" t="s">
        <v>274</v>
      </c>
      <c r="O310" t="str">
        <f>IFERROR(INDEX(Store_Manager!$A$2:$A$5,MATCH(M310,Store_Manager!$B$2:$B$5,0)),"")</f>
        <v>MGR002</v>
      </c>
    </row>
    <row r="311" spans="1:15" ht="15.75" customHeight="1">
      <c r="A311">
        <v>310</v>
      </c>
      <c r="B311" s="2">
        <v>45211</v>
      </c>
      <c r="C311" t="s">
        <v>333</v>
      </c>
      <c r="D311" t="s">
        <v>21</v>
      </c>
      <c r="E311">
        <v>28</v>
      </c>
      <c r="F311" s="3" t="s">
        <v>17</v>
      </c>
      <c r="G311">
        <v>1</v>
      </c>
      <c r="H311" s="4">
        <v>25</v>
      </c>
      <c r="I311" s="4">
        <v>25</v>
      </c>
      <c r="J311" t="s">
        <v>273</v>
      </c>
      <c r="K311" t="str">
        <f>IFERROR(VLOOKUP(F311&amp;"|"&amp;H311,Feature_Mappings!$A$2:$C$16,2,FALSE()),"")</f>
        <v>Lip Balm</v>
      </c>
      <c r="L311" t="str">
        <f>IFERROR(VLOOKUP(F311&amp;"|"&amp;H311,Feature_Mappings!$A$2:$C$16,3,FALSE()),"")</f>
        <v>GlowSource Cosmetics</v>
      </c>
      <c r="M311" t="str">
        <f>IFERROR(VLOOKUP(J311,Feature_Mappings!$D$2:$E$5,2,FALSE()),"")</f>
        <v>Liam Carter</v>
      </c>
      <c r="N311" t="s">
        <v>274</v>
      </c>
      <c r="O311" t="str">
        <f>IFERROR(INDEX(Store_Manager!$A$2:$A$5,MATCH(M311,Store_Manager!$B$2:$B$5,0)),"")</f>
        <v>MGR002</v>
      </c>
    </row>
    <row r="312" spans="1:15" ht="15.75" customHeight="1">
      <c r="A312">
        <v>311</v>
      </c>
      <c r="B312" s="2">
        <v>45265</v>
      </c>
      <c r="C312" t="s">
        <v>334</v>
      </c>
      <c r="D312" t="s">
        <v>21</v>
      </c>
      <c r="E312">
        <v>32</v>
      </c>
      <c r="F312" s="3" t="s">
        <v>17</v>
      </c>
      <c r="G312">
        <v>4</v>
      </c>
      <c r="H312" s="4">
        <v>25</v>
      </c>
      <c r="I312" s="4">
        <v>100</v>
      </c>
      <c r="J312" t="s">
        <v>273</v>
      </c>
      <c r="K312" t="str">
        <f>IFERROR(VLOOKUP(F312&amp;"|"&amp;H312,Feature_Mappings!$A$2:$C$16,2,FALSE()),"")</f>
        <v>Lip Balm</v>
      </c>
      <c r="L312" t="str">
        <f>IFERROR(VLOOKUP(F312&amp;"|"&amp;H312,Feature_Mappings!$A$2:$C$16,3,FALSE()),"")</f>
        <v>GlowSource Cosmetics</v>
      </c>
      <c r="M312" t="str">
        <f>IFERROR(VLOOKUP(J312,Feature_Mappings!$D$2:$E$5,2,FALSE()),"")</f>
        <v>Liam Carter</v>
      </c>
      <c r="N312" t="s">
        <v>274</v>
      </c>
      <c r="O312" t="str">
        <f>IFERROR(INDEX(Store_Manager!$A$2:$A$5,MATCH(M312,Store_Manager!$B$2:$B$5,0)),"")</f>
        <v>MGR002</v>
      </c>
    </row>
    <row r="313" spans="1:15" ht="15.75" customHeight="1">
      <c r="A313">
        <v>312</v>
      </c>
      <c r="B313" s="2">
        <v>45176</v>
      </c>
      <c r="C313" t="s">
        <v>335</v>
      </c>
      <c r="D313" t="s">
        <v>16</v>
      </c>
      <c r="E313">
        <v>41</v>
      </c>
      <c r="F313" s="3" t="s">
        <v>22</v>
      </c>
      <c r="G313">
        <v>4</v>
      </c>
      <c r="H313" s="4">
        <v>30</v>
      </c>
      <c r="I313" s="4">
        <v>120</v>
      </c>
      <c r="J313" t="s">
        <v>273</v>
      </c>
      <c r="K313" t="str">
        <f>IFERROR(VLOOKUP(F313&amp;"|"&amp;H313,Feature_Mappings!$A$2:$C$16,2,FALSE()),"")</f>
        <v>Graphic T-Shirt</v>
      </c>
      <c r="L313" t="str">
        <f>IFERROR(VLOOKUP(F313&amp;"|"&amp;H313,Feature_Mappings!$A$2:$C$16,3,FALSE()),"")</f>
        <v>ThreadWorks Apparel</v>
      </c>
      <c r="M313" t="str">
        <f>IFERROR(VLOOKUP(J313,Feature_Mappings!$D$2:$E$5,2,FALSE()),"")</f>
        <v>Liam Carter</v>
      </c>
      <c r="N313" t="s">
        <v>274</v>
      </c>
      <c r="O313" t="str">
        <f>IFERROR(INDEX(Store_Manager!$A$2:$A$5,MATCH(M313,Store_Manager!$B$2:$B$5,0)),"")</f>
        <v>MGR002</v>
      </c>
    </row>
    <row r="314" spans="1:15" ht="15.75" customHeight="1">
      <c r="A314">
        <v>313</v>
      </c>
      <c r="B314" s="2">
        <v>45006</v>
      </c>
      <c r="C314" t="s">
        <v>336</v>
      </c>
      <c r="D314" t="s">
        <v>21</v>
      </c>
      <c r="E314">
        <v>55</v>
      </c>
      <c r="F314" s="3" t="s">
        <v>17</v>
      </c>
      <c r="G314">
        <v>3</v>
      </c>
      <c r="H314" s="4">
        <v>500</v>
      </c>
      <c r="I314" s="4">
        <v>1500</v>
      </c>
      <c r="J314" t="s">
        <v>273</v>
      </c>
      <c r="K314" t="str">
        <f>IFERROR(VLOOKUP(F314&amp;"|"&amp;H314,Feature_Mappings!$A$2:$C$16,2,FALSE()),"")</f>
        <v>LED Beauty Device</v>
      </c>
      <c r="L314" t="str">
        <f>IFERROR(VLOOKUP(F314&amp;"|"&amp;H314,Feature_Mappings!$A$2:$C$16,3,FALSE()),"")</f>
        <v>BeautyTech Pro</v>
      </c>
      <c r="M314" t="str">
        <f>IFERROR(VLOOKUP(J314,Feature_Mappings!$D$2:$E$5,2,FALSE()),"")</f>
        <v>Liam Carter</v>
      </c>
      <c r="N314" t="s">
        <v>274</v>
      </c>
      <c r="O314" t="str">
        <f>IFERROR(INDEX(Store_Manager!$A$2:$A$5,MATCH(M314,Store_Manager!$B$2:$B$5,0)),"")</f>
        <v>MGR002</v>
      </c>
    </row>
    <row r="315" spans="1:15" ht="15.75" customHeight="1">
      <c r="A315">
        <v>314</v>
      </c>
      <c r="B315" s="2">
        <v>45024</v>
      </c>
      <c r="C315" t="s">
        <v>337</v>
      </c>
      <c r="D315" t="s">
        <v>16</v>
      </c>
      <c r="E315">
        <v>52</v>
      </c>
      <c r="F315" s="3" t="s">
        <v>22</v>
      </c>
      <c r="G315">
        <v>4</v>
      </c>
      <c r="H315" s="4">
        <v>30</v>
      </c>
      <c r="I315" s="4">
        <v>120</v>
      </c>
      <c r="J315" t="s">
        <v>273</v>
      </c>
      <c r="K315" t="str">
        <f>IFERROR(VLOOKUP(F315&amp;"|"&amp;H315,Feature_Mappings!$A$2:$C$16,2,FALSE()),"")</f>
        <v>Graphic T-Shirt</v>
      </c>
      <c r="L315" t="str">
        <f>IFERROR(VLOOKUP(F315&amp;"|"&amp;H315,Feature_Mappings!$A$2:$C$16,3,FALSE()),"")</f>
        <v>ThreadWorks Apparel</v>
      </c>
      <c r="M315" t="str">
        <f>IFERROR(VLOOKUP(J315,Feature_Mappings!$D$2:$E$5,2,FALSE()),"")</f>
        <v>Liam Carter</v>
      </c>
      <c r="N315" t="s">
        <v>274</v>
      </c>
      <c r="O315" t="str">
        <f>IFERROR(INDEX(Store_Manager!$A$2:$A$5,MATCH(M315,Store_Manager!$B$2:$B$5,0)),"")</f>
        <v>MGR002</v>
      </c>
    </row>
    <row r="316" spans="1:15" ht="15.75" customHeight="1">
      <c r="A316">
        <v>315</v>
      </c>
      <c r="B316" s="2">
        <v>45078</v>
      </c>
      <c r="C316" t="s">
        <v>338</v>
      </c>
      <c r="D316" t="s">
        <v>16</v>
      </c>
      <c r="E316">
        <v>47</v>
      </c>
      <c r="F316" s="3" t="s">
        <v>22</v>
      </c>
      <c r="G316">
        <v>2</v>
      </c>
      <c r="H316" s="4">
        <v>30</v>
      </c>
      <c r="I316" s="4">
        <v>60</v>
      </c>
      <c r="J316" t="s">
        <v>273</v>
      </c>
      <c r="K316" t="str">
        <f>IFERROR(VLOOKUP(F316&amp;"|"&amp;H316,Feature_Mappings!$A$2:$C$16,2,FALSE()),"")</f>
        <v>Graphic T-Shirt</v>
      </c>
      <c r="L316" t="str">
        <f>IFERROR(VLOOKUP(F316&amp;"|"&amp;H316,Feature_Mappings!$A$2:$C$16,3,FALSE()),"")</f>
        <v>ThreadWorks Apparel</v>
      </c>
      <c r="M316" t="str">
        <f>IFERROR(VLOOKUP(J316,Feature_Mappings!$D$2:$E$5,2,FALSE()),"")</f>
        <v>Liam Carter</v>
      </c>
      <c r="N316" t="s">
        <v>274</v>
      </c>
      <c r="O316" t="str">
        <f>IFERROR(INDEX(Store_Manager!$A$2:$A$5,MATCH(M316,Store_Manager!$B$2:$B$5,0)),"")</f>
        <v>MGR002</v>
      </c>
    </row>
    <row r="317" spans="1:15" ht="15.75" customHeight="1">
      <c r="A317">
        <v>316</v>
      </c>
      <c r="B317" s="2">
        <v>45038</v>
      </c>
      <c r="C317" t="s">
        <v>339</v>
      </c>
      <c r="D317" t="s">
        <v>21</v>
      </c>
      <c r="E317">
        <v>48</v>
      </c>
      <c r="F317" s="3" t="s">
        <v>22</v>
      </c>
      <c r="G317">
        <v>2</v>
      </c>
      <c r="H317" s="4">
        <v>25</v>
      </c>
      <c r="I317" s="4">
        <v>50</v>
      </c>
      <c r="J317" t="s">
        <v>273</v>
      </c>
      <c r="K317" t="str">
        <f>IFERROR(VLOOKUP(F317&amp;"|"&amp;H317,Feature_Mappings!$A$2:$C$16,2,FALSE()),"")</f>
        <v>Cotton Socks</v>
      </c>
      <c r="L317" t="str">
        <f>IFERROR(VLOOKUP(F317&amp;"|"&amp;H317,Feature_Mappings!$A$2:$C$16,3,FALSE()),"")</f>
        <v>Urban Basics Co.</v>
      </c>
      <c r="M317" t="str">
        <f>IFERROR(VLOOKUP(J317,Feature_Mappings!$D$2:$E$5,2,FALSE()),"")</f>
        <v>Liam Carter</v>
      </c>
      <c r="N317" t="s">
        <v>274</v>
      </c>
      <c r="O317" t="str">
        <f>IFERROR(INDEX(Store_Manager!$A$2:$A$5,MATCH(M317,Store_Manager!$B$2:$B$5,0)),"")</f>
        <v>MGR002</v>
      </c>
    </row>
    <row r="318" spans="1:15" ht="15.75" customHeight="1">
      <c r="A318">
        <v>317</v>
      </c>
      <c r="B318" s="2">
        <v>44956</v>
      </c>
      <c r="C318" t="s">
        <v>340</v>
      </c>
      <c r="D318" t="s">
        <v>16</v>
      </c>
      <c r="E318">
        <v>22</v>
      </c>
      <c r="F318" s="3" t="s">
        <v>24</v>
      </c>
      <c r="G318">
        <v>3</v>
      </c>
      <c r="H318" s="4">
        <v>30</v>
      </c>
      <c r="I318" s="4">
        <v>90</v>
      </c>
      <c r="J318" t="s">
        <v>273</v>
      </c>
      <c r="K318" t="str">
        <f>IFERROR(VLOOKUP(F318&amp;"|"&amp;H318,Feature_Mappings!$A$2:$C$16,2,FALSE()),"")</f>
        <v>Wireless Mouse</v>
      </c>
      <c r="L318" t="str">
        <f>IFERROR(VLOOKUP(F318&amp;"|"&amp;H318,Feature_Mappings!$A$2:$C$16,3,FALSE()),"")</f>
        <v>ByteWave Distributors</v>
      </c>
      <c r="M318" t="str">
        <f>IFERROR(VLOOKUP(J318,Feature_Mappings!$D$2:$E$5,2,FALSE()),"")</f>
        <v>Liam Carter</v>
      </c>
      <c r="N318" t="s">
        <v>274</v>
      </c>
      <c r="O318" t="str">
        <f>IFERROR(INDEX(Store_Manager!$A$2:$A$5,MATCH(M318,Store_Manager!$B$2:$B$5,0)),"")</f>
        <v>MGR002</v>
      </c>
    </row>
    <row r="319" spans="1:15" ht="15.75" customHeight="1">
      <c r="A319">
        <v>318</v>
      </c>
      <c r="B319" s="2">
        <v>45223</v>
      </c>
      <c r="C319" t="s">
        <v>341</v>
      </c>
      <c r="D319" t="s">
        <v>16</v>
      </c>
      <c r="E319">
        <v>61</v>
      </c>
      <c r="F319" s="3" t="s">
        <v>22</v>
      </c>
      <c r="G319">
        <v>1</v>
      </c>
      <c r="H319" s="4">
        <v>25</v>
      </c>
      <c r="I319" s="4">
        <v>25</v>
      </c>
      <c r="J319" t="s">
        <v>273</v>
      </c>
      <c r="K319" t="str">
        <f>IFERROR(VLOOKUP(F319&amp;"|"&amp;H319,Feature_Mappings!$A$2:$C$16,2,FALSE()),"")</f>
        <v>Cotton Socks</v>
      </c>
      <c r="L319" t="str">
        <f>IFERROR(VLOOKUP(F319&amp;"|"&amp;H319,Feature_Mappings!$A$2:$C$16,3,FALSE()),"")</f>
        <v>Urban Basics Co.</v>
      </c>
      <c r="M319" t="str">
        <f>IFERROR(VLOOKUP(J319,Feature_Mappings!$D$2:$E$5,2,FALSE()),"")</f>
        <v>Liam Carter</v>
      </c>
      <c r="N319" t="s">
        <v>274</v>
      </c>
      <c r="O319" t="str">
        <f>IFERROR(INDEX(Store_Manager!$A$2:$A$5,MATCH(M319,Store_Manager!$B$2:$B$5,0)),"")</f>
        <v>MGR002</v>
      </c>
    </row>
    <row r="320" spans="1:15" ht="15.75" customHeight="1">
      <c r="A320">
        <v>319</v>
      </c>
      <c r="B320" s="2">
        <v>45204</v>
      </c>
      <c r="C320" t="s">
        <v>342</v>
      </c>
      <c r="D320" t="s">
        <v>16</v>
      </c>
      <c r="E320">
        <v>31</v>
      </c>
      <c r="F320" s="3" t="s">
        <v>22</v>
      </c>
      <c r="G320">
        <v>1</v>
      </c>
      <c r="H320" s="4">
        <v>500</v>
      </c>
      <c r="I320" s="4">
        <v>500</v>
      </c>
      <c r="J320" t="s">
        <v>273</v>
      </c>
      <c r="K320" t="str">
        <f>IFERROR(VLOOKUP(F320&amp;"|"&amp;H320,Feature_Mappings!$A$2:$C$16,2,FALSE()),"")</f>
        <v>Designer Coat</v>
      </c>
      <c r="L320" t="str">
        <f>IFERROR(VLOOKUP(F320&amp;"|"&amp;H320,Feature_Mappings!$A$2:$C$16,3,FALSE()),"")</f>
        <v>Prestige Fashion House</v>
      </c>
      <c r="M320" t="str">
        <f>IFERROR(VLOOKUP(J320,Feature_Mappings!$D$2:$E$5,2,FALSE()),"")</f>
        <v>Liam Carter</v>
      </c>
      <c r="N320" t="s">
        <v>274</v>
      </c>
      <c r="O320" t="str">
        <f>IFERROR(INDEX(Store_Manager!$A$2:$A$5,MATCH(M320,Store_Manager!$B$2:$B$5,0)),"")</f>
        <v>MGR002</v>
      </c>
    </row>
    <row r="321" spans="1:15" ht="15.75" customHeight="1">
      <c r="A321">
        <v>320</v>
      </c>
      <c r="B321" s="2">
        <v>44958</v>
      </c>
      <c r="C321" t="s">
        <v>343</v>
      </c>
      <c r="D321" t="s">
        <v>21</v>
      </c>
      <c r="E321">
        <v>28</v>
      </c>
      <c r="F321" s="3" t="s">
        <v>24</v>
      </c>
      <c r="G321">
        <v>4</v>
      </c>
      <c r="H321" s="4">
        <v>300</v>
      </c>
      <c r="I321" s="4">
        <v>1200</v>
      </c>
      <c r="J321" t="s">
        <v>273</v>
      </c>
      <c r="K321" t="str">
        <f>IFERROR(VLOOKUP(F321&amp;"|"&amp;H321,Feature_Mappings!$A$2:$C$16,2,FALSE()),"")</f>
        <v>Tablet</v>
      </c>
      <c r="L321" t="str">
        <f>IFERROR(VLOOKUP(F321&amp;"|"&amp;H321,Feature_Mappings!$A$2:$C$16,3,FALSE()),"")</f>
        <v>NextGen Devices</v>
      </c>
      <c r="M321" t="str">
        <f>IFERROR(VLOOKUP(J321,Feature_Mappings!$D$2:$E$5,2,FALSE()),"")</f>
        <v>Liam Carter</v>
      </c>
      <c r="N321" t="s">
        <v>274</v>
      </c>
      <c r="O321" t="str">
        <f>IFERROR(INDEX(Store_Manager!$A$2:$A$5,MATCH(M321,Store_Manager!$B$2:$B$5,0)),"")</f>
        <v>MGR002</v>
      </c>
    </row>
    <row r="322" spans="1:15" ht="15.75" customHeight="1">
      <c r="A322">
        <v>321</v>
      </c>
      <c r="B322" s="2">
        <v>45087</v>
      </c>
      <c r="C322" t="s">
        <v>344</v>
      </c>
      <c r="D322" t="s">
        <v>21</v>
      </c>
      <c r="E322">
        <v>26</v>
      </c>
      <c r="F322" s="3" t="s">
        <v>24</v>
      </c>
      <c r="G322">
        <v>2</v>
      </c>
      <c r="H322" s="4">
        <v>25</v>
      </c>
      <c r="I322" s="4">
        <v>50</v>
      </c>
      <c r="J322" t="s">
        <v>273</v>
      </c>
      <c r="K322" t="str">
        <f>IFERROR(VLOOKUP(F322&amp;"|"&amp;H322,Feature_Mappings!$A$2:$C$16,2,FALSE()),"")</f>
        <v>USB-C Charger</v>
      </c>
      <c r="L322" t="str">
        <f>IFERROR(VLOOKUP(F322&amp;"|"&amp;H322,Feature_Mappings!$A$2:$C$16,3,FALSE()),"")</f>
        <v>VoltEdge Electronics</v>
      </c>
      <c r="M322" t="str">
        <f>IFERROR(VLOOKUP(J322,Feature_Mappings!$D$2:$E$5,2,FALSE()),"")</f>
        <v>Liam Carter</v>
      </c>
      <c r="N322" t="s">
        <v>274</v>
      </c>
      <c r="O322" t="str">
        <f>IFERROR(INDEX(Store_Manager!$A$2:$A$5,MATCH(M322,Store_Manager!$B$2:$B$5,0)),"")</f>
        <v>MGR002</v>
      </c>
    </row>
    <row r="323" spans="1:15" ht="15.75" customHeight="1">
      <c r="A323">
        <v>322</v>
      </c>
      <c r="B323" s="2">
        <v>44956</v>
      </c>
      <c r="C323" t="s">
        <v>345</v>
      </c>
      <c r="D323" t="s">
        <v>16</v>
      </c>
      <c r="E323">
        <v>51</v>
      </c>
      <c r="F323" s="3" t="s">
        <v>24</v>
      </c>
      <c r="G323">
        <v>1</v>
      </c>
      <c r="H323" s="4">
        <v>500</v>
      </c>
      <c r="I323" s="4">
        <v>500</v>
      </c>
      <c r="J323" t="s">
        <v>273</v>
      </c>
      <c r="K323" t="str">
        <f>IFERROR(VLOOKUP(F323&amp;"|"&amp;H323,Feature_Mappings!$A$2:$C$16,2,FALSE()),"")</f>
        <v>Smartphone</v>
      </c>
      <c r="L323" t="str">
        <f>IFERROR(VLOOKUP(F323&amp;"|"&amp;H323,Feature_Mappings!$A$2:$C$16,3,FALSE()),"")</f>
        <v>NovaTech Wholesale</v>
      </c>
      <c r="M323" t="str">
        <f>IFERROR(VLOOKUP(J323,Feature_Mappings!$D$2:$E$5,2,FALSE()),"")</f>
        <v>Liam Carter</v>
      </c>
      <c r="N323" t="s">
        <v>274</v>
      </c>
      <c r="O323" t="str">
        <f>IFERROR(INDEX(Store_Manager!$A$2:$A$5,MATCH(M323,Store_Manager!$B$2:$B$5,0)),"")</f>
        <v>MGR002</v>
      </c>
    </row>
    <row r="324" spans="1:15" ht="15.75" customHeight="1">
      <c r="A324">
        <v>323</v>
      </c>
      <c r="B324" s="2">
        <v>44952</v>
      </c>
      <c r="C324" t="s">
        <v>346</v>
      </c>
      <c r="D324" t="s">
        <v>21</v>
      </c>
      <c r="E324">
        <v>29</v>
      </c>
      <c r="F324" s="3" t="s">
        <v>17</v>
      </c>
      <c r="G324">
        <v>3</v>
      </c>
      <c r="H324" s="4">
        <v>300</v>
      </c>
      <c r="I324" s="4">
        <v>900</v>
      </c>
      <c r="J324" t="s">
        <v>273</v>
      </c>
      <c r="K324" t="str">
        <f>IFERROR(VLOOKUP(F324&amp;"|"&amp;H324,Feature_Mappings!$A$2:$C$16,2,FALSE()),"")</f>
        <v>Skincare Gift Set</v>
      </c>
      <c r="L324" t="str">
        <f>IFERROR(VLOOKUP(F324&amp;"|"&amp;H324,Feature_Mappings!$A$2:$C$16,3,FALSE()),"")</f>
        <v>Radiant Beauty Wholesale</v>
      </c>
      <c r="M324" t="str">
        <f>IFERROR(VLOOKUP(J324,Feature_Mappings!$D$2:$E$5,2,FALSE()),"")</f>
        <v>Liam Carter</v>
      </c>
      <c r="N324" t="s">
        <v>274</v>
      </c>
      <c r="O324" t="str">
        <f>IFERROR(INDEX(Store_Manager!$A$2:$A$5,MATCH(M324,Store_Manager!$B$2:$B$5,0)),"")</f>
        <v>MGR002</v>
      </c>
    </row>
    <row r="325" spans="1:15" ht="15.75" customHeight="1">
      <c r="A325">
        <v>324</v>
      </c>
      <c r="B325" s="2">
        <v>45226</v>
      </c>
      <c r="C325" t="s">
        <v>347</v>
      </c>
      <c r="D325" t="s">
        <v>21</v>
      </c>
      <c r="E325">
        <v>52</v>
      </c>
      <c r="F325" s="3" t="s">
        <v>24</v>
      </c>
      <c r="G325">
        <v>3</v>
      </c>
      <c r="H325" s="4">
        <v>50</v>
      </c>
      <c r="I325" s="4">
        <v>150</v>
      </c>
      <c r="J325" t="s">
        <v>273</v>
      </c>
      <c r="K325" t="str">
        <f>IFERROR(VLOOKUP(F325&amp;"|"&amp;H325,Feature_Mappings!$A$2:$C$16,2,FALSE()),"")</f>
        <v>Bluetooth Speaker</v>
      </c>
      <c r="L325" t="str">
        <f>IFERROR(VLOOKUP(F325&amp;"|"&amp;H325,Feature_Mappings!$A$2:$C$16,3,FALSE()),"")</f>
        <v>SoundSphere Supply</v>
      </c>
      <c r="M325" t="str">
        <f>IFERROR(VLOOKUP(J325,Feature_Mappings!$D$2:$E$5,2,FALSE()),"")</f>
        <v>Liam Carter</v>
      </c>
      <c r="N325" t="s">
        <v>274</v>
      </c>
      <c r="O325" t="str">
        <f>IFERROR(INDEX(Store_Manager!$A$2:$A$5,MATCH(M325,Store_Manager!$B$2:$B$5,0)),"")</f>
        <v>MGR002</v>
      </c>
    </row>
    <row r="326" spans="1:15" ht="15.75" customHeight="1">
      <c r="A326">
        <v>325</v>
      </c>
      <c r="B326" s="2">
        <v>45171</v>
      </c>
      <c r="C326" t="s">
        <v>348</v>
      </c>
      <c r="D326" t="s">
        <v>21</v>
      </c>
      <c r="E326">
        <v>52</v>
      </c>
      <c r="F326" s="3" t="s">
        <v>24</v>
      </c>
      <c r="G326">
        <v>2</v>
      </c>
      <c r="H326" s="4">
        <v>25</v>
      </c>
      <c r="I326" s="4">
        <v>50</v>
      </c>
      <c r="J326" t="s">
        <v>273</v>
      </c>
      <c r="K326" t="str">
        <f>IFERROR(VLOOKUP(F326&amp;"|"&amp;H326,Feature_Mappings!$A$2:$C$16,2,FALSE()),"")</f>
        <v>USB-C Charger</v>
      </c>
      <c r="L326" t="str">
        <f>IFERROR(VLOOKUP(F326&amp;"|"&amp;H326,Feature_Mappings!$A$2:$C$16,3,FALSE()),"")</f>
        <v>VoltEdge Electronics</v>
      </c>
      <c r="M326" t="str">
        <f>IFERROR(VLOOKUP(J326,Feature_Mappings!$D$2:$E$5,2,FALSE()),"")</f>
        <v>Liam Carter</v>
      </c>
      <c r="N326" t="s">
        <v>274</v>
      </c>
      <c r="O326" t="str">
        <f>IFERROR(INDEX(Store_Manager!$A$2:$A$5,MATCH(M326,Store_Manager!$B$2:$B$5,0)),"")</f>
        <v>MGR002</v>
      </c>
    </row>
    <row r="327" spans="1:15" ht="15.75" customHeight="1">
      <c r="A327">
        <v>326</v>
      </c>
      <c r="B327" s="2">
        <v>45184</v>
      </c>
      <c r="C327" t="s">
        <v>349</v>
      </c>
      <c r="D327" t="s">
        <v>21</v>
      </c>
      <c r="E327">
        <v>18</v>
      </c>
      <c r="F327" s="3" t="s">
        <v>22</v>
      </c>
      <c r="G327">
        <v>3</v>
      </c>
      <c r="H327" s="4">
        <v>25</v>
      </c>
      <c r="I327" s="4">
        <v>75</v>
      </c>
      <c r="J327" t="s">
        <v>273</v>
      </c>
      <c r="K327" t="str">
        <f>IFERROR(VLOOKUP(F327&amp;"|"&amp;H327,Feature_Mappings!$A$2:$C$16,2,FALSE()),"")</f>
        <v>Cotton Socks</v>
      </c>
      <c r="L327" t="str">
        <f>IFERROR(VLOOKUP(F327&amp;"|"&amp;H327,Feature_Mappings!$A$2:$C$16,3,FALSE()),"")</f>
        <v>Urban Basics Co.</v>
      </c>
      <c r="M327" t="str">
        <f>IFERROR(VLOOKUP(J327,Feature_Mappings!$D$2:$E$5,2,FALSE()),"")</f>
        <v>Liam Carter</v>
      </c>
      <c r="N327" t="s">
        <v>274</v>
      </c>
      <c r="O327" t="str">
        <f>IFERROR(INDEX(Store_Manager!$A$2:$A$5,MATCH(M327,Store_Manager!$B$2:$B$5,0)),"")</f>
        <v>MGR002</v>
      </c>
    </row>
    <row r="328" spans="1:15" ht="15.75" customHeight="1">
      <c r="A328">
        <v>327</v>
      </c>
      <c r="B328" s="2">
        <v>45198</v>
      </c>
      <c r="C328" t="s">
        <v>350</v>
      </c>
      <c r="D328" t="s">
        <v>16</v>
      </c>
      <c r="E328">
        <v>57</v>
      </c>
      <c r="F328" s="3" t="s">
        <v>24</v>
      </c>
      <c r="G328">
        <v>3</v>
      </c>
      <c r="H328" s="4">
        <v>50</v>
      </c>
      <c r="I328" s="4">
        <v>150</v>
      </c>
      <c r="J328" t="s">
        <v>273</v>
      </c>
      <c r="K328" t="str">
        <f>IFERROR(VLOOKUP(F328&amp;"|"&amp;H328,Feature_Mappings!$A$2:$C$16,2,FALSE()),"")</f>
        <v>Bluetooth Speaker</v>
      </c>
      <c r="L328" t="str">
        <f>IFERROR(VLOOKUP(F328&amp;"|"&amp;H328,Feature_Mappings!$A$2:$C$16,3,FALSE()),"")</f>
        <v>SoundSphere Supply</v>
      </c>
      <c r="M328" t="str">
        <f>IFERROR(VLOOKUP(J328,Feature_Mappings!$D$2:$E$5,2,FALSE()),"")</f>
        <v>Liam Carter</v>
      </c>
      <c r="N328" t="s">
        <v>274</v>
      </c>
      <c r="O328" t="str">
        <f>IFERROR(INDEX(Store_Manager!$A$2:$A$5,MATCH(M328,Store_Manager!$B$2:$B$5,0)),"")</f>
        <v>MGR002</v>
      </c>
    </row>
    <row r="329" spans="1:15" ht="15.75" customHeight="1">
      <c r="A329">
        <v>328</v>
      </c>
      <c r="B329" s="2">
        <v>45007</v>
      </c>
      <c r="C329" t="s">
        <v>351</v>
      </c>
      <c r="D329" t="s">
        <v>16</v>
      </c>
      <c r="E329">
        <v>39</v>
      </c>
      <c r="F329" s="3" t="s">
        <v>17</v>
      </c>
      <c r="G329">
        <v>2</v>
      </c>
      <c r="H329" s="4">
        <v>50</v>
      </c>
      <c r="I329" s="4">
        <v>100</v>
      </c>
      <c r="J329" t="s">
        <v>273</v>
      </c>
      <c r="K329" t="str">
        <f>IFERROR(VLOOKUP(F329&amp;"|"&amp;H329,Feature_Mappings!$A$2:$C$16,2,FALSE()),"")</f>
        <v>Eau de Parfum</v>
      </c>
      <c r="L329" t="str">
        <f>IFERROR(VLOOKUP(F329&amp;"|"&amp;H329,Feature_Mappings!$A$2:$C$16,3,FALSE()),"")</f>
        <v>Luxe Aroma Labs</v>
      </c>
      <c r="M329" t="str">
        <f>IFERROR(VLOOKUP(J329,Feature_Mappings!$D$2:$E$5,2,FALSE()),"")</f>
        <v>Liam Carter</v>
      </c>
      <c r="N329" t="s">
        <v>274</v>
      </c>
      <c r="O329" t="str">
        <f>IFERROR(INDEX(Store_Manager!$A$2:$A$5,MATCH(M329,Store_Manager!$B$2:$B$5,0)),"")</f>
        <v>MGR002</v>
      </c>
    </row>
    <row r="330" spans="1:15" ht="15.75" customHeight="1">
      <c r="A330">
        <v>329</v>
      </c>
      <c r="B330" s="2">
        <v>44956</v>
      </c>
      <c r="C330" t="s">
        <v>352</v>
      </c>
      <c r="D330" t="s">
        <v>21</v>
      </c>
      <c r="E330">
        <v>46</v>
      </c>
      <c r="F330" s="3" t="s">
        <v>24</v>
      </c>
      <c r="G330">
        <v>4</v>
      </c>
      <c r="H330" s="4">
        <v>25</v>
      </c>
      <c r="I330" s="4">
        <v>100</v>
      </c>
      <c r="J330" t="s">
        <v>273</v>
      </c>
      <c r="K330" t="str">
        <f>IFERROR(VLOOKUP(F330&amp;"|"&amp;H330,Feature_Mappings!$A$2:$C$16,2,FALSE()),"")</f>
        <v>USB-C Charger</v>
      </c>
      <c r="L330" t="str">
        <f>IFERROR(VLOOKUP(F330&amp;"|"&amp;H330,Feature_Mappings!$A$2:$C$16,3,FALSE()),"")</f>
        <v>VoltEdge Electronics</v>
      </c>
      <c r="M330" t="str">
        <f>IFERROR(VLOOKUP(J330,Feature_Mappings!$D$2:$E$5,2,FALSE()),"")</f>
        <v>Liam Carter</v>
      </c>
      <c r="N330" t="s">
        <v>274</v>
      </c>
      <c r="O330" t="str">
        <f>IFERROR(INDEX(Store_Manager!$A$2:$A$5,MATCH(M330,Store_Manager!$B$2:$B$5,0)),"")</f>
        <v>MGR002</v>
      </c>
    </row>
    <row r="331" spans="1:15" ht="15.75" customHeight="1">
      <c r="A331">
        <v>330</v>
      </c>
      <c r="B331" s="2">
        <v>45187</v>
      </c>
      <c r="C331" t="s">
        <v>353</v>
      </c>
      <c r="D331" t="s">
        <v>21</v>
      </c>
      <c r="E331">
        <v>25</v>
      </c>
      <c r="F331" s="3" t="s">
        <v>17</v>
      </c>
      <c r="G331">
        <v>4</v>
      </c>
      <c r="H331" s="4">
        <v>50</v>
      </c>
      <c r="I331" s="4">
        <v>200</v>
      </c>
      <c r="J331" t="s">
        <v>273</v>
      </c>
      <c r="K331" t="str">
        <f>IFERROR(VLOOKUP(F331&amp;"|"&amp;H331,Feature_Mappings!$A$2:$C$16,2,FALSE()),"")</f>
        <v>Eau de Parfum</v>
      </c>
      <c r="L331" t="str">
        <f>IFERROR(VLOOKUP(F331&amp;"|"&amp;H331,Feature_Mappings!$A$2:$C$16,3,FALSE()),"")</f>
        <v>Luxe Aroma Labs</v>
      </c>
      <c r="M331" t="str">
        <f>IFERROR(VLOOKUP(J331,Feature_Mappings!$D$2:$E$5,2,FALSE()),"")</f>
        <v>Liam Carter</v>
      </c>
      <c r="N331" t="s">
        <v>274</v>
      </c>
      <c r="O331" t="str">
        <f>IFERROR(INDEX(Store_Manager!$A$2:$A$5,MATCH(M331,Store_Manager!$B$2:$B$5,0)),"")</f>
        <v>MGR002</v>
      </c>
    </row>
    <row r="332" spans="1:15" ht="15.75" customHeight="1">
      <c r="A332">
        <v>331</v>
      </c>
      <c r="B332" s="2">
        <v>44968</v>
      </c>
      <c r="C332" t="s">
        <v>354</v>
      </c>
      <c r="D332" t="s">
        <v>16</v>
      </c>
      <c r="E332">
        <v>28</v>
      </c>
      <c r="F332" s="3" t="s">
        <v>24</v>
      </c>
      <c r="G332">
        <v>3</v>
      </c>
      <c r="H332" s="4">
        <v>30</v>
      </c>
      <c r="I332" s="4">
        <v>90</v>
      </c>
      <c r="J332" t="s">
        <v>273</v>
      </c>
      <c r="K332" t="str">
        <f>IFERROR(VLOOKUP(F332&amp;"|"&amp;H332,Feature_Mappings!$A$2:$C$16,2,FALSE()),"")</f>
        <v>Wireless Mouse</v>
      </c>
      <c r="L332" t="str">
        <f>IFERROR(VLOOKUP(F332&amp;"|"&amp;H332,Feature_Mappings!$A$2:$C$16,3,FALSE()),"")</f>
        <v>ByteWave Distributors</v>
      </c>
      <c r="M332" t="str">
        <f>IFERROR(VLOOKUP(J332,Feature_Mappings!$D$2:$E$5,2,FALSE()),"")</f>
        <v>Liam Carter</v>
      </c>
      <c r="N332" t="s">
        <v>274</v>
      </c>
      <c r="O332" t="str">
        <f>IFERROR(INDEX(Store_Manager!$A$2:$A$5,MATCH(M332,Store_Manager!$B$2:$B$5,0)),"")</f>
        <v>MGR002</v>
      </c>
    </row>
    <row r="333" spans="1:15" ht="15.75" customHeight="1">
      <c r="A333">
        <v>332</v>
      </c>
      <c r="B333" s="2">
        <v>45022</v>
      </c>
      <c r="C333" t="s">
        <v>355</v>
      </c>
      <c r="D333" t="s">
        <v>16</v>
      </c>
      <c r="E333">
        <v>58</v>
      </c>
      <c r="F333" s="3" t="s">
        <v>24</v>
      </c>
      <c r="G333">
        <v>4</v>
      </c>
      <c r="H333" s="4">
        <v>300</v>
      </c>
      <c r="I333" s="4">
        <v>1200</v>
      </c>
      <c r="J333" t="s">
        <v>273</v>
      </c>
      <c r="K333" t="str">
        <f>IFERROR(VLOOKUP(F333&amp;"|"&amp;H333,Feature_Mappings!$A$2:$C$16,2,FALSE()),"")</f>
        <v>Tablet</v>
      </c>
      <c r="L333" t="str">
        <f>IFERROR(VLOOKUP(F333&amp;"|"&amp;H333,Feature_Mappings!$A$2:$C$16,3,FALSE()),"")</f>
        <v>NextGen Devices</v>
      </c>
      <c r="M333" t="str">
        <f>IFERROR(VLOOKUP(J333,Feature_Mappings!$D$2:$E$5,2,FALSE()),"")</f>
        <v>Liam Carter</v>
      </c>
      <c r="N333" t="s">
        <v>274</v>
      </c>
      <c r="O333" t="str">
        <f>IFERROR(INDEX(Store_Manager!$A$2:$A$5,MATCH(M333,Store_Manager!$B$2:$B$5,0)),"")</f>
        <v>MGR002</v>
      </c>
    </row>
    <row r="334" spans="1:15" ht="15.75" customHeight="1">
      <c r="A334">
        <v>333</v>
      </c>
      <c r="B334" s="2">
        <v>44962</v>
      </c>
      <c r="C334" t="s">
        <v>356</v>
      </c>
      <c r="D334" t="s">
        <v>21</v>
      </c>
      <c r="E334">
        <v>54</v>
      </c>
      <c r="F334" s="3" t="s">
        <v>24</v>
      </c>
      <c r="G334">
        <v>4</v>
      </c>
      <c r="H334" s="4">
        <v>300</v>
      </c>
      <c r="I334" s="4">
        <v>1200</v>
      </c>
      <c r="J334" t="s">
        <v>273</v>
      </c>
      <c r="K334" t="str">
        <f>IFERROR(VLOOKUP(F334&amp;"|"&amp;H334,Feature_Mappings!$A$2:$C$16,2,FALSE()),"")</f>
        <v>Tablet</v>
      </c>
      <c r="L334" t="str">
        <f>IFERROR(VLOOKUP(F334&amp;"|"&amp;H334,Feature_Mappings!$A$2:$C$16,3,FALSE()),"")</f>
        <v>NextGen Devices</v>
      </c>
      <c r="M334" t="str">
        <f>IFERROR(VLOOKUP(J334,Feature_Mappings!$D$2:$E$5,2,FALSE()),"")</f>
        <v>Liam Carter</v>
      </c>
      <c r="N334" t="s">
        <v>274</v>
      </c>
      <c r="O334" t="str">
        <f>IFERROR(INDEX(Store_Manager!$A$2:$A$5,MATCH(M334,Store_Manager!$B$2:$B$5,0)),"")</f>
        <v>MGR002</v>
      </c>
    </row>
    <row r="335" spans="1:15" ht="15.75" customHeight="1">
      <c r="A335">
        <v>334</v>
      </c>
      <c r="B335" s="2">
        <v>45231</v>
      </c>
      <c r="C335" t="s">
        <v>357</v>
      </c>
      <c r="D335" t="s">
        <v>16</v>
      </c>
      <c r="E335">
        <v>31</v>
      </c>
      <c r="F335" s="3" t="s">
        <v>24</v>
      </c>
      <c r="G335">
        <v>3</v>
      </c>
      <c r="H335" s="4">
        <v>300</v>
      </c>
      <c r="I335" s="4">
        <v>900</v>
      </c>
      <c r="J335" t="s">
        <v>273</v>
      </c>
      <c r="K335" t="str">
        <f>IFERROR(VLOOKUP(F335&amp;"|"&amp;H335,Feature_Mappings!$A$2:$C$16,2,FALSE()),"")</f>
        <v>Tablet</v>
      </c>
      <c r="L335" t="str">
        <f>IFERROR(VLOOKUP(F335&amp;"|"&amp;H335,Feature_Mappings!$A$2:$C$16,3,FALSE()),"")</f>
        <v>NextGen Devices</v>
      </c>
      <c r="M335" t="str">
        <f>IFERROR(VLOOKUP(J335,Feature_Mappings!$D$2:$E$5,2,FALSE()),"")</f>
        <v>Liam Carter</v>
      </c>
      <c r="N335" t="s">
        <v>274</v>
      </c>
      <c r="O335" t="str">
        <f>IFERROR(INDEX(Store_Manager!$A$2:$A$5,MATCH(M335,Store_Manager!$B$2:$B$5,0)),"")</f>
        <v>MGR002</v>
      </c>
    </row>
    <row r="336" spans="1:15" ht="15.75" customHeight="1">
      <c r="A336">
        <v>335</v>
      </c>
      <c r="B336" s="2">
        <v>44961</v>
      </c>
      <c r="C336" t="s">
        <v>358</v>
      </c>
      <c r="D336" t="s">
        <v>21</v>
      </c>
      <c r="E336">
        <v>47</v>
      </c>
      <c r="F336" s="3" t="s">
        <v>17</v>
      </c>
      <c r="G336">
        <v>4</v>
      </c>
      <c r="H336" s="4">
        <v>30</v>
      </c>
      <c r="I336" s="4">
        <v>120</v>
      </c>
      <c r="J336" t="s">
        <v>273</v>
      </c>
      <c r="K336" t="str">
        <f>IFERROR(VLOOKUP(F336&amp;"|"&amp;H336,Feature_Mappings!$A$2:$C$16,2,FALSE()),"")</f>
        <v>Facial Cleanser</v>
      </c>
      <c r="L336" t="str">
        <f>IFERROR(VLOOKUP(F336&amp;"|"&amp;H336,Feature_Mappings!$A$2:$C$16,3,FALSE()),"")</f>
        <v>PureDerma Supplies</v>
      </c>
      <c r="M336" t="str">
        <f>IFERROR(VLOOKUP(J336,Feature_Mappings!$D$2:$E$5,2,FALSE()),"")</f>
        <v>Liam Carter</v>
      </c>
      <c r="N336" t="s">
        <v>274</v>
      </c>
      <c r="O336" t="str">
        <f>IFERROR(INDEX(Store_Manager!$A$2:$A$5,MATCH(M336,Store_Manager!$B$2:$B$5,0)),"")</f>
        <v>MGR002</v>
      </c>
    </row>
    <row r="337" spans="1:15" ht="15.75" customHeight="1">
      <c r="A337">
        <v>336</v>
      </c>
      <c r="B337" s="2">
        <v>45272</v>
      </c>
      <c r="C337" t="s">
        <v>359</v>
      </c>
      <c r="D337" t="s">
        <v>21</v>
      </c>
      <c r="E337">
        <v>52</v>
      </c>
      <c r="F337" s="3" t="s">
        <v>17</v>
      </c>
      <c r="G337">
        <v>3</v>
      </c>
      <c r="H337" s="4">
        <v>50</v>
      </c>
      <c r="I337" s="4">
        <v>150</v>
      </c>
      <c r="J337" t="s">
        <v>273</v>
      </c>
      <c r="K337" t="str">
        <f>IFERROR(VLOOKUP(F337&amp;"|"&amp;H337,Feature_Mappings!$A$2:$C$16,2,FALSE()),"")</f>
        <v>Eau de Parfum</v>
      </c>
      <c r="L337" t="str">
        <f>IFERROR(VLOOKUP(F337&amp;"|"&amp;H337,Feature_Mappings!$A$2:$C$16,3,FALSE()),"")</f>
        <v>Luxe Aroma Labs</v>
      </c>
      <c r="M337" t="str">
        <f>IFERROR(VLOOKUP(J337,Feature_Mappings!$D$2:$E$5,2,FALSE()),"")</f>
        <v>Liam Carter</v>
      </c>
      <c r="N337" t="s">
        <v>274</v>
      </c>
      <c r="O337" t="str">
        <f>IFERROR(INDEX(Store_Manager!$A$2:$A$5,MATCH(M337,Store_Manager!$B$2:$B$5,0)),"")</f>
        <v>MGR002</v>
      </c>
    </row>
    <row r="338" spans="1:15" ht="15.75" customHeight="1">
      <c r="A338">
        <v>337</v>
      </c>
      <c r="B338" s="2">
        <v>45047</v>
      </c>
      <c r="C338" t="s">
        <v>360</v>
      </c>
      <c r="D338" t="s">
        <v>16</v>
      </c>
      <c r="E338">
        <v>38</v>
      </c>
      <c r="F338" s="3" t="s">
        <v>22</v>
      </c>
      <c r="G338">
        <v>1</v>
      </c>
      <c r="H338" s="4">
        <v>500</v>
      </c>
      <c r="I338" s="4">
        <v>500</v>
      </c>
      <c r="J338" t="s">
        <v>273</v>
      </c>
      <c r="K338" t="str">
        <f>IFERROR(VLOOKUP(F338&amp;"|"&amp;H338,Feature_Mappings!$A$2:$C$16,2,FALSE()),"")</f>
        <v>Designer Coat</v>
      </c>
      <c r="L338" t="str">
        <f>IFERROR(VLOOKUP(F338&amp;"|"&amp;H338,Feature_Mappings!$A$2:$C$16,3,FALSE()),"")</f>
        <v>Prestige Fashion House</v>
      </c>
      <c r="M338" t="str">
        <f>IFERROR(VLOOKUP(J338,Feature_Mappings!$D$2:$E$5,2,FALSE()),"")</f>
        <v>Liam Carter</v>
      </c>
      <c r="N338" t="s">
        <v>274</v>
      </c>
      <c r="O338" t="str">
        <f>IFERROR(INDEX(Store_Manager!$A$2:$A$5,MATCH(M338,Store_Manager!$B$2:$B$5,0)),"")</f>
        <v>MGR002</v>
      </c>
    </row>
    <row r="339" spans="1:15" ht="15.75" customHeight="1">
      <c r="A339">
        <v>338</v>
      </c>
      <c r="B339" s="2">
        <v>45133</v>
      </c>
      <c r="C339" t="s">
        <v>361</v>
      </c>
      <c r="D339" t="s">
        <v>16</v>
      </c>
      <c r="E339">
        <v>54</v>
      </c>
      <c r="F339" s="3" t="s">
        <v>17</v>
      </c>
      <c r="G339">
        <v>2</v>
      </c>
      <c r="H339" s="4">
        <v>50</v>
      </c>
      <c r="I339" s="4">
        <v>100</v>
      </c>
      <c r="J339" t="s">
        <v>273</v>
      </c>
      <c r="K339" t="str">
        <f>IFERROR(VLOOKUP(F339&amp;"|"&amp;H339,Feature_Mappings!$A$2:$C$16,2,FALSE()),"")</f>
        <v>Eau de Parfum</v>
      </c>
      <c r="L339" t="str">
        <f>IFERROR(VLOOKUP(F339&amp;"|"&amp;H339,Feature_Mappings!$A$2:$C$16,3,FALSE()),"")</f>
        <v>Luxe Aroma Labs</v>
      </c>
      <c r="M339" t="str">
        <f>IFERROR(VLOOKUP(J339,Feature_Mappings!$D$2:$E$5,2,FALSE()),"")</f>
        <v>Liam Carter</v>
      </c>
      <c r="N339" t="s">
        <v>274</v>
      </c>
      <c r="O339" t="str">
        <f>IFERROR(INDEX(Store_Manager!$A$2:$A$5,MATCH(M339,Store_Manager!$B$2:$B$5,0)),"")</f>
        <v>MGR002</v>
      </c>
    </row>
    <row r="340" spans="1:15" ht="15.75" customHeight="1">
      <c r="A340">
        <v>339</v>
      </c>
      <c r="B340" s="2">
        <v>44988</v>
      </c>
      <c r="C340" t="s">
        <v>362</v>
      </c>
      <c r="D340" t="s">
        <v>21</v>
      </c>
      <c r="E340">
        <v>22</v>
      </c>
      <c r="F340" s="3" t="s">
        <v>24</v>
      </c>
      <c r="G340">
        <v>2</v>
      </c>
      <c r="H340" s="4">
        <v>25</v>
      </c>
      <c r="I340" s="4">
        <v>50</v>
      </c>
      <c r="J340" t="s">
        <v>273</v>
      </c>
      <c r="K340" t="str">
        <f>IFERROR(VLOOKUP(F340&amp;"|"&amp;H340,Feature_Mappings!$A$2:$C$16,2,FALSE()),"")</f>
        <v>USB-C Charger</v>
      </c>
      <c r="L340" t="str">
        <f>IFERROR(VLOOKUP(F340&amp;"|"&amp;H340,Feature_Mappings!$A$2:$C$16,3,FALSE()),"")</f>
        <v>VoltEdge Electronics</v>
      </c>
      <c r="M340" t="str">
        <f>IFERROR(VLOOKUP(J340,Feature_Mappings!$D$2:$E$5,2,FALSE()),"")</f>
        <v>Liam Carter</v>
      </c>
      <c r="N340" t="s">
        <v>274</v>
      </c>
      <c r="O340" t="str">
        <f>IFERROR(INDEX(Store_Manager!$A$2:$A$5,MATCH(M340,Store_Manager!$B$2:$B$5,0)),"")</f>
        <v>MGR002</v>
      </c>
    </row>
    <row r="341" spans="1:15" ht="15.75" customHeight="1">
      <c r="A341">
        <v>340</v>
      </c>
      <c r="B341" s="2">
        <v>45218</v>
      </c>
      <c r="C341" t="s">
        <v>363</v>
      </c>
      <c r="D341" t="s">
        <v>21</v>
      </c>
      <c r="E341">
        <v>36</v>
      </c>
      <c r="F341" s="3" t="s">
        <v>22</v>
      </c>
      <c r="G341">
        <v>4</v>
      </c>
      <c r="H341" s="4">
        <v>300</v>
      </c>
      <c r="I341" s="4">
        <v>1200</v>
      </c>
      <c r="J341" t="s">
        <v>273</v>
      </c>
      <c r="K341" t="str">
        <f>IFERROR(VLOOKUP(F341&amp;"|"&amp;H341,Feature_Mappings!$A$2:$C$16,2,FALSE()),"")</f>
        <v>Leather Jacket</v>
      </c>
      <c r="L341" t="str">
        <f>IFERROR(VLOOKUP(F341&amp;"|"&amp;H341,Feature_Mappings!$A$2:$C$16,3,FALSE()),"")</f>
        <v>Metro Style Manufacturing</v>
      </c>
      <c r="M341" t="str">
        <f>IFERROR(VLOOKUP(J341,Feature_Mappings!$D$2:$E$5,2,FALSE()),"")</f>
        <v>Liam Carter</v>
      </c>
      <c r="N341" t="s">
        <v>274</v>
      </c>
      <c r="O341" t="str">
        <f>IFERROR(INDEX(Store_Manager!$A$2:$A$5,MATCH(M341,Store_Manager!$B$2:$B$5,0)),"")</f>
        <v>MGR002</v>
      </c>
    </row>
    <row r="342" spans="1:15" ht="15.75" customHeight="1">
      <c r="A342">
        <v>341</v>
      </c>
      <c r="B342" s="2">
        <v>45053</v>
      </c>
      <c r="C342" t="s">
        <v>364</v>
      </c>
      <c r="D342" t="s">
        <v>16</v>
      </c>
      <c r="E342">
        <v>31</v>
      </c>
      <c r="F342" s="3" t="s">
        <v>22</v>
      </c>
      <c r="G342">
        <v>4</v>
      </c>
      <c r="H342" s="4">
        <v>50</v>
      </c>
      <c r="I342" s="4">
        <v>200</v>
      </c>
      <c r="J342" t="s">
        <v>273</v>
      </c>
      <c r="K342" t="str">
        <f>IFERROR(VLOOKUP(F342&amp;"|"&amp;H342,Feature_Mappings!$A$2:$C$16,2,FALSE()),"")</f>
        <v>Denim Jeans</v>
      </c>
      <c r="L342" t="str">
        <f>IFERROR(VLOOKUP(F342&amp;"|"&amp;H342,Feature_Mappings!$A$2:$C$16,3,FALSE()),"")</f>
        <v>BlueFit Garments</v>
      </c>
      <c r="M342" t="str">
        <f>IFERROR(VLOOKUP(J342,Feature_Mappings!$D$2:$E$5,2,FALSE()),"")</f>
        <v>Liam Carter</v>
      </c>
      <c r="N342" t="s">
        <v>274</v>
      </c>
      <c r="O342" t="str">
        <f>IFERROR(INDEX(Store_Manager!$A$2:$A$5,MATCH(M342,Store_Manager!$B$2:$B$5,0)),"")</f>
        <v>MGR002</v>
      </c>
    </row>
    <row r="343" spans="1:15" ht="15.75" customHeight="1">
      <c r="A343">
        <v>342</v>
      </c>
      <c r="B343" s="2">
        <v>45223</v>
      </c>
      <c r="C343" t="s">
        <v>365</v>
      </c>
      <c r="D343" t="s">
        <v>21</v>
      </c>
      <c r="E343">
        <v>43</v>
      </c>
      <c r="F343" s="3" t="s">
        <v>22</v>
      </c>
      <c r="G343">
        <v>4</v>
      </c>
      <c r="H343" s="4">
        <v>500</v>
      </c>
      <c r="I343" s="4">
        <v>2000</v>
      </c>
      <c r="J343" t="s">
        <v>273</v>
      </c>
      <c r="K343" t="str">
        <f>IFERROR(VLOOKUP(F343&amp;"|"&amp;H343,Feature_Mappings!$A$2:$C$16,2,FALSE()),"")</f>
        <v>Designer Coat</v>
      </c>
      <c r="L343" t="str">
        <f>IFERROR(VLOOKUP(F343&amp;"|"&amp;H343,Feature_Mappings!$A$2:$C$16,3,FALSE()),"")</f>
        <v>Prestige Fashion House</v>
      </c>
      <c r="M343" t="str">
        <f>IFERROR(VLOOKUP(J343,Feature_Mappings!$D$2:$E$5,2,FALSE()),"")</f>
        <v>Liam Carter</v>
      </c>
      <c r="N343" t="s">
        <v>274</v>
      </c>
      <c r="O343" t="str">
        <f>IFERROR(INDEX(Store_Manager!$A$2:$A$5,MATCH(M343,Store_Manager!$B$2:$B$5,0)),"")</f>
        <v>MGR002</v>
      </c>
    </row>
    <row r="344" spans="1:15" ht="15.75" customHeight="1">
      <c r="A344">
        <v>343</v>
      </c>
      <c r="B344" s="2">
        <v>45231</v>
      </c>
      <c r="C344" t="s">
        <v>366</v>
      </c>
      <c r="D344" t="s">
        <v>16</v>
      </c>
      <c r="E344">
        <v>21</v>
      </c>
      <c r="F344" s="3" t="s">
        <v>24</v>
      </c>
      <c r="G344">
        <v>2</v>
      </c>
      <c r="H344" s="4">
        <v>25</v>
      </c>
      <c r="I344" s="4">
        <v>50</v>
      </c>
      <c r="J344" t="s">
        <v>273</v>
      </c>
      <c r="K344" t="str">
        <f>IFERROR(VLOOKUP(F344&amp;"|"&amp;H344,Feature_Mappings!$A$2:$C$16,2,FALSE()),"")</f>
        <v>USB-C Charger</v>
      </c>
      <c r="L344" t="str">
        <f>IFERROR(VLOOKUP(F344&amp;"|"&amp;H344,Feature_Mappings!$A$2:$C$16,3,FALSE()),"")</f>
        <v>VoltEdge Electronics</v>
      </c>
      <c r="M344" t="str">
        <f>IFERROR(VLOOKUP(J344,Feature_Mappings!$D$2:$E$5,2,FALSE()),"")</f>
        <v>Liam Carter</v>
      </c>
      <c r="N344" t="s">
        <v>274</v>
      </c>
      <c r="O344" t="str">
        <f>IFERROR(INDEX(Store_Manager!$A$2:$A$5,MATCH(M344,Store_Manager!$B$2:$B$5,0)),"")</f>
        <v>MGR002</v>
      </c>
    </row>
    <row r="345" spans="1:15" ht="15.75" customHeight="1">
      <c r="A345">
        <v>344</v>
      </c>
      <c r="B345" s="2">
        <v>44947</v>
      </c>
      <c r="C345" t="s">
        <v>367</v>
      </c>
      <c r="D345" t="s">
        <v>21</v>
      </c>
      <c r="E345">
        <v>42</v>
      </c>
      <c r="F345" s="3" t="s">
        <v>17</v>
      </c>
      <c r="G345">
        <v>1</v>
      </c>
      <c r="H345" s="4">
        <v>30</v>
      </c>
      <c r="I345" s="4">
        <v>30</v>
      </c>
      <c r="J345" t="s">
        <v>273</v>
      </c>
      <c r="K345" t="str">
        <f>IFERROR(VLOOKUP(F345&amp;"|"&amp;H345,Feature_Mappings!$A$2:$C$16,2,FALSE()),"")</f>
        <v>Facial Cleanser</v>
      </c>
      <c r="L345" t="str">
        <f>IFERROR(VLOOKUP(F345&amp;"|"&amp;H345,Feature_Mappings!$A$2:$C$16,3,FALSE()),"")</f>
        <v>PureDerma Supplies</v>
      </c>
      <c r="M345" t="str">
        <f>IFERROR(VLOOKUP(J345,Feature_Mappings!$D$2:$E$5,2,FALSE()),"")</f>
        <v>Liam Carter</v>
      </c>
      <c r="N345" t="s">
        <v>274</v>
      </c>
      <c r="O345" t="str">
        <f>IFERROR(INDEX(Store_Manager!$A$2:$A$5,MATCH(M345,Store_Manager!$B$2:$B$5,0)),"")</f>
        <v>MGR002</v>
      </c>
    </row>
    <row r="346" spans="1:15" ht="15.75" customHeight="1">
      <c r="A346">
        <v>345</v>
      </c>
      <c r="B346" s="2">
        <v>45244</v>
      </c>
      <c r="C346" t="s">
        <v>368</v>
      </c>
      <c r="D346" t="s">
        <v>16</v>
      </c>
      <c r="E346">
        <v>62</v>
      </c>
      <c r="F346" s="3" t="s">
        <v>24</v>
      </c>
      <c r="G346">
        <v>1</v>
      </c>
      <c r="H346" s="4">
        <v>30</v>
      </c>
      <c r="I346" s="4">
        <v>30</v>
      </c>
      <c r="J346" t="s">
        <v>273</v>
      </c>
      <c r="K346" t="str">
        <f>IFERROR(VLOOKUP(F346&amp;"|"&amp;H346,Feature_Mappings!$A$2:$C$16,2,FALSE()),"")</f>
        <v>Wireless Mouse</v>
      </c>
      <c r="L346" t="str">
        <f>IFERROR(VLOOKUP(F346&amp;"|"&amp;H346,Feature_Mappings!$A$2:$C$16,3,FALSE()),"")</f>
        <v>ByteWave Distributors</v>
      </c>
      <c r="M346" t="str">
        <f>IFERROR(VLOOKUP(J346,Feature_Mappings!$D$2:$E$5,2,FALSE()),"")</f>
        <v>Liam Carter</v>
      </c>
      <c r="N346" t="s">
        <v>274</v>
      </c>
      <c r="O346" t="str">
        <f>IFERROR(INDEX(Store_Manager!$A$2:$A$5,MATCH(M346,Store_Manager!$B$2:$B$5,0)),"")</f>
        <v>MGR002</v>
      </c>
    </row>
    <row r="347" spans="1:15" ht="15.75" customHeight="1">
      <c r="A347">
        <v>346</v>
      </c>
      <c r="B347" s="2">
        <v>44968</v>
      </c>
      <c r="C347" t="s">
        <v>369</v>
      </c>
      <c r="D347" t="s">
        <v>16</v>
      </c>
      <c r="E347">
        <v>59</v>
      </c>
      <c r="F347" s="3" t="s">
        <v>22</v>
      </c>
      <c r="G347">
        <v>2</v>
      </c>
      <c r="H347" s="4">
        <v>500</v>
      </c>
      <c r="I347" s="4">
        <v>1000</v>
      </c>
      <c r="J347" t="s">
        <v>273</v>
      </c>
      <c r="K347" t="str">
        <f>IFERROR(VLOOKUP(F347&amp;"|"&amp;H347,Feature_Mappings!$A$2:$C$16,2,FALSE()),"")</f>
        <v>Designer Coat</v>
      </c>
      <c r="L347" t="str">
        <f>IFERROR(VLOOKUP(F347&amp;"|"&amp;H347,Feature_Mappings!$A$2:$C$16,3,FALSE()),"")</f>
        <v>Prestige Fashion House</v>
      </c>
      <c r="M347" t="str">
        <f>IFERROR(VLOOKUP(J347,Feature_Mappings!$D$2:$E$5,2,FALSE()),"")</f>
        <v>Liam Carter</v>
      </c>
      <c r="N347" t="s">
        <v>274</v>
      </c>
      <c r="O347" t="str">
        <f>IFERROR(INDEX(Store_Manager!$A$2:$A$5,MATCH(M347,Store_Manager!$B$2:$B$5,0)),"")</f>
        <v>MGR002</v>
      </c>
    </row>
    <row r="348" spans="1:15" ht="15.75" customHeight="1">
      <c r="A348">
        <v>347</v>
      </c>
      <c r="B348" s="2">
        <v>45141</v>
      </c>
      <c r="C348" t="s">
        <v>370</v>
      </c>
      <c r="D348" t="s">
        <v>16</v>
      </c>
      <c r="E348">
        <v>42</v>
      </c>
      <c r="F348" s="3" t="s">
        <v>24</v>
      </c>
      <c r="G348">
        <v>1</v>
      </c>
      <c r="H348" s="4">
        <v>25</v>
      </c>
      <c r="I348" s="4">
        <v>25</v>
      </c>
      <c r="J348" t="s">
        <v>273</v>
      </c>
      <c r="K348" t="str">
        <f>IFERROR(VLOOKUP(F348&amp;"|"&amp;H348,Feature_Mappings!$A$2:$C$16,2,FALSE()),"")</f>
        <v>USB-C Charger</v>
      </c>
      <c r="L348" t="str">
        <f>IFERROR(VLOOKUP(F348&amp;"|"&amp;H348,Feature_Mappings!$A$2:$C$16,3,FALSE()),"")</f>
        <v>VoltEdge Electronics</v>
      </c>
      <c r="M348" t="str">
        <f>IFERROR(VLOOKUP(J348,Feature_Mappings!$D$2:$E$5,2,FALSE()),"")</f>
        <v>Liam Carter</v>
      </c>
      <c r="N348" t="s">
        <v>274</v>
      </c>
      <c r="O348" t="str">
        <f>IFERROR(INDEX(Store_Manager!$A$2:$A$5,MATCH(M348,Store_Manager!$B$2:$B$5,0)),"")</f>
        <v>MGR002</v>
      </c>
    </row>
    <row r="349" spans="1:15" ht="15.75" customHeight="1">
      <c r="A349">
        <v>348</v>
      </c>
      <c r="B349" s="2">
        <v>45263</v>
      </c>
      <c r="C349" t="s">
        <v>371</v>
      </c>
      <c r="D349" t="s">
        <v>21</v>
      </c>
      <c r="E349">
        <v>35</v>
      </c>
      <c r="F349" s="3" t="s">
        <v>24</v>
      </c>
      <c r="G349">
        <v>2</v>
      </c>
      <c r="H349" s="4">
        <v>300</v>
      </c>
      <c r="I349" s="4">
        <v>600</v>
      </c>
      <c r="J349" t="s">
        <v>273</v>
      </c>
      <c r="K349" t="str">
        <f>IFERROR(VLOOKUP(F349&amp;"|"&amp;H349,Feature_Mappings!$A$2:$C$16,2,FALSE()),"")</f>
        <v>Tablet</v>
      </c>
      <c r="L349" t="str">
        <f>IFERROR(VLOOKUP(F349&amp;"|"&amp;H349,Feature_Mappings!$A$2:$C$16,3,FALSE()),"")</f>
        <v>NextGen Devices</v>
      </c>
      <c r="M349" t="str">
        <f>IFERROR(VLOOKUP(J349,Feature_Mappings!$D$2:$E$5,2,FALSE()),"")</f>
        <v>Liam Carter</v>
      </c>
      <c r="N349" t="s">
        <v>274</v>
      </c>
      <c r="O349" t="str">
        <f>IFERROR(INDEX(Store_Manager!$A$2:$A$5,MATCH(M349,Store_Manager!$B$2:$B$5,0)),"")</f>
        <v>MGR002</v>
      </c>
    </row>
    <row r="350" spans="1:15" ht="15.75" customHeight="1">
      <c r="A350">
        <v>349</v>
      </c>
      <c r="B350" s="2">
        <v>45225</v>
      </c>
      <c r="C350" t="s">
        <v>372</v>
      </c>
      <c r="D350" t="s">
        <v>21</v>
      </c>
      <c r="E350">
        <v>57</v>
      </c>
      <c r="F350" s="3" t="s">
        <v>17</v>
      </c>
      <c r="G350">
        <v>1</v>
      </c>
      <c r="H350" s="4">
        <v>50</v>
      </c>
      <c r="I350" s="4">
        <v>50</v>
      </c>
      <c r="J350" t="s">
        <v>273</v>
      </c>
      <c r="K350" t="str">
        <f>IFERROR(VLOOKUP(F350&amp;"|"&amp;H350,Feature_Mappings!$A$2:$C$16,2,FALSE()),"")</f>
        <v>Eau de Parfum</v>
      </c>
      <c r="L350" t="str">
        <f>IFERROR(VLOOKUP(F350&amp;"|"&amp;H350,Feature_Mappings!$A$2:$C$16,3,FALSE()),"")</f>
        <v>Luxe Aroma Labs</v>
      </c>
      <c r="M350" t="str">
        <f>IFERROR(VLOOKUP(J350,Feature_Mappings!$D$2:$E$5,2,FALSE()),"")</f>
        <v>Liam Carter</v>
      </c>
      <c r="N350" t="s">
        <v>274</v>
      </c>
      <c r="O350" t="str">
        <f>IFERROR(INDEX(Store_Manager!$A$2:$A$5,MATCH(M350,Store_Manager!$B$2:$B$5,0)),"")</f>
        <v>MGR002</v>
      </c>
    </row>
    <row r="351" spans="1:15" ht="15.75" customHeight="1">
      <c r="A351">
        <v>350</v>
      </c>
      <c r="B351" s="2">
        <v>45216</v>
      </c>
      <c r="C351" t="s">
        <v>373</v>
      </c>
      <c r="D351" t="s">
        <v>16</v>
      </c>
      <c r="E351">
        <v>25</v>
      </c>
      <c r="F351" s="3" t="s">
        <v>17</v>
      </c>
      <c r="G351">
        <v>3</v>
      </c>
      <c r="H351" s="4">
        <v>25</v>
      </c>
      <c r="I351" s="4">
        <v>75</v>
      </c>
      <c r="J351" t="s">
        <v>273</v>
      </c>
      <c r="K351" t="str">
        <f>IFERROR(VLOOKUP(F351&amp;"|"&amp;H351,Feature_Mappings!$A$2:$C$16,2,FALSE()),"")</f>
        <v>Lip Balm</v>
      </c>
      <c r="L351" t="str">
        <f>IFERROR(VLOOKUP(F351&amp;"|"&amp;H351,Feature_Mappings!$A$2:$C$16,3,FALSE()),"")</f>
        <v>GlowSource Cosmetics</v>
      </c>
      <c r="M351" t="str">
        <f>IFERROR(VLOOKUP(J351,Feature_Mappings!$D$2:$E$5,2,FALSE()),"")</f>
        <v>Liam Carter</v>
      </c>
      <c r="N351" t="s">
        <v>274</v>
      </c>
      <c r="O351" t="str">
        <f>IFERROR(INDEX(Store_Manager!$A$2:$A$5,MATCH(M351,Store_Manager!$B$2:$B$5,0)),"")</f>
        <v>MGR002</v>
      </c>
    </row>
    <row r="352" spans="1:15" ht="15.75" customHeight="1">
      <c r="A352">
        <v>351</v>
      </c>
      <c r="B352" s="2">
        <v>45194</v>
      </c>
      <c r="C352" t="s">
        <v>374</v>
      </c>
      <c r="D352" t="s">
        <v>21</v>
      </c>
      <c r="E352">
        <v>56</v>
      </c>
      <c r="F352" s="3" t="s">
        <v>22</v>
      </c>
      <c r="G352">
        <v>3</v>
      </c>
      <c r="H352" s="4">
        <v>30</v>
      </c>
      <c r="I352" s="4">
        <v>90</v>
      </c>
      <c r="J352" t="s">
        <v>273</v>
      </c>
      <c r="K352" t="str">
        <f>IFERROR(VLOOKUP(F352&amp;"|"&amp;H352,Feature_Mappings!$A$2:$C$16,2,FALSE()),"")</f>
        <v>Graphic T-Shirt</v>
      </c>
      <c r="L352" t="str">
        <f>IFERROR(VLOOKUP(F352&amp;"|"&amp;H352,Feature_Mappings!$A$2:$C$16,3,FALSE()),"")</f>
        <v>ThreadWorks Apparel</v>
      </c>
      <c r="M352" t="str">
        <f>IFERROR(VLOOKUP(J352,Feature_Mappings!$D$2:$E$5,2,FALSE()),"")</f>
        <v>Liam Carter</v>
      </c>
      <c r="N352" t="s">
        <v>274</v>
      </c>
      <c r="O352" t="str">
        <f>IFERROR(INDEX(Store_Manager!$A$2:$A$5,MATCH(M352,Store_Manager!$B$2:$B$5,0)),"")</f>
        <v>MGR002</v>
      </c>
    </row>
    <row r="353" spans="1:15" ht="15.75" customHeight="1">
      <c r="A353">
        <v>352</v>
      </c>
      <c r="B353" s="2">
        <v>45088</v>
      </c>
      <c r="C353" t="s">
        <v>375</v>
      </c>
      <c r="D353" t="s">
        <v>16</v>
      </c>
      <c r="E353">
        <v>57</v>
      </c>
      <c r="F353" s="3" t="s">
        <v>24</v>
      </c>
      <c r="G353">
        <v>2</v>
      </c>
      <c r="H353" s="4">
        <v>500</v>
      </c>
      <c r="I353" s="4">
        <v>1000</v>
      </c>
      <c r="J353" t="s">
        <v>273</v>
      </c>
      <c r="K353" t="str">
        <f>IFERROR(VLOOKUP(F353&amp;"|"&amp;H353,Feature_Mappings!$A$2:$C$16,2,FALSE()),"")</f>
        <v>Smartphone</v>
      </c>
      <c r="L353" t="str">
        <f>IFERROR(VLOOKUP(F353&amp;"|"&amp;H353,Feature_Mappings!$A$2:$C$16,3,FALSE()),"")</f>
        <v>NovaTech Wholesale</v>
      </c>
      <c r="M353" t="str">
        <f>IFERROR(VLOOKUP(J353,Feature_Mappings!$D$2:$E$5,2,FALSE()),"")</f>
        <v>Liam Carter</v>
      </c>
      <c r="N353" t="s">
        <v>274</v>
      </c>
      <c r="O353" t="str">
        <f>IFERROR(INDEX(Store_Manager!$A$2:$A$5,MATCH(M353,Store_Manager!$B$2:$B$5,0)),"")</f>
        <v>MGR002</v>
      </c>
    </row>
    <row r="354" spans="1:15" ht="15.75" customHeight="1">
      <c r="A354">
        <v>353</v>
      </c>
      <c r="B354" s="2">
        <v>45060</v>
      </c>
      <c r="C354" t="s">
        <v>376</v>
      </c>
      <c r="D354" t="s">
        <v>16</v>
      </c>
      <c r="E354">
        <v>31</v>
      </c>
      <c r="F354" s="3" t="s">
        <v>24</v>
      </c>
      <c r="G354">
        <v>1</v>
      </c>
      <c r="H354" s="4">
        <v>500</v>
      </c>
      <c r="I354" s="4">
        <v>500</v>
      </c>
      <c r="J354" t="s">
        <v>273</v>
      </c>
      <c r="K354" t="str">
        <f>IFERROR(VLOOKUP(F354&amp;"|"&amp;H354,Feature_Mappings!$A$2:$C$16,2,FALSE()),"")</f>
        <v>Smartphone</v>
      </c>
      <c r="L354" t="str">
        <f>IFERROR(VLOOKUP(F354&amp;"|"&amp;H354,Feature_Mappings!$A$2:$C$16,3,FALSE()),"")</f>
        <v>NovaTech Wholesale</v>
      </c>
      <c r="M354" t="str">
        <f>IFERROR(VLOOKUP(J354,Feature_Mappings!$D$2:$E$5,2,FALSE()),"")</f>
        <v>Liam Carter</v>
      </c>
      <c r="N354" t="s">
        <v>274</v>
      </c>
      <c r="O354" t="str">
        <f>IFERROR(INDEX(Store_Manager!$A$2:$A$5,MATCH(M354,Store_Manager!$B$2:$B$5,0)),"")</f>
        <v>MGR002</v>
      </c>
    </row>
    <row r="355" spans="1:15" ht="15.75" customHeight="1">
      <c r="A355">
        <v>354</v>
      </c>
      <c r="B355" s="2">
        <v>45031</v>
      </c>
      <c r="C355" t="s">
        <v>377</v>
      </c>
      <c r="D355" t="s">
        <v>21</v>
      </c>
      <c r="E355">
        <v>49</v>
      </c>
      <c r="F355" s="3" t="s">
        <v>17</v>
      </c>
      <c r="G355">
        <v>4</v>
      </c>
      <c r="H355" s="4">
        <v>50</v>
      </c>
      <c r="I355" s="4">
        <v>200</v>
      </c>
      <c r="J355" t="s">
        <v>273</v>
      </c>
      <c r="K355" t="str">
        <f>IFERROR(VLOOKUP(F355&amp;"|"&amp;H355,Feature_Mappings!$A$2:$C$16,2,FALSE()),"")</f>
        <v>Eau de Parfum</v>
      </c>
      <c r="L355" t="str">
        <f>IFERROR(VLOOKUP(F355&amp;"|"&amp;H355,Feature_Mappings!$A$2:$C$16,3,FALSE()),"")</f>
        <v>Luxe Aroma Labs</v>
      </c>
      <c r="M355" t="str">
        <f>IFERROR(VLOOKUP(J355,Feature_Mappings!$D$2:$E$5,2,FALSE()),"")</f>
        <v>Liam Carter</v>
      </c>
      <c r="N355" t="s">
        <v>274</v>
      </c>
      <c r="O355" t="str">
        <f>IFERROR(INDEX(Store_Manager!$A$2:$A$5,MATCH(M355,Store_Manager!$B$2:$B$5,0)),"")</f>
        <v>MGR002</v>
      </c>
    </row>
    <row r="356" spans="1:15" ht="15.75" customHeight="1">
      <c r="A356">
        <v>355</v>
      </c>
      <c r="B356" s="2">
        <v>45269</v>
      </c>
      <c r="C356" t="s">
        <v>378</v>
      </c>
      <c r="D356" t="s">
        <v>21</v>
      </c>
      <c r="E356">
        <v>55</v>
      </c>
      <c r="F356" s="3" t="s">
        <v>24</v>
      </c>
      <c r="G356">
        <v>1</v>
      </c>
      <c r="H356" s="4">
        <v>500</v>
      </c>
      <c r="I356" s="4">
        <v>500</v>
      </c>
      <c r="J356" t="s">
        <v>273</v>
      </c>
      <c r="K356" t="str">
        <f>IFERROR(VLOOKUP(F356&amp;"|"&amp;H356,Feature_Mappings!$A$2:$C$16,2,FALSE()),"")</f>
        <v>Smartphone</v>
      </c>
      <c r="L356" t="str">
        <f>IFERROR(VLOOKUP(F356&amp;"|"&amp;H356,Feature_Mappings!$A$2:$C$16,3,FALSE()),"")</f>
        <v>NovaTech Wholesale</v>
      </c>
      <c r="M356" t="str">
        <f>IFERROR(VLOOKUP(J356,Feature_Mappings!$D$2:$E$5,2,FALSE()),"")</f>
        <v>Liam Carter</v>
      </c>
      <c r="N356" t="s">
        <v>274</v>
      </c>
      <c r="O356" t="str">
        <f>IFERROR(INDEX(Store_Manager!$A$2:$A$5,MATCH(M356,Store_Manager!$B$2:$B$5,0)),"")</f>
        <v>MGR002</v>
      </c>
    </row>
    <row r="357" spans="1:15" ht="15.75" customHeight="1">
      <c r="A357">
        <v>356</v>
      </c>
      <c r="B357" s="2">
        <v>45087</v>
      </c>
      <c r="C357" t="s">
        <v>379</v>
      </c>
      <c r="D357" t="s">
        <v>16</v>
      </c>
      <c r="E357">
        <v>50</v>
      </c>
      <c r="F357" s="3" t="s">
        <v>24</v>
      </c>
      <c r="G357">
        <v>3</v>
      </c>
      <c r="H357" s="4">
        <v>500</v>
      </c>
      <c r="I357" s="4">
        <v>1500</v>
      </c>
      <c r="J357" t="s">
        <v>273</v>
      </c>
      <c r="K357" t="str">
        <f>IFERROR(VLOOKUP(F357&amp;"|"&amp;H357,Feature_Mappings!$A$2:$C$16,2,FALSE()),"")</f>
        <v>Smartphone</v>
      </c>
      <c r="L357" t="str">
        <f>IFERROR(VLOOKUP(F357&amp;"|"&amp;H357,Feature_Mappings!$A$2:$C$16,3,FALSE()),"")</f>
        <v>NovaTech Wholesale</v>
      </c>
      <c r="M357" t="str">
        <f>IFERROR(VLOOKUP(J357,Feature_Mappings!$D$2:$E$5,2,FALSE()),"")</f>
        <v>Liam Carter</v>
      </c>
      <c r="N357" t="s">
        <v>274</v>
      </c>
      <c r="O357" t="str">
        <f>IFERROR(INDEX(Store_Manager!$A$2:$A$5,MATCH(M357,Store_Manager!$B$2:$B$5,0)),"")</f>
        <v>MGR002</v>
      </c>
    </row>
    <row r="358" spans="1:15" ht="15.75" customHeight="1">
      <c r="A358">
        <v>357</v>
      </c>
      <c r="B358" s="2">
        <v>45049</v>
      </c>
      <c r="C358" t="s">
        <v>380</v>
      </c>
      <c r="D358" t="s">
        <v>21</v>
      </c>
      <c r="E358">
        <v>40</v>
      </c>
      <c r="F358" s="3" t="s">
        <v>24</v>
      </c>
      <c r="G358">
        <v>3</v>
      </c>
      <c r="H358" s="4">
        <v>25</v>
      </c>
      <c r="I358" s="4">
        <v>75</v>
      </c>
      <c r="J358" t="s">
        <v>273</v>
      </c>
      <c r="K358" t="str">
        <f>IFERROR(VLOOKUP(F358&amp;"|"&amp;H358,Feature_Mappings!$A$2:$C$16,2,FALSE()),"")</f>
        <v>USB-C Charger</v>
      </c>
      <c r="L358" t="str">
        <f>IFERROR(VLOOKUP(F358&amp;"|"&amp;H358,Feature_Mappings!$A$2:$C$16,3,FALSE()),"")</f>
        <v>VoltEdge Electronics</v>
      </c>
      <c r="M358" t="str">
        <f>IFERROR(VLOOKUP(J358,Feature_Mappings!$D$2:$E$5,2,FALSE()),"")</f>
        <v>Liam Carter</v>
      </c>
      <c r="N358" t="s">
        <v>274</v>
      </c>
      <c r="O358" t="str">
        <f>IFERROR(INDEX(Store_Manager!$A$2:$A$5,MATCH(M358,Store_Manager!$B$2:$B$5,0)),"")</f>
        <v>MGR002</v>
      </c>
    </row>
    <row r="359" spans="1:15" ht="15.75" customHeight="1">
      <c r="A359">
        <v>358</v>
      </c>
      <c r="B359" s="2">
        <v>45062</v>
      </c>
      <c r="C359" t="s">
        <v>381</v>
      </c>
      <c r="D359" t="s">
        <v>21</v>
      </c>
      <c r="E359">
        <v>32</v>
      </c>
      <c r="F359" s="3" t="s">
        <v>17</v>
      </c>
      <c r="G359">
        <v>1</v>
      </c>
      <c r="H359" s="4">
        <v>300</v>
      </c>
      <c r="I359" s="4">
        <v>300</v>
      </c>
      <c r="J359" t="s">
        <v>273</v>
      </c>
      <c r="K359" t="str">
        <f>IFERROR(VLOOKUP(F359&amp;"|"&amp;H359,Feature_Mappings!$A$2:$C$16,2,FALSE()),"")</f>
        <v>Skincare Gift Set</v>
      </c>
      <c r="L359" t="str">
        <f>IFERROR(VLOOKUP(F359&amp;"|"&amp;H359,Feature_Mappings!$A$2:$C$16,3,FALSE()),"")</f>
        <v>Radiant Beauty Wholesale</v>
      </c>
      <c r="M359" t="str">
        <f>IFERROR(VLOOKUP(J359,Feature_Mappings!$D$2:$E$5,2,FALSE()),"")</f>
        <v>Liam Carter</v>
      </c>
      <c r="N359" t="s">
        <v>274</v>
      </c>
      <c r="O359" t="str">
        <f>IFERROR(INDEX(Store_Manager!$A$2:$A$5,MATCH(M359,Store_Manager!$B$2:$B$5,0)),"")</f>
        <v>MGR002</v>
      </c>
    </row>
    <row r="360" spans="1:15" ht="15.75" customHeight="1">
      <c r="A360">
        <v>359</v>
      </c>
      <c r="B360" s="2">
        <v>45129</v>
      </c>
      <c r="C360" t="s">
        <v>382</v>
      </c>
      <c r="D360" t="s">
        <v>16</v>
      </c>
      <c r="E360">
        <v>50</v>
      </c>
      <c r="F360" s="3" t="s">
        <v>22</v>
      </c>
      <c r="G360">
        <v>1</v>
      </c>
      <c r="H360" s="4">
        <v>50</v>
      </c>
      <c r="I360" s="4">
        <v>50</v>
      </c>
      <c r="J360" t="s">
        <v>273</v>
      </c>
      <c r="K360" t="str">
        <f>IFERROR(VLOOKUP(F360&amp;"|"&amp;H360,Feature_Mappings!$A$2:$C$16,2,FALSE()),"")</f>
        <v>Denim Jeans</v>
      </c>
      <c r="L360" t="str">
        <f>IFERROR(VLOOKUP(F360&amp;"|"&amp;H360,Feature_Mappings!$A$2:$C$16,3,FALSE()),"")</f>
        <v>BlueFit Garments</v>
      </c>
      <c r="M360" t="str">
        <f>IFERROR(VLOOKUP(J360,Feature_Mappings!$D$2:$E$5,2,FALSE()),"")</f>
        <v>Liam Carter</v>
      </c>
      <c r="N360" t="s">
        <v>274</v>
      </c>
      <c r="O360" t="str">
        <f>IFERROR(INDEX(Store_Manager!$A$2:$A$5,MATCH(M360,Store_Manager!$B$2:$B$5,0)),"")</f>
        <v>MGR002</v>
      </c>
    </row>
    <row r="361" spans="1:15" ht="15.75" customHeight="1">
      <c r="A361">
        <v>360</v>
      </c>
      <c r="B361" s="2">
        <v>44994</v>
      </c>
      <c r="C361" t="s">
        <v>383</v>
      </c>
      <c r="D361" t="s">
        <v>16</v>
      </c>
      <c r="E361">
        <v>42</v>
      </c>
      <c r="F361" s="3" t="s">
        <v>22</v>
      </c>
      <c r="G361">
        <v>4</v>
      </c>
      <c r="H361" s="4">
        <v>25</v>
      </c>
      <c r="I361" s="4">
        <v>100</v>
      </c>
      <c r="J361" t="s">
        <v>273</v>
      </c>
      <c r="K361" t="str">
        <f>IFERROR(VLOOKUP(F361&amp;"|"&amp;H361,Feature_Mappings!$A$2:$C$16,2,FALSE()),"")</f>
        <v>Cotton Socks</v>
      </c>
      <c r="L361" t="str">
        <f>IFERROR(VLOOKUP(F361&amp;"|"&amp;H361,Feature_Mappings!$A$2:$C$16,3,FALSE()),"")</f>
        <v>Urban Basics Co.</v>
      </c>
      <c r="M361" t="str">
        <f>IFERROR(VLOOKUP(J361,Feature_Mappings!$D$2:$E$5,2,FALSE()),"")</f>
        <v>Liam Carter</v>
      </c>
      <c r="N361" t="s">
        <v>274</v>
      </c>
      <c r="O361" t="str">
        <f>IFERROR(INDEX(Store_Manager!$A$2:$A$5,MATCH(M361,Store_Manager!$B$2:$B$5,0)),"")</f>
        <v>MGR002</v>
      </c>
    </row>
    <row r="362" spans="1:15" ht="15.75" customHeight="1">
      <c r="A362">
        <v>361</v>
      </c>
      <c r="B362" s="2">
        <v>45270</v>
      </c>
      <c r="C362" t="s">
        <v>384</v>
      </c>
      <c r="D362" t="s">
        <v>21</v>
      </c>
      <c r="E362">
        <v>34</v>
      </c>
      <c r="F362" s="3" t="s">
        <v>24</v>
      </c>
      <c r="G362">
        <v>4</v>
      </c>
      <c r="H362" s="4">
        <v>300</v>
      </c>
      <c r="I362" s="4">
        <v>1200</v>
      </c>
      <c r="J362" t="s">
        <v>273</v>
      </c>
      <c r="K362" t="str">
        <f>IFERROR(VLOOKUP(F362&amp;"|"&amp;H362,Feature_Mappings!$A$2:$C$16,2,FALSE()),"")</f>
        <v>Tablet</v>
      </c>
      <c r="L362" t="str">
        <f>IFERROR(VLOOKUP(F362&amp;"|"&amp;H362,Feature_Mappings!$A$2:$C$16,3,FALSE()),"")</f>
        <v>NextGen Devices</v>
      </c>
      <c r="M362" t="str">
        <f>IFERROR(VLOOKUP(J362,Feature_Mappings!$D$2:$E$5,2,FALSE()),"")</f>
        <v>Liam Carter</v>
      </c>
      <c r="N362" t="s">
        <v>274</v>
      </c>
      <c r="O362" t="str">
        <f>IFERROR(INDEX(Store_Manager!$A$2:$A$5,MATCH(M362,Store_Manager!$B$2:$B$5,0)),"")</f>
        <v>MGR002</v>
      </c>
    </row>
    <row r="363" spans="1:15" ht="15.75" customHeight="1">
      <c r="A363">
        <v>362</v>
      </c>
      <c r="B363" s="2">
        <v>45257</v>
      </c>
      <c r="C363" t="s">
        <v>385</v>
      </c>
      <c r="D363" t="s">
        <v>16</v>
      </c>
      <c r="E363">
        <v>50</v>
      </c>
      <c r="F363" s="3" t="s">
        <v>22</v>
      </c>
      <c r="G363">
        <v>1</v>
      </c>
      <c r="H363" s="4">
        <v>25</v>
      </c>
      <c r="I363" s="4">
        <v>25</v>
      </c>
      <c r="J363" t="s">
        <v>273</v>
      </c>
      <c r="K363" t="str">
        <f>IFERROR(VLOOKUP(F363&amp;"|"&amp;H363,Feature_Mappings!$A$2:$C$16,2,FALSE()),"")</f>
        <v>Cotton Socks</v>
      </c>
      <c r="L363" t="str">
        <f>IFERROR(VLOOKUP(F363&amp;"|"&amp;H363,Feature_Mappings!$A$2:$C$16,3,FALSE()),"")</f>
        <v>Urban Basics Co.</v>
      </c>
      <c r="M363" t="str">
        <f>IFERROR(VLOOKUP(J363,Feature_Mappings!$D$2:$E$5,2,FALSE()),"")</f>
        <v>Liam Carter</v>
      </c>
      <c r="N363" t="s">
        <v>274</v>
      </c>
      <c r="O363" t="str">
        <f>IFERROR(INDEX(Store_Manager!$A$2:$A$5,MATCH(M363,Store_Manager!$B$2:$B$5,0)),"")</f>
        <v>MGR002</v>
      </c>
    </row>
    <row r="364" spans="1:15" ht="15.75" customHeight="1">
      <c r="A364">
        <v>363</v>
      </c>
      <c r="B364" s="2">
        <v>45080</v>
      </c>
      <c r="C364" t="s">
        <v>386</v>
      </c>
      <c r="D364" t="s">
        <v>16</v>
      </c>
      <c r="E364">
        <v>64</v>
      </c>
      <c r="F364" s="3" t="s">
        <v>17</v>
      </c>
      <c r="G364">
        <v>1</v>
      </c>
      <c r="H364" s="4">
        <v>25</v>
      </c>
      <c r="I364" s="4">
        <v>25</v>
      </c>
      <c r="J364" t="s">
        <v>273</v>
      </c>
      <c r="K364" t="str">
        <f>IFERROR(VLOOKUP(F364&amp;"|"&amp;H364,Feature_Mappings!$A$2:$C$16,2,FALSE()),"")</f>
        <v>Lip Balm</v>
      </c>
      <c r="L364" t="str">
        <f>IFERROR(VLOOKUP(F364&amp;"|"&amp;H364,Feature_Mappings!$A$2:$C$16,3,FALSE()),"")</f>
        <v>GlowSource Cosmetics</v>
      </c>
      <c r="M364" t="str">
        <f>IFERROR(VLOOKUP(J364,Feature_Mappings!$D$2:$E$5,2,FALSE()),"")</f>
        <v>Liam Carter</v>
      </c>
      <c r="N364" t="s">
        <v>274</v>
      </c>
      <c r="O364" t="str">
        <f>IFERROR(INDEX(Store_Manager!$A$2:$A$5,MATCH(M364,Store_Manager!$B$2:$B$5,0)),"")</f>
        <v>MGR002</v>
      </c>
    </row>
    <row r="365" spans="1:15" ht="15.75" customHeight="1">
      <c r="A365">
        <v>364</v>
      </c>
      <c r="B365" s="2">
        <v>45161</v>
      </c>
      <c r="C365" t="s">
        <v>387</v>
      </c>
      <c r="D365" t="s">
        <v>21</v>
      </c>
      <c r="E365">
        <v>19</v>
      </c>
      <c r="F365" s="3" t="s">
        <v>17</v>
      </c>
      <c r="G365">
        <v>1</v>
      </c>
      <c r="H365" s="4">
        <v>500</v>
      </c>
      <c r="I365" s="4">
        <v>500</v>
      </c>
      <c r="J365" t="s">
        <v>273</v>
      </c>
      <c r="K365" t="str">
        <f>IFERROR(VLOOKUP(F365&amp;"|"&amp;H365,Feature_Mappings!$A$2:$C$16,2,FALSE()),"")</f>
        <v>LED Beauty Device</v>
      </c>
      <c r="L365" t="str">
        <f>IFERROR(VLOOKUP(F365&amp;"|"&amp;H365,Feature_Mappings!$A$2:$C$16,3,FALSE()),"")</f>
        <v>BeautyTech Pro</v>
      </c>
      <c r="M365" t="str">
        <f>IFERROR(VLOOKUP(J365,Feature_Mappings!$D$2:$E$5,2,FALSE()),"")</f>
        <v>Liam Carter</v>
      </c>
      <c r="N365" t="s">
        <v>274</v>
      </c>
      <c r="O365" t="str">
        <f>IFERROR(INDEX(Store_Manager!$A$2:$A$5,MATCH(M365,Store_Manager!$B$2:$B$5,0)),"")</f>
        <v>MGR002</v>
      </c>
    </row>
    <row r="366" spans="1:15" ht="15.75" customHeight="1">
      <c r="A366">
        <v>365</v>
      </c>
      <c r="B366" s="2">
        <v>45088</v>
      </c>
      <c r="C366" t="s">
        <v>388</v>
      </c>
      <c r="D366" t="s">
        <v>16</v>
      </c>
      <c r="E366">
        <v>31</v>
      </c>
      <c r="F366" s="3" t="s">
        <v>22</v>
      </c>
      <c r="G366">
        <v>1</v>
      </c>
      <c r="H366" s="4">
        <v>300</v>
      </c>
      <c r="I366" s="4">
        <v>300</v>
      </c>
      <c r="J366" t="s">
        <v>273</v>
      </c>
      <c r="K366" t="str">
        <f>IFERROR(VLOOKUP(F366&amp;"|"&amp;H366,Feature_Mappings!$A$2:$C$16,2,FALSE()),"")</f>
        <v>Leather Jacket</v>
      </c>
      <c r="L366" t="str">
        <f>IFERROR(VLOOKUP(F366&amp;"|"&amp;H366,Feature_Mappings!$A$2:$C$16,3,FALSE()),"")</f>
        <v>Metro Style Manufacturing</v>
      </c>
      <c r="M366" t="str">
        <f>IFERROR(VLOOKUP(J366,Feature_Mappings!$D$2:$E$5,2,FALSE()),"")</f>
        <v>Liam Carter</v>
      </c>
      <c r="N366" t="s">
        <v>274</v>
      </c>
      <c r="O366" t="str">
        <f>IFERROR(INDEX(Store_Manager!$A$2:$A$5,MATCH(M366,Store_Manager!$B$2:$B$5,0)),"")</f>
        <v>MGR002</v>
      </c>
    </row>
    <row r="367" spans="1:15" ht="15.75" customHeight="1">
      <c r="A367">
        <v>366</v>
      </c>
      <c r="B367" s="2">
        <v>44964</v>
      </c>
      <c r="C367" t="s">
        <v>389</v>
      </c>
      <c r="D367" t="s">
        <v>16</v>
      </c>
      <c r="E367">
        <v>57</v>
      </c>
      <c r="F367" s="3" t="s">
        <v>22</v>
      </c>
      <c r="G367">
        <v>2</v>
      </c>
      <c r="H367" s="4">
        <v>50</v>
      </c>
      <c r="I367" s="4">
        <v>100</v>
      </c>
      <c r="J367" t="s">
        <v>273</v>
      </c>
      <c r="K367" t="str">
        <f>IFERROR(VLOOKUP(F367&amp;"|"&amp;H367,Feature_Mappings!$A$2:$C$16,2,FALSE()),"")</f>
        <v>Denim Jeans</v>
      </c>
      <c r="L367" t="str">
        <f>IFERROR(VLOOKUP(F367&amp;"|"&amp;H367,Feature_Mappings!$A$2:$C$16,3,FALSE()),"")</f>
        <v>BlueFit Garments</v>
      </c>
      <c r="M367" t="str">
        <f>IFERROR(VLOOKUP(J367,Feature_Mappings!$D$2:$E$5,2,FALSE()),"")</f>
        <v>Liam Carter</v>
      </c>
      <c r="N367" t="s">
        <v>274</v>
      </c>
      <c r="O367" t="str">
        <f>IFERROR(INDEX(Store_Manager!$A$2:$A$5,MATCH(M367,Store_Manager!$B$2:$B$5,0)),"")</f>
        <v>MGR002</v>
      </c>
    </row>
    <row r="368" spans="1:15" ht="15.75" customHeight="1">
      <c r="A368">
        <v>367</v>
      </c>
      <c r="B368" s="2">
        <v>44931</v>
      </c>
      <c r="C368" t="s">
        <v>390</v>
      </c>
      <c r="D368" t="s">
        <v>21</v>
      </c>
      <c r="E368">
        <v>57</v>
      </c>
      <c r="F368" s="3" t="s">
        <v>24</v>
      </c>
      <c r="G368">
        <v>1</v>
      </c>
      <c r="H368" s="4">
        <v>50</v>
      </c>
      <c r="I368" s="4">
        <v>50</v>
      </c>
      <c r="J368" t="s">
        <v>273</v>
      </c>
      <c r="K368" t="str">
        <f>IFERROR(VLOOKUP(F368&amp;"|"&amp;H368,Feature_Mappings!$A$2:$C$16,2,FALSE()),"")</f>
        <v>Bluetooth Speaker</v>
      </c>
      <c r="L368" t="str">
        <f>IFERROR(VLOOKUP(F368&amp;"|"&amp;H368,Feature_Mappings!$A$2:$C$16,3,FALSE()),"")</f>
        <v>SoundSphere Supply</v>
      </c>
      <c r="M368" t="str">
        <f>IFERROR(VLOOKUP(J368,Feature_Mappings!$D$2:$E$5,2,FALSE()),"")</f>
        <v>Liam Carter</v>
      </c>
      <c r="N368" t="s">
        <v>274</v>
      </c>
      <c r="O368" t="str">
        <f>IFERROR(INDEX(Store_Manager!$A$2:$A$5,MATCH(M368,Store_Manager!$B$2:$B$5,0)),"")</f>
        <v>MGR002</v>
      </c>
    </row>
    <row r="369" spans="1:15" ht="15.75" customHeight="1">
      <c r="A369">
        <v>368</v>
      </c>
      <c r="B369" s="2">
        <v>45161</v>
      </c>
      <c r="C369" t="s">
        <v>391</v>
      </c>
      <c r="D369" t="s">
        <v>21</v>
      </c>
      <c r="E369">
        <v>56</v>
      </c>
      <c r="F369" s="3" t="s">
        <v>22</v>
      </c>
      <c r="G369">
        <v>4</v>
      </c>
      <c r="H369" s="4">
        <v>300</v>
      </c>
      <c r="I369" s="4">
        <v>1200</v>
      </c>
      <c r="J369" t="s">
        <v>273</v>
      </c>
      <c r="K369" t="str">
        <f>IFERROR(VLOOKUP(F369&amp;"|"&amp;H369,Feature_Mappings!$A$2:$C$16,2,FALSE()),"")</f>
        <v>Leather Jacket</v>
      </c>
      <c r="L369" t="str">
        <f>IFERROR(VLOOKUP(F369&amp;"|"&amp;H369,Feature_Mappings!$A$2:$C$16,3,FALSE()),"")</f>
        <v>Metro Style Manufacturing</v>
      </c>
      <c r="M369" t="str">
        <f>IFERROR(VLOOKUP(J369,Feature_Mappings!$D$2:$E$5,2,FALSE()),"")</f>
        <v>Liam Carter</v>
      </c>
      <c r="N369" t="s">
        <v>274</v>
      </c>
      <c r="O369" t="str">
        <f>IFERROR(INDEX(Store_Manager!$A$2:$A$5,MATCH(M369,Store_Manager!$B$2:$B$5,0)),"")</f>
        <v>MGR002</v>
      </c>
    </row>
    <row r="370" spans="1:15" ht="15.75" customHeight="1">
      <c r="A370">
        <v>369</v>
      </c>
      <c r="B370" s="2">
        <v>45245</v>
      </c>
      <c r="C370" t="s">
        <v>392</v>
      </c>
      <c r="D370" t="s">
        <v>16</v>
      </c>
      <c r="E370">
        <v>23</v>
      </c>
      <c r="F370" s="3" t="s">
        <v>24</v>
      </c>
      <c r="G370">
        <v>3</v>
      </c>
      <c r="H370" s="4">
        <v>500</v>
      </c>
      <c r="I370" s="4">
        <v>1500</v>
      </c>
      <c r="J370" t="s">
        <v>273</v>
      </c>
      <c r="K370" t="str">
        <f>IFERROR(VLOOKUP(F370&amp;"|"&amp;H370,Feature_Mappings!$A$2:$C$16,2,FALSE()),"")</f>
        <v>Smartphone</v>
      </c>
      <c r="L370" t="str">
        <f>IFERROR(VLOOKUP(F370&amp;"|"&amp;H370,Feature_Mappings!$A$2:$C$16,3,FALSE()),"")</f>
        <v>NovaTech Wholesale</v>
      </c>
      <c r="M370" t="str">
        <f>IFERROR(VLOOKUP(J370,Feature_Mappings!$D$2:$E$5,2,FALSE()),"")</f>
        <v>Liam Carter</v>
      </c>
      <c r="N370" t="s">
        <v>274</v>
      </c>
      <c r="O370" t="str">
        <f>IFERROR(INDEX(Store_Manager!$A$2:$A$5,MATCH(M370,Store_Manager!$B$2:$B$5,0)),"")</f>
        <v>MGR002</v>
      </c>
    </row>
    <row r="371" spans="1:15" ht="15.75" customHeight="1">
      <c r="A371">
        <v>370</v>
      </c>
      <c r="B371" s="2">
        <v>45215</v>
      </c>
      <c r="C371" t="s">
        <v>393</v>
      </c>
      <c r="D371" t="s">
        <v>16</v>
      </c>
      <c r="E371">
        <v>23</v>
      </c>
      <c r="F371" s="3" t="s">
        <v>24</v>
      </c>
      <c r="G371">
        <v>2</v>
      </c>
      <c r="H371" s="4">
        <v>30</v>
      </c>
      <c r="I371" s="4">
        <v>60</v>
      </c>
      <c r="J371" t="s">
        <v>273</v>
      </c>
      <c r="K371" t="str">
        <f>IFERROR(VLOOKUP(F371&amp;"|"&amp;H371,Feature_Mappings!$A$2:$C$16,2,FALSE()),"")</f>
        <v>Wireless Mouse</v>
      </c>
      <c r="L371" t="str">
        <f>IFERROR(VLOOKUP(F371&amp;"|"&amp;H371,Feature_Mappings!$A$2:$C$16,3,FALSE()),"")</f>
        <v>ByteWave Distributors</v>
      </c>
      <c r="M371" t="str">
        <f>IFERROR(VLOOKUP(J371,Feature_Mappings!$D$2:$E$5,2,FALSE()),"")</f>
        <v>Liam Carter</v>
      </c>
      <c r="N371" t="s">
        <v>274</v>
      </c>
      <c r="O371" t="str">
        <f>IFERROR(INDEX(Store_Manager!$A$2:$A$5,MATCH(M371,Store_Manager!$B$2:$B$5,0)),"")</f>
        <v>MGR002</v>
      </c>
    </row>
    <row r="372" spans="1:15" ht="15.75" customHeight="1">
      <c r="A372">
        <v>371</v>
      </c>
      <c r="B372" s="2">
        <v>44978</v>
      </c>
      <c r="C372" t="s">
        <v>394</v>
      </c>
      <c r="D372" t="s">
        <v>21</v>
      </c>
      <c r="E372">
        <v>20</v>
      </c>
      <c r="F372" s="3" t="s">
        <v>17</v>
      </c>
      <c r="G372">
        <v>1</v>
      </c>
      <c r="H372" s="4">
        <v>25</v>
      </c>
      <c r="I372" s="4">
        <v>25</v>
      </c>
      <c r="J372" t="s">
        <v>273</v>
      </c>
      <c r="K372" t="str">
        <f>IFERROR(VLOOKUP(F372&amp;"|"&amp;H372,Feature_Mappings!$A$2:$C$16,2,FALSE()),"")</f>
        <v>Lip Balm</v>
      </c>
      <c r="L372" t="str">
        <f>IFERROR(VLOOKUP(F372&amp;"|"&amp;H372,Feature_Mappings!$A$2:$C$16,3,FALSE()),"")</f>
        <v>GlowSource Cosmetics</v>
      </c>
      <c r="M372" t="str">
        <f>IFERROR(VLOOKUP(J372,Feature_Mappings!$D$2:$E$5,2,FALSE()),"")</f>
        <v>Liam Carter</v>
      </c>
      <c r="N372" t="s">
        <v>274</v>
      </c>
      <c r="O372" t="str">
        <f>IFERROR(INDEX(Store_Manager!$A$2:$A$5,MATCH(M372,Store_Manager!$B$2:$B$5,0)),"")</f>
        <v>MGR002</v>
      </c>
    </row>
    <row r="373" spans="1:15" ht="15.75" customHeight="1">
      <c r="A373">
        <v>372</v>
      </c>
      <c r="B373" s="2">
        <v>44964</v>
      </c>
      <c r="C373" t="s">
        <v>395</v>
      </c>
      <c r="D373" t="s">
        <v>21</v>
      </c>
      <c r="E373">
        <v>24</v>
      </c>
      <c r="F373" s="3" t="s">
        <v>17</v>
      </c>
      <c r="G373">
        <v>3</v>
      </c>
      <c r="H373" s="4">
        <v>500</v>
      </c>
      <c r="I373" s="4">
        <v>1500</v>
      </c>
      <c r="J373" t="s">
        <v>273</v>
      </c>
      <c r="K373" t="str">
        <f>IFERROR(VLOOKUP(F373&amp;"|"&amp;H373,Feature_Mappings!$A$2:$C$16,2,FALSE()),"")</f>
        <v>LED Beauty Device</v>
      </c>
      <c r="L373" t="str">
        <f>IFERROR(VLOOKUP(F373&amp;"|"&amp;H373,Feature_Mappings!$A$2:$C$16,3,FALSE()),"")</f>
        <v>BeautyTech Pro</v>
      </c>
      <c r="M373" t="str">
        <f>IFERROR(VLOOKUP(J373,Feature_Mappings!$D$2:$E$5,2,FALSE()),"")</f>
        <v>Liam Carter</v>
      </c>
      <c r="N373" t="s">
        <v>274</v>
      </c>
      <c r="O373" t="str">
        <f>IFERROR(INDEX(Store_Manager!$A$2:$A$5,MATCH(M373,Store_Manager!$B$2:$B$5,0)),"")</f>
        <v>MGR002</v>
      </c>
    </row>
    <row r="374" spans="1:15" ht="15.75" customHeight="1">
      <c r="A374">
        <v>373</v>
      </c>
      <c r="B374" s="2">
        <v>45202</v>
      </c>
      <c r="C374" t="s">
        <v>396</v>
      </c>
      <c r="D374" t="s">
        <v>21</v>
      </c>
      <c r="E374">
        <v>25</v>
      </c>
      <c r="F374" s="3" t="s">
        <v>17</v>
      </c>
      <c r="G374">
        <v>2</v>
      </c>
      <c r="H374" s="4">
        <v>300</v>
      </c>
      <c r="I374" s="4">
        <v>600</v>
      </c>
      <c r="J374" t="s">
        <v>273</v>
      </c>
      <c r="K374" t="str">
        <f>IFERROR(VLOOKUP(F374&amp;"|"&amp;H374,Feature_Mappings!$A$2:$C$16,2,FALSE()),"")</f>
        <v>Skincare Gift Set</v>
      </c>
      <c r="L374" t="str">
        <f>IFERROR(VLOOKUP(F374&amp;"|"&amp;H374,Feature_Mappings!$A$2:$C$16,3,FALSE()),"")</f>
        <v>Radiant Beauty Wholesale</v>
      </c>
      <c r="M374" t="str">
        <f>IFERROR(VLOOKUP(J374,Feature_Mappings!$D$2:$E$5,2,FALSE()),"")</f>
        <v>Liam Carter</v>
      </c>
      <c r="N374" t="s">
        <v>274</v>
      </c>
      <c r="O374" t="str">
        <f>IFERROR(INDEX(Store_Manager!$A$2:$A$5,MATCH(M374,Store_Manager!$B$2:$B$5,0)),"")</f>
        <v>MGR002</v>
      </c>
    </row>
    <row r="375" spans="1:15" ht="15.75" customHeight="1">
      <c r="A375">
        <v>374</v>
      </c>
      <c r="B375" s="2">
        <v>45036</v>
      </c>
      <c r="C375" t="s">
        <v>397</v>
      </c>
      <c r="D375" t="s">
        <v>21</v>
      </c>
      <c r="E375">
        <v>59</v>
      </c>
      <c r="F375" s="3" t="s">
        <v>17</v>
      </c>
      <c r="G375">
        <v>3</v>
      </c>
      <c r="H375" s="4">
        <v>25</v>
      </c>
      <c r="I375" s="4">
        <v>75</v>
      </c>
      <c r="J375" t="s">
        <v>273</v>
      </c>
      <c r="K375" t="str">
        <f>IFERROR(VLOOKUP(F375&amp;"|"&amp;H375,Feature_Mappings!$A$2:$C$16,2,FALSE()),"")</f>
        <v>Lip Balm</v>
      </c>
      <c r="L375" t="str">
        <f>IFERROR(VLOOKUP(F375&amp;"|"&amp;H375,Feature_Mappings!$A$2:$C$16,3,FALSE()),"")</f>
        <v>GlowSource Cosmetics</v>
      </c>
      <c r="M375" t="str">
        <f>IFERROR(VLOOKUP(J375,Feature_Mappings!$D$2:$E$5,2,FALSE()),"")</f>
        <v>Liam Carter</v>
      </c>
      <c r="N375" t="s">
        <v>274</v>
      </c>
      <c r="O375" t="str">
        <f>IFERROR(INDEX(Store_Manager!$A$2:$A$5,MATCH(M375,Store_Manager!$B$2:$B$5,0)),"")</f>
        <v>MGR002</v>
      </c>
    </row>
    <row r="376" spans="1:15" ht="15.75" customHeight="1">
      <c r="A376">
        <v>375</v>
      </c>
      <c r="B376" s="2">
        <v>45186</v>
      </c>
      <c r="C376" t="s">
        <v>398</v>
      </c>
      <c r="D376" t="s">
        <v>16</v>
      </c>
      <c r="E376">
        <v>32</v>
      </c>
      <c r="F376" s="3" t="s">
        <v>22</v>
      </c>
      <c r="G376">
        <v>1</v>
      </c>
      <c r="H376" s="4">
        <v>50</v>
      </c>
      <c r="I376" s="4">
        <v>50</v>
      </c>
      <c r="J376" t="s">
        <v>273</v>
      </c>
      <c r="K376" t="str">
        <f>IFERROR(VLOOKUP(F376&amp;"|"&amp;H376,Feature_Mappings!$A$2:$C$16,2,FALSE()),"")</f>
        <v>Denim Jeans</v>
      </c>
      <c r="L376" t="str">
        <f>IFERROR(VLOOKUP(F376&amp;"|"&amp;H376,Feature_Mappings!$A$2:$C$16,3,FALSE()),"")</f>
        <v>BlueFit Garments</v>
      </c>
      <c r="M376" t="str">
        <f>IFERROR(VLOOKUP(J376,Feature_Mappings!$D$2:$E$5,2,FALSE()),"")</f>
        <v>Liam Carter</v>
      </c>
      <c r="N376" t="s">
        <v>274</v>
      </c>
      <c r="O376" t="str">
        <f>IFERROR(INDEX(Store_Manager!$A$2:$A$5,MATCH(M376,Store_Manager!$B$2:$B$5,0)),"")</f>
        <v>MGR002</v>
      </c>
    </row>
    <row r="377" spans="1:15" ht="15.75" customHeight="1">
      <c r="A377">
        <v>376</v>
      </c>
      <c r="B377" s="2">
        <v>45062</v>
      </c>
      <c r="C377" t="s">
        <v>399</v>
      </c>
      <c r="D377" t="s">
        <v>21</v>
      </c>
      <c r="E377">
        <v>64</v>
      </c>
      <c r="F377" s="3" t="s">
        <v>17</v>
      </c>
      <c r="G377">
        <v>1</v>
      </c>
      <c r="H377" s="4">
        <v>30</v>
      </c>
      <c r="I377" s="4">
        <v>30</v>
      </c>
      <c r="J377" t="s">
        <v>273</v>
      </c>
      <c r="K377" t="str">
        <f>IFERROR(VLOOKUP(F377&amp;"|"&amp;H377,Feature_Mappings!$A$2:$C$16,2,FALSE()),"")</f>
        <v>Facial Cleanser</v>
      </c>
      <c r="L377" t="str">
        <f>IFERROR(VLOOKUP(F377&amp;"|"&amp;H377,Feature_Mappings!$A$2:$C$16,3,FALSE()),"")</f>
        <v>PureDerma Supplies</v>
      </c>
      <c r="M377" t="str">
        <f>IFERROR(VLOOKUP(J377,Feature_Mappings!$D$2:$E$5,2,FALSE()),"")</f>
        <v>Liam Carter</v>
      </c>
      <c r="N377" t="s">
        <v>274</v>
      </c>
      <c r="O377" t="str">
        <f>IFERROR(INDEX(Store_Manager!$A$2:$A$5,MATCH(M377,Store_Manager!$B$2:$B$5,0)),"")</f>
        <v>MGR002</v>
      </c>
    </row>
    <row r="378" spans="1:15" ht="15.75" customHeight="1">
      <c r="A378">
        <v>377</v>
      </c>
      <c r="B378" s="2">
        <v>44994</v>
      </c>
      <c r="C378" t="s">
        <v>400</v>
      </c>
      <c r="D378" t="s">
        <v>21</v>
      </c>
      <c r="E378">
        <v>46</v>
      </c>
      <c r="F378" s="3" t="s">
        <v>22</v>
      </c>
      <c r="G378">
        <v>4</v>
      </c>
      <c r="H378" s="4">
        <v>50</v>
      </c>
      <c r="I378" s="4">
        <v>200</v>
      </c>
      <c r="J378" t="s">
        <v>273</v>
      </c>
      <c r="K378" t="str">
        <f>IFERROR(VLOOKUP(F378&amp;"|"&amp;H378,Feature_Mappings!$A$2:$C$16,2,FALSE()),"")</f>
        <v>Denim Jeans</v>
      </c>
      <c r="L378" t="str">
        <f>IFERROR(VLOOKUP(F378&amp;"|"&amp;H378,Feature_Mappings!$A$2:$C$16,3,FALSE()),"")</f>
        <v>BlueFit Garments</v>
      </c>
      <c r="M378" t="str">
        <f>IFERROR(VLOOKUP(J378,Feature_Mappings!$D$2:$E$5,2,FALSE()),"")</f>
        <v>Liam Carter</v>
      </c>
      <c r="N378" t="s">
        <v>274</v>
      </c>
      <c r="O378" t="str">
        <f>IFERROR(INDEX(Store_Manager!$A$2:$A$5,MATCH(M378,Store_Manager!$B$2:$B$5,0)),"")</f>
        <v>MGR002</v>
      </c>
    </row>
    <row r="379" spans="1:15" ht="15.75" customHeight="1">
      <c r="A379">
        <v>378</v>
      </c>
      <c r="B379" s="2">
        <v>45105</v>
      </c>
      <c r="C379" t="s">
        <v>401</v>
      </c>
      <c r="D379" t="s">
        <v>16</v>
      </c>
      <c r="E379">
        <v>50</v>
      </c>
      <c r="F379" s="3" t="s">
        <v>17</v>
      </c>
      <c r="G379">
        <v>1</v>
      </c>
      <c r="H379" s="4">
        <v>300</v>
      </c>
      <c r="I379" s="4">
        <v>300</v>
      </c>
      <c r="J379" t="s">
        <v>273</v>
      </c>
      <c r="K379" t="str">
        <f>IFERROR(VLOOKUP(F379&amp;"|"&amp;H379,Feature_Mappings!$A$2:$C$16,2,FALSE()),"")</f>
        <v>Skincare Gift Set</v>
      </c>
      <c r="L379" t="str">
        <f>IFERROR(VLOOKUP(F379&amp;"|"&amp;H379,Feature_Mappings!$A$2:$C$16,3,FALSE()),"")</f>
        <v>Radiant Beauty Wholesale</v>
      </c>
      <c r="M379" t="str">
        <f>IFERROR(VLOOKUP(J379,Feature_Mappings!$D$2:$E$5,2,FALSE()),"")</f>
        <v>Liam Carter</v>
      </c>
      <c r="N379" t="s">
        <v>274</v>
      </c>
      <c r="O379" t="str">
        <f>IFERROR(INDEX(Store_Manager!$A$2:$A$5,MATCH(M379,Store_Manager!$B$2:$B$5,0)),"")</f>
        <v>MGR002</v>
      </c>
    </row>
    <row r="380" spans="1:15" ht="15.75" customHeight="1">
      <c r="A380">
        <v>379</v>
      </c>
      <c r="B380" s="2">
        <v>44962</v>
      </c>
      <c r="C380" t="s">
        <v>402</v>
      </c>
      <c r="D380" t="s">
        <v>21</v>
      </c>
      <c r="E380">
        <v>47</v>
      </c>
      <c r="F380" s="3" t="s">
        <v>22</v>
      </c>
      <c r="G380">
        <v>1</v>
      </c>
      <c r="H380" s="4">
        <v>25</v>
      </c>
      <c r="I380" s="4">
        <v>25</v>
      </c>
      <c r="J380" t="s">
        <v>273</v>
      </c>
      <c r="K380" t="str">
        <f>IFERROR(VLOOKUP(F380&amp;"|"&amp;H380,Feature_Mappings!$A$2:$C$16,2,FALSE()),"")</f>
        <v>Cotton Socks</v>
      </c>
      <c r="L380" t="str">
        <f>IFERROR(VLOOKUP(F380&amp;"|"&amp;H380,Feature_Mappings!$A$2:$C$16,3,FALSE()),"")</f>
        <v>Urban Basics Co.</v>
      </c>
      <c r="M380" t="str">
        <f>IFERROR(VLOOKUP(J380,Feature_Mappings!$D$2:$E$5,2,FALSE()),"")</f>
        <v>Liam Carter</v>
      </c>
      <c r="N380" t="s">
        <v>274</v>
      </c>
      <c r="O380" t="str">
        <f>IFERROR(INDEX(Store_Manager!$A$2:$A$5,MATCH(M380,Store_Manager!$B$2:$B$5,0)),"")</f>
        <v>MGR002</v>
      </c>
    </row>
    <row r="381" spans="1:15" ht="15.75" customHeight="1">
      <c r="A381">
        <v>380</v>
      </c>
      <c r="B381" s="2">
        <v>45052</v>
      </c>
      <c r="C381" t="s">
        <v>403</v>
      </c>
      <c r="D381" t="s">
        <v>16</v>
      </c>
      <c r="E381">
        <v>56</v>
      </c>
      <c r="F381" s="3" t="s">
        <v>24</v>
      </c>
      <c r="G381">
        <v>2</v>
      </c>
      <c r="H381" s="4">
        <v>300</v>
      </c>
      <c r="I381" s="4">
        <v>600</v>
      </c>
      <c r="J381" t="s">
        <v>273</v>
      </c>
      <c r="K381" t="str">
        <f>IFERROR(VLOOKUP(F381&amp;"|"&amp;H381,Feature_Mappings!$A$2:$C$16,2,FALSE()),"")</f>
        <v>Tablet</v>
      </c>
      <c r="L381" t="str">
        <f>IFERROR(VLOOKUP(F381&amp;"|"&amp;H381,Feature_Mappings!$A$2:$C$16,3,FALSE()),"")</f>
        <v>NextGen Devices</v>
      </c>
      <c r="M381" t="str">
        <f>IFERROR(VLOOKUP(J381,Feature_Mappings!$D$2:$E$5,2,FALSE()),"")</f>
        <v>Liam Carter</v>
      </c>
      <c r="N381" t="s">
        <v>274</v>
      </c>
      <c r="O381" t="str">
        <f>IFERROR(INDEX(Store_Manager!$A$2:$A$5,MATCH(M381,Store_Manager!$B$2:$B$5,0)),"")</f>
        <v>MGR002</v>
      </c>
    </row>
    <row r="382" spans="1:15" ht="15.75" customHeight="1">
      <c r="A382">
        <v>381</v>
      </c>
      <c r="B382" s="2">
        <v>45116</v>
      </c>
      <c r="C382" t="s">
        <v>404</v>
      </c>
      <c r="D382" t="s">
        <v>21</v>
      </c>
      <c r="E382">
        <v>44</v>
      </c>
      <c r="F382" s="3" t="s">
        <v>22</v>
      </c>
      <c r="G382">
        <v>4</v>
      </c>
      <c r="H382" s="4">
        <v>25</v>
      </c>
      <c r="I382" s="4">
        <v>100</v>
      </c>
      <c r="J382" t="s">
        <v>273</v>
      </c>
      <c r="K382" t="str">
        <f>IFERROR(VLOOKUP(F382&amp;"|"&amp;H382,Feature_Mappings!$A$2:$C$16,2,FALSE()),"")</f>
        <v>Cotton Socks</v>
      </c>
      <c r="L382" t="str">
        <f>IFERROR(VLOOKUP(F382&amp;"|"&amp;H382,Feature_Mappings!$A$2:$C$16,3,FALSE()),"")</f>
        <v>Urban Basics Co.</v>
      </c>
      <c r="M382" t="str">
        <f>IFERROR(VLOOKUP(J382,Feature_Mappings!$D$2:$E$5,2,FALSE()),"")</f>
        <v>Liam Carter</v>
      </c>
      <c r="N382" t="s">
        <v>274</v>
      </c>
      <c r="O382" t="str">
        <f>IFERROR(INDEX(Store_Manager!$A$2:$A$5,MATCH(M382,Store_Manager!$B$2:$B$5,0)),"")</f>
        <v>MGR002</v>
      </c>
    </row>
    <row r="383" spans="1:15" ht="15.75" customHeight="1">
      <c r="A383">
        <v>382</v>
      </c>
      <c r="B383" s="2">
        <v>45072</v>
      </c>
      <c r="C383" t="s">
        <v>405</v>
      </c>
      <c r="D383" t="s">
        <v>21</v>
      </c>
      <c r="E383">
        <v>53</v>
      </c>
      <c r="F383" s="3" t="s">
        <v>22</v>
      </c>
      <c r="G383">
        <v>2</v>
      </c>
      <c r="H383" s="4">
        <v>500</v>
      </c>
      <c r="I383" s="4">
        <v>1000</v>
      </c>
      <c r="J383" t="s">
        <v>273</v>
      </c>
      <c r="K383" t="str">
        <f>IFERROR(VLOOKUP(F383&amp;"|"&amp;H383,Feature_Mappings!$A$2:$C$16,2,FALSE()),"")</f>
        <v>Designer Coat</v>
      </c>
      <c r="L383" t="str">
        <f>IFERROR(VLOOKUP(F383&amp;"|"&amp;H383,Feature_Mappings!$A$2:$C$16,3,FALSE()),"")</f>
        <v>Prestige Fashion House</v>
      </c>
      <c r="M383" t="str">
        <f>IFERROR(VLOOKUP(J383,Feature_Mappings!$D$2:$E$5,2,FALSE()),"")</f>
        <v>Liam Carter</v>
      </c>
      <c r="N383" t="s">
        <v>274</v>
      </c>
      <c r="O383" t="str">
        <f>IFERROR(INDEX(Store_Manager!$A$2:$A$5,MATCH(M383,Store_Manager!$B$2:$B$5,0)),"")</f>
        <v>MGR002</v>
      </c>
    </row>
    <row r="384" spans="1:15" ht="15.75" customHeight="1">
      <c r="A384">
        <v>383</v>
      </c>
      <c r="B384" s="2">
        <v>45007</v>
      </c>
      <c r="C384" t="s">
        <v>406</v>
      </c>
      <c r="D384" t="s">
        <v>21</v>
      </c>
      <c r="E384">
        <v>46</v>
      </c>
      <c r="F384" s="3" t="s">
        <v>17</v>
      </c>
      <c r="G384">
        <v>3</v>
      </c>
      <c r="H384" s="4">
        <v>30</v>
      </c>
      <c r="I384" s="4">
        <v>90</v>
      </c>
      <c r="J384" t="s">
        <v>273</v>
      </c>
      <c r="K384" t="str">
        <f>IFERROR(VLOOKUP(F384&amp;"|"&amp;H384,Feature_Mappings!$A$2:$C$16,2,FALSE()),"")</f>
        <v>Facial Cleanser</v>
      </c>
      <c r="L384" t="str">
        <f>IFERROR(VLOOKUP(F384&amp;"|"&amp;H384,Feature_Mappings!$A$2:$C$16,3,FALSE()),"")</f>
        <v>PureDerma Supplies</v>
      </c>
      <c r="M384" t="str">
        <f>IFERROR(VLOOKUP(J384,Feature_Mappings!$D$2:$E$5,2,FALSE()),"")</f>
        <v>Liam Carter</v>
      </c>
      <c r="N384" t="s">
        <v>274</v>
      </c>
      <c r="O384" t="str">
        <f>IFERROR(INDEX(Store_Manager!$A$2:$A$5,MATCH(M384,Store_Manager!$B$2:$B$5,0)),"")</f>
        <v>MGR002</v>
      </c>
    </row>
    <row r="385" spans="1:15" ht="15.75" customHeight="1">
      <c r="A385">
        <v>384</v>
      </c>
      <c r="B385" s="2">
        <v>45151</v>
      </c>
      <c r="C385" t="s">
        <v>407</v>
      </c>
      <c r="D385" t="s">
        <v>16</v>
      </c>
      <c r="E385">
        <v>55</v>
      </c>
      <c r="F385" s="3" t="s">
        <v>22</v>
      </c>
      <c r="G385">
        <v>1</v>
      </c>
      <c r="H385" s="4">
        <v>500</v>
      </c>
      <c r="I385" s="4">
        <v>500</v>
      </c>
      <c r="J385" t="s">
        <v>273</v>
      </c>
      <c r="K385" t="str">
        <f>IFERROR(VLOOKUP(F385&amp;"|"&amp;H385,Feature_Mappings!$A$2:$C$16,2,FALSE()),"")</f>
        <v>Designer Coat</v>
      </c>
      <c r="L385" t="str">
        <f>IFERROR(VLOOKUP(F385&amp;"|"&amp;H385,Feature_Mappings!$A$2:$C$16,3,FALSE()),"")</f>
        <v>Prestige Fashion House</v>
      </c>
      <c r="M385" t="str">
        <f>IFERROR(VLOOKUP(J385,Feature_Mappings!$D$2:$E$5,2,FALSE()),"")</f>
        <v>Liam Carter</v>
      </c>
      <c r="N385" t="s">
        <v>274</v>
      </c>
      <c r="O385" t="str">
        <f>IFERROR(INDEX(Store_Manager!$A$2:$A$5,MATCH(M385,Store_Manager!$B$2:$B$5,0)),"")</f>
        <v>MGR002</v>
      </c>
    </row>
    <row r="386" spans="1:15" ht="15.75" customHeight="1">
      <c r="A386">
        <v>385</v>
      </c>
      <c r="B386" s="2">
        <v>45205</v>
      </c>
      <c r="C386" t="s">
        <v>408</v>
      </c>
      <c r="D386" t="s">
        <v>16</v>
      </c>
      <c r="E386">
        <v>50</v>
      </c>
      <c r="F386" s="3" t="s">
        <v>24</v>
      </c>
      <c r="G386">
        <v>3</v>
      </c>
      <c r="H386" s="4">
        <v>500</v>
      </c>
      <c r="I386" s="4">
        <v>1500</v>
      </c>
      <c r="J386" t="s">
        <v>273</v>
      </c>
      <c r="K386" t="str">
        <f>IFERROR(VLOOKUP(F386&amp;"|"&amp;H386,Feature_Mappings!$A$2:$C$16,2,FALSE()),"")</f>
        <v>Smartphone</v>
      </c>
      <c r="L386" t="str">
        <f>IFERROR(VLOOKUP(F386&amp;"|"&amp;H386,Feature_Mappings!$A$2:$C$16,3,FALSE()),"")</f>
        <v>NovaTech Wholesale</v>
      </c>
      <c r="M386" t="str">
        <f>IFERROR(VLOOKUP(J386,Feature_Mappings!$D$2:$E$5,2,FALSE()),"")</f>
        <v>Liam Carter</v>
      </c>
      <c r="N386" t="s">
        <v>274</v>
      </c>
      <c r="O386" t="str">
        <f>IFERROR(INDEX(Store_Manager!$A$2:$A$5,MATCH(M386,Store_Manager!$B$2:$B$5,0)),"")</f>
        <v>MGR002</v>
      </c>
    </row>
    <row r="387" spans="1:15" ht="15.75" customHeight="1">
      <c r="A387">
        <v>386</v>
      </c>
      <c r="B387" s="2">
        <v>45287</v>
      </c>
      <c r="C387" t="s">
        <v>409</v>
      </c>
      <c r="D387" t="s">
        <v>21</v>
      </c>
      <c r="E387">
        <v>54</v>
      </c>
      <c r="F387" s="3" t="s">
        <v>24</v>
      </c>
      <c r="G387">
        <v>2</v>
      </c>
      <c r="H387" s="4">
        <v>300</v>
      </c>
      <c r="I387" s="4">
        <v>600</v>
      </c>
      <c r="J387" t="s">
        <v>273</v>
      </c>
      <c r="K387" t="str">
        <f>IFERROR(VLOOKUP(F387&amp;"|"&amp;H387,Feature_Mappings!$A$2:$C$16,2,FALSE()),"")</f>
        <v>Tablet</v>
      </c>
      <c r="L387" t="str">
        <f>IFERROR(VLOOKUP(F387&amp;"|"&amp;H387,Feature_Mappings!$A$2:$C$16,3,FALSE()),"")</f>
        <v>NextGen Devices</v>
      </c>
      <c r="M387" t="str">
        <f>IFERROR(VLOOKUP(J387,Feature_Mappings!$D$2:$E$5,2,FALSE()),"")</f>
        <v>Liam Carter</v>
      </c>
      <c r="N387" t="s">
        <v>274</v>
      </c>
      <c r="O387" t="str">
        <f>IFERROR(INDEX(Store_Manager!$A$2:$A$5,MATCH(M387,Store_Manager!$B$2:$B$5,0)),"")</f>
        <v>MGR002</v>
      </c>
    </row>
    <row r="388" spans="1:15" ht="15.75" customHeight="1">
      <c r="A388">
        <v>387</v>
      </c>
      <c r="B388" s="2">
        <v>45081</v>
      </c>
      <c r="C388" t="s">
        <v>410</v>
      </c>
      <c r="D388" t="s">
        <v>16</v>
      </c>
      <c r="E388">
        <v>44</v>
      </c>
      <c r="F388" s="3" t="s">
        <v>17</v>
      </c>
      <c r="G388">
        <v>1</v>
      </c>
      <c r="H388" s="4">
        <v>30</v>
      </c>
      <c r="I388" s="4">
        <v>30</v>
      </c>
      <c r="J388" t="s">
        <v>273</v>
      </c>
      <c r="K388" t="str">
        <f>IFERROR(VLOOKUP(F388&amp;"|"&amp;H388,Feature_Mappings!$A$2:$C$16,2,FALSE()),"")</f>
        <v>Facial Cleanser</v>
      </c>
      <c r="L388" t="str">
        <f>IFERROR(VLOOKUP(F388&amp;"|"&amp;H388,Feature_Mappings!$A$2:$C$16,3,FALSE()),"")</f>
        <v>PureDerma Supplies</v>
      </c>
      <c r="M388" t="str">
        <f>IFERROR(VLOOKUP(J388,Feature_Mappings!$D$2:$E$5,2,FALSE()),"")</f>
        <v>Liam Carter</v>
      </c>
      <c r="N388" t="s">
        <v>274</v>
      </c>
      <c r="O388" t="str">
        <f>IFERROR(INDEX(Store_Manager!$A$2:$A$5,MATCH(M388,Store_Manager!$B$2:$B$5,0)),"")</f>
        <v>MGR002</v>
      </c>
    </row>
    <row r="389" spans="1:15" ht="15.75" customHeight="1">
      <c r="A389">
        <v>388</v>
      </c>
      <c r="B389" s="2">
        <v>45240</v>
      </c>
      <c r="C389" t="s">
        <v>411</v>
      </c>
      <c r="D389" t="s">
        <v>16</v>
      </c>
      <c r="E389">
        <v>50</v>
      </c>
      <c r="F389" s="3" t="s">
        <v>24</v>
      </c>
      <c r="G389">
        <v>1</v>
      </c>
      <c r="H389" s="4">
        <v>25</v>
      </c>
      <c r="I389" s="4">
        <v>25</v>
      </c>
      <c r="J389" t="s">
        <v>273</v>
      </c>
      <c r="K389" t="str">
        <f>IFERROR(VLOOKUP(F389&amp;"|"&amp;H389,Feature_Mappings!$A$2:$C$16,2,FALSE()),"")</f>
        <v>USB-C Charger</v>
      </c>
      <c r="L389" t="str">
        <f>IFERROR(VLOOKUP(F389&amp;"|"&amp;H389,Feature_Mappings!$A$2:$C$16,3,FALSE()),"")</f>
        <v>VoltEdge Electronics</v>
      </c>
      <c r="M389" t="str">
        <f>IFERROR(VLOOKUP(J389,Feature_Mappings!$D$2:$E$5,2,FALSE()),"")</f>
        <v>Liam Carter</v>
      </c>
      <c r="N389" t="s">
        <v>274</v>
      </c>
      <c r="O389" t="str">
        <f>IFERROR(INDEX(Store_Manager!$A$2:$A$5,MATCH(M389,Store_Manager!$B$2:$B$5,0)),"")</f>
        <v>MGR002</v>
      </c>
    </row>
    <row r="390" spans="1:15" ht="15.75" customHeight="1">
      <c r="A390">
        <v>389</v>
      </c>
      <c r="B390" s="2">
        <v>45261</v>
      </c>
      <c r="C390" t="s">
        <v>412</v>
      </c>
      <c r="D390" t="s">
        <v>16</v>
      </c>
      <c r="E390">
        <v>21</v>
      </c>
      <c r="F390" s="3" t="s">
        <v>22</v>
      </c>
      <c r="G390">
        <v>2</v>
      </c>
      <c r="H390" s="4">
        <v>25</v>
      </c>
      <c r="I390" s="4">
        <v>50</v>
      </c>
      <c r="J390" t="s">
        <v>273</v>
      </c>
      <c r="K390" t="str">
        <f>IFERROR(VLOOKUP(F390&amp;"|"&amp;H390,Feature_Mappings!$A$2:$C$16,2,FALSE()),"")</f>
        <v>Cotton Socks</v>
      </c>
      <c r="L390" t="str">
        <f>IFERROR(VLOOKUP(F390&amp;"|"&amp;H390,Feature_Mappings!$A$2:$C$16,3,FALSE()),"")</f>
        <v>Urban Basics Co.</v>
      </c>
      <c r="M390" t="str">
        <f>IFERROR(VLOOKUP(J390,Feature_Mappings!$D$2:$E$5,2,FALSE()),"")</f>
        <v>Liam Carter</v>
      </c>
      <c r="N390" t="s">
        <v>274</v>
      </c>
      <c r="O390" t="str">
        <f>IFERROR(INDEX(Store_Manager!$A$2:$A$5,MATCH(M390,Store_Manager!$B$2:$B$5,0)),"")</f>
        <v>MGR002</v>
      </c>
    </row>
    <row r="391" spans="1:15" ht="15.75" customHeight="1">
      <c r="A391">
        <v>390</v>
      </c>
      <c r="B391" s="2">
        <v>45197</v>
      </c>
      <c r="C391" t="s">
        <v>413</v>
      </c>
      <c r="D391" t="s">
        <v>16</v>
      </c>
      <c r="E391">
        <v>39</v>
      </c>
      <c r="F391" s="3" t="s">
        <v>24</v>
      </c>
      <c r="G391">
        <v>2</v>
      </c>
      <c r="H391" s="4">
        <v>50</v>
      </c>
      <c r="I391" s="4">
        <v>100</v>
      </c>
      <c r="J391" t="s">
        <v>273</v>
      </c>
      <c r="K391" t="str">
        <f>IFERROR(VLOOKUP(F391&amp;"|"&amp;H391,Feature_Mappings!$A$2:$C$16,2,FALSE()),"")</f>
        <v>Bluetooth Speaker</v>
      </c>
      <c r="L391" t="str">
        <f>IFERROR(VLOOKUP(F391&amp;"|"&amp;H391,Feature_Mappings!$A$2:$C$16,3,FALSE()),"")</f>
        <v>SoundSphere Supply</v>
      </c>
      <c r="M391" t="str">
        <f>IFERROR(VLOOKUP(J391,Feature_Mappings!$D$2:$E$5,2,FALSE()),"")</f>
        <v>Liam Carter</v>
      </c>
      <c r="N391" t="s">
        <v>274</v>
      </c>
      <c r="O391" t="str">
        <f>IFERROR(INDEX(Store_Manager!$A$2:$A$5,MATCH(M391,Store_Manager!$B$2:$B$5,0)),"")</f>
        <v>MGR002</v>
      </c>
    </row>
    <row r="392" spans="1:15" ht="15.75" customHeight="1">
      <c r="A392">
        <v>391</v>
      </c>
      <c r="B392" s="2">
        <v>44931</v>
      </c>
      <c r="C392" t="s">
        <v>414</v>
      </c>
      <c r="D392" t="s">
        <v>16</v>
      </c>
      <c r="E392">
        <v>19</v>
      </c>
      <c r="F392" s="3" t="s">
        <v>17</v>
      </c>
      <c r="G392">
        <v>2</v>
      </c>
      <c r="H392" s="4">
        <v>25</v>
      </c>
      <c r="I392" s="4">
        <v>50</v>
      </c>
      <c r="J392" t="s">
        <v>273</v>
      </c>
      <c r="K392" t="str">
        <f>IFERROR(VLOOKUP(F392&amp;"|"&amp;H392,Feature_Mappings!$A$2:$C$16,2,FALSE()),"")</f>
        <v>Lip Balm</v>
      </c>
      <c r="L392" t="str">
        <f>IFERROR(VLOOKUP(F392&amp;"|"&amp;H392,Feature_Mappings!$A$2:$C$16,3,FALSE()),"")</f>
        <v>GlowSource Cosmetics</v>
      </c>
      <c r="M392" t="str">
        <f>IFERROR(VLOOKUP(J392,Feature_Mappings!$D$2:$E$5,2,FALSE()),"")</f>
        <v>Liam Carter</v>
      </c>
      <c r="N392" t="s">
        <v>274</v>
      </c>
      <c r="O392" t="str">
        <f>IFERROR(INDEX(Store_Manager!$A$2:$A$5,MATCH(M392,Store_Manager!$B$2:$B$5,0)),"")</f>
        <v>MGR002</v>
      </c>
    </row>
    <row r="393" spans="1:15" ht="15.75" customHeight="1">
      <c r="A393">
        <v>392</v>
      </c>
      <c r="B393" s="2">
        <v>45268</v>
      </c>
      <c r="C393" t="s">
        <v>415</v>
      </c>
      <c r="D393" t="s">
        <v>16</v>
      </c>
      <c r="E393">
        <v>27</v>
      </c>
      <c r="F393" s="3" t="s">
        <v>22</v>
      </c>
      <c r="G393">
        <v>2</v>
      </c>
      <c r="H393" s="4">
        <v>300</v>
      </c>
      <c r="I393" s="4">
        <v>600</v>
      </c>
      <c r="J393" t="s">
        <v>273</v>
      </c>
      <c r="K393" t="str">
        <f>IFERROR(VLOOKUP(F393&amp;"|"&amp;H393,Feature_Mappings!$A$2:$C$16,2,FALSE()),"")</f>
        <v>Leather Jacket</v>
      </c>
      <c r="L393" t="str">
        <f>IFERROR(VLOOKUP(F393&amp;"|"&amp;H393,Feature_Mappings!$A$2:$C$16,3,FALSE()),"")</f>
        <v>Metro Style Manufacturing</v>
      </c>
      <c r="M393" t="str">
        <f>IFERROR(VLOOKUP(J393,Feature_Mappings!$D$2:$E$5,2,FALSE()),"")</f>
        <v>Liam Carter</v>
      </c>
      <c r="N393" t="s">
        <v>274</v>
      </c>
      <c r="O393" t="str">
        <f>IFERROR(INDEX(Store_Manager!$A$2:$A$5,MATCH(M393,Store_Manager!$B$2:$B$5,0)),"")</f>
        <v>MGR002</v>
      </c>
    </row>
    <row r="394" spans="1:15" ht="15.75" customHeight="1">
      <c r="A394">
        <v>393</v>
      </c>
      <c r="B394" s="2">
        <v>45210</v>
      </c>
      <c r="C394" t="s">
        <v>416</v>
      </c>
      <c r="D394" t="s">
        <v>21</v>
      </c>
      <c r="E394">
        <v>22</v>
      </c>
      <c r="F394" s="3" t="s">
        <v>17</v>
      </c>
      <c r="G394">
        <v>2</v>
      </c>
      <c r="H394" s="4">
        <v>500</v>
      </c>
      <c r="I394" s="4">
        <v>1000</v>
      </c>
      <c r="J394" t="s">
        <v>273</v>
      </c>
      <c r="K394" t="str">
        <f>IFERROR(VLOOKUP(F394&amp;"|"&amp;H394,Feature_Mappings!$A$2:$C$16,2,FALSE()),"")</f>
        <v>LED Beauty Device</v>
      </c>
      <c r="L394" t="str">
        <f>IFERROR(VLOOKUP(F394&amp;"|"&amp;H394,Feature_Mappings!$A$2:$C$16,3,FALSE()),"")</f>
        <v>BeautyTech Pro</v>
      </c>
      <c r="M394" t="str">
        <f>IFERROR(VLOOKUP(J394,Feature_Mappings!$D$2:$E$5,2,FALSE()),"")</f>
        <v>Liam Carter</v>
      </c>
      <c r="N394" t="s">
        <v>274</v>
      </c>
      <c r="O394" t="str">
        <f>IFERROR(INDEX(Store_Manager!$A$2:$A$5,MATCH(M394,Store_Manager!$B$2:$B$5,0)),"")</f>
        <v>MGR002</v>
      </c>
    </row>
    <row r="395" spans="1:15" ht="15.75" customHeight="1">
      <c r="A395">
        <v>394</v>
      </c>
      <c r="B395" s="2">
        <v>45080</v>
      </c>
      <c r="C395" t="s">
        <v>417</v>
      </c>
      <c r="D395" t="s">
        <v>21</v>
      </c>
      <c r="E395">
        <v>27</v>
      </c>
      <c r="F395" s="3" t="s">
        <v>22</v>
      </c>
      <c r="G395">
        <v>1</v>
      </c>
      <c r="H395" s="4">
        <v>500</v>
      </c>
      <c r="I395" s="4">
        <v>500</v>
      </c>
      <c r="J395" t="s">
        <v>273</v>
      </c>
      <c r="K395" t="str">
        <f>IFERROR(VLOOKUP(F395&amp;"|"&amp;H395,Feature_Mappings!$A$2:$C$16,2,FALSE()),"")</f>
        <v>Designer Coat</v>
      </c>
      <c r="L395" t="str">
        <f>IFERROR(VLOOKUP(F395&amp;"|"&amp;H395,Feature_Mappings!$A$2:$C$16,3,FALSE()),"")</f>
        <v>Prestige Fashion House</v>
      </c>
      <c r="M395" t="str">
        <f>IFERROR(VLOOKUP(J395,Feature_Mappings!$D$2:$E$5,2,FALSE()),"")</f>
        <v>Liam Carter</v>
      </c>
      <c r="N395" t="s">
        <v>274</v>
      </c>
      <c r="O395" t="str">
        <f>IFERROR(INDEX(Store_Manager!$A$2:$A$5,MATCH(M395,Store_Manager!$B$2:$B$5,0)),"")</f>
        <v>MGR002</v>
      </c>
    </row>
    <row r="396" spans="1:15" ht="15.75" customHeight="1">
      <c r="A396">
        <v>395</v>
      </c>
      <c r="B396" s="2">
        <v>45266</v>
      </c>
      <c r="C396" t="s">
        <v>418</v>
      </c>
      <c r="D396" t="s">
        <v>16</v>
      </c>
      <c r="E396">
        <v>50</v>
      </c>
      <c r="F396" s="3" t="s">
        <v>24</v>
      </c>
      <c r="G396">
        <v>2</v>
      </c>
      <c r="H396" s="4">
        <v>500</v>
      </c>
      <c r="I396" s="4">
        <v>1000</v>
      </c>
      <c r="J396" t="s">
        <v>273</v>
      </c>
      <c r="K396" t="str">
        <f>IFERROR(VLOOKUP(F396&amp;"|"&amp;H396,Feature_Mappings!$A$2:$C$16,2,FALSE()),"")</f>
        <v>Smartphone</v>
      </c>
      <c r="L396" t="str">
        <f>IFERROR(VLOOKUP(F396&amp;"|"&amp;H396,Feature_Mappings!$A$2:$C$16,3,FALSE()),"")</f>
        <v>NovaTech Wholesale</v>
      </c>
      <c r="M396" t="str">
        <f>IFERROR(VLOOKUP(J396,Feature_Mappings!$D$2:$E$5,2,FALSE()),"")</f>
        <v>Liam Carter</v>
      </c>
      <c r="N396" t="s">
        <v>274</v>
      </c>
      <c r="O396" t="str">
        <f>IFERROR(INDEX(Store_Manager!$A$2:$A$5,MATCH(M396,Store_Manager!$B$2:$B$5,0)),"")</f>
        <v>MGR002</v>
      </c>
    </row>
    <row r="397" spans="1:15" ht="15.75" customHeight="1">
      <c r="A397">
        <v>396</v>
      </c>
      <c r="B397" s="2">
        <v>44980</v>
      </c>
      <c r="C397" t="s">
        <v>419</v>
      </c>
      <c r="D397" t="s">
        <v>21</v>
      </c>
      <c r="E397">
        <v>55</v>
      </c>
      <c r="F397" s="3" t="s">
        <v>17</v>
      </c>
      <c r="G397">
        <v>1</v>
      </c>
      <c r="H397" s="4">
        <v>30</v>
      </c>
      <c r="I397" s="4">
        <v>30</v>
      </c>
      <c r="J397" t="s">
        <v>273</v>
      </c>
      <c r="K397" t="str">
        <f>IFERROR(VLOOKUP(F397&amp;"|"&amp;H397,Feature_Mappings!$A$2:$C$16,2,FALSE()),"")</f>
        <v>Facial Cleanser</v>
      </c>
      <c r="L397" t="str">
        <f>IFERROR(VLOOKUP(F397&amp;"|"&amp;H397,Feature_Mappings!$A$2:$C$16,3,FALSE()),"")</f>
        <v>PureDerma Supplies</v>
      </c>
      <c r="M397" t="str">
        <f>IFERROR(VLOOKUP(J397,Feature_Mappings!$D$2:$E$5,2,FALSE()),"")</f>
        <v>Liam Carter</v>
      </c>
      <c r="N397" t="s">
        <v>274</v>
      </c>
      <c r="O397" t="str">
        <f>IFERROR(INDEX(Store_Manager!$A$2:$A$5,MATCH(M397,Store_Manager!$B$2:$B$5,0)),"")</f>
        <v>MGR002</v>
      </c>
    </row>
    <row r="398" spans="1:15" ht="15.75" customHeight="1">
      <c r="A398">
        <v>397</v>
      </c>
      <c r="B398" s="2">
        <v>44995</v>
      </c>
      <c r="C398" t="s">
        <v>420</v>
      </c>
      <c r="D398" t="s">
        <v>21</v>
      </c>
      <c r="E398">
        <v>30</v>
      </c>
      <c r="F398" s="3" t="s">
        <v>17</v>
      </c>
      <c r="G398">
        <v>1</v>
      </c>
      <c r="H398" s="4">
        <v>25</v>
      </c>
      <c r="I398" s="4">
        <v>25</v>
      </c>
      <c r="J398" t="s">
        <v>273</v>
      </c>
      <c r="K398" t="str">
        <f>IFERROR(VLOOKUP(F398&amp;"|"&amp;H398,Feature_Mappings!$A$2:$C$16,2,FALSE()),"")</f>
        <v>Lip Balm</v>
      </c>
      <c r="L398" t="str">
        <f>IFERROR(VLOOKUP(F398&amp;"|"&amp;H398,Feature_Mappings!$A$2:$C$16,3,FALSE()),"")</f>
        <v>GlowSource Cosmetics</v>
      </c>
      <c r="M398" t="str">
        <f>IFERROR(VLOOKUP(J398,Feature_Mappings!$D$2:$E$5,2,FALSE()),"")</f>
        <v>Liam Carter</v>
      </c>
      <c r="N398" t="s">
        <v>274</v>
      </c>
      <c r="O398" t="str">
        <f>IFERROR(INDEX(Store_Manager!$A$2:$A$5,MATCH(M398,Store_Manager!$B$2:$B$5,0)),"")</f>
        <v>MGR002</v>
      </c>
    </row>
    <row r="399" spans="1:15" ht="15.75" customHeight="1">
      <c r="A399">
        <v>398</v>
      </c>
      <c r="B399" s="2">
        <v>45062</v>
      </c>
      <c r="C399" t="s">
        <v>421</v>
      </c>
      <c r="D399" t="s">
        <v>21</v>
      </c>
      <c r="E399">
        <v>48</v>
      </c>
      <c r="F399" s="3" t="s">
        <v>22</v>
      </c>
      <c r="G399">
        <v>2</v>
      </c>
      <c r="H399" s="4">
        <v>300</v>
      </c>
      <c r="I399" s="4">
        <v>600</v>
      </c>
      <c r="J399" t="s">
        <v>273</v>
      </c>
      <c r="K399" t="str">
        <f>IFERROR(VLOOKUP(F399&amp;"|"&amp;H399,Feature_Mappings!$A$2:$C$16,2,FALSE()),"")</f>
        <v>Leather Jacket</v>
      </c>
      <c r="L399" t="str">
        <f>IFERROR(VLOOKUP(F399&amp;"|"&amp;H399,Feature_Mappings!$A$2:$C$16,3,FALSE()),"")</f>
        <v>Metro Style Manufacturing</v>
      </c>
      <c r="M399" t="str">
        <f>IFERROR(VLOOKUP(J399,Feature_Mappings!$D$2:$E$5,2,FALSE()),"")</f>
        <v>Liam Carter</v>
      </c>
      <c r="N399" t="s">
        <v>274</v>
      </c>
      <c r="O399" t="str">
        <f>IFERROR(INDEX(Store_Manager!$A$2:$A$5,MATCH(M399,Store_Manager!$B$2:$B$5,0)),"")</f>
        <v>MGR002</v>
      </c>
    </row>
    <row r="400" spans="1:15" ht="15.75" customHeight="1">
      <c r="A400">
        <v>399</v>
      </c>
      <c r="B400" s="2">
        <v>44986</v>
      </c>
      <c r="C400" t="s">
        <v>422</v>
      </c>
      <c r="D400" t="s">
        <v>21</v>
      </c>
      <c r="E400">
        <v>64</v>
      </c>
      <c r="F400" s="3" t="s">
        <v>17</v>
      </c>
      <c r="G400">
        <v>2</v>
      </c>
      <c r="H400" s="4">
        <v>30</v>
      </c>
      <c r="I400" s="4">
        <v>60</v>
      </c>
      <c r="J400" t="s">
        <v>273</v>
      </c>
      <c r="K400" t="str">
        <f>IFERROR(VLOOKUP(F400&amp;"|"&amp;H400,Feature_Mappings!$A$2:$C$16,2,FALSE()),"")</f>
        <v>Facial Cleanser</v>
      </c>
      <c r="L400" t="str">
        <f>IFERROR(VLOOKUP(F400&amp;"|"&amp;H400,Feature_Mappings!$A$2:$C$16,3,FALSE()),"")</f>
        <v>PureDerma Supplies</v>
      </c>
      <c r="M400" t="str">
        <f>IFERROR(VLOOKUP(J400,Feature_Mappings!$D$2:$E$5,2,FALSE()),"")</f>
        <v>Liam Carter</v>
      </c>
      <c r="N400" t="s">
        <v>274</v>
      </c>
      <c r="O400" t="str">
        <f>IFERROR(INDEX(Store_Manager!$A$2:$A$5,MATCH(M400,Store_Manager!$B$2:$B$5,0)),"")</f>
        <v>MGR002</v>
      </c>
    </row>
    <row r="401" spans="1:15" ht="15.75" customHeight="1">
      <c r="A401">
        <v>400</v>
      </c>
      <c r="B401" s="2">
        <v>44981</v>
      </c>
      <c r="C401" t="s">
        <v>423</v>
      </c>
      <c r="D401" t="s">
        <v>16</v>
      </c>
      <c r="E401">
        <v>53</v>
      </c>
      <c r="F401" s="3" t="s">
        <v>22</v>
      </c>
      <c r="G401">
        <v>4</v>
      </c>
      <c r="H401" s="4">
        <v>50</v>
      </c>
      <c r="I401" s="4">
        <v>200</v>
      </c>
      <c r="J401" t="s">
        <v>273</v>
      </c>
      <c r="K401" t="str">
        <f>IFERROR(VLOOKUP(F401&amp;"|"&amp;H401,Feature_Mappings!$A$2:$C$16,2,FALSE()),"")</f>
        <v>Denim Jeans</v>
      </c>
      <c r="L401" t="str">
        <f>IFERROR(VLOOKUP(F401&amp;"|"&amp;H401,Feature_Mappings!$A$2:$C$16,3,FALSE()),"")</f>
        <v>BlueFit Garments</v>
      </c>
      <c r="M401" t="str">
        <f>IFERROR(VLOOKUP(J401,Feature_Mappings!$D$2:$E$5,2,FALSE()),"")</f>
        <v>Liam Carter</v>
      </c>
      <c r="N401" t="s">
        <v>274</v>
      </c>
      <c r="O401" t="str">
        <f>IFERROR(INDEX(Store_Manager!$A$2:$A$5,MATCH(M401,Store_Manager!$B$2:$B$5,0)),"")</f>
        <v>MGR002</v>
      </c>
    </row>
    <row r="402" spans="1:15" ht="15.75" customHeight="1">
      <c r="A402">
        <v>401</v>
      </c>
      <c r="B402" s="2">
        <v>45210</v>
      </c>
      <c r="C402" t="s">
        <v>424</v>
      </c>
      <c r="D402" t="s">
        <v>21</v>
      </c>
      <c r="E402">
        <v>62</v>
      </c>
      <c r="F402" s="3" t="s">
        <v>22</v>
      </c>
      <c r="G402">
        <v>1</v>
      </c>
      <c r="H402" s="4">
        <v>300</v>
      </c>
      <c r="I402" s="4">
        <v>300</v>
      </c>
      <c r="J402" t="s">
        <v>273</v>
      </c>
      <c r="K402" t="str">
        <f>IFERROR(VLOOKUP(F402&amp;"|"&amp;H402,Feature_Mappings!$A$2:$C$16,2,FALSE()),"")</f>
        <v>Leather Jacket</v>
      </c>
      <c r="L402" t="str">
        <f>IFERROR(VLOOKUP(F402&amp;"|"&amp;H402,Feature_Mappings!$A$2:$C$16,3,FALSE()),"")</f>
        <v>Metro Style Manufacturing</v>
      </c>
      <c r="M402" t="str">
        <f>IFERROR(VLOOKUP(J402,Feature_Mappings!$D$2:$E$5,2,FALSE()),"")</f>
        <v>Liam Carter</v>
      </c>
      <c r="N402" t="s">
        <v>274</v>
      </c>
      <c r="O402" t="str">
        <f>IFERROR(INDEX(Store_Manager!$A$2:$A$5,MATCH(M402,Store_Manager!$B$2:$B$5,0)),"")</f>
        <v>MGR002</v>
      </c>
    </row>
    <row r="403" spans="1:15" ht="15.75" customHeight="1">
      <c r="A403">
        <v>402</v>
      </c>
      <c r="B403" s="2">
        <v>45006</v>
      </c>
      <c r="C403" t="s">
        <v>425</v>
      </c>
      <c r="D403" t="s">
        <v>21</v>
      </c>
      <c r="E403">
        <v>41</v>
      </c>
      <c r="F403" s="3" t="s">
        <v>22</v>
      </c>
      <c r="G403">
        <v>2</v>
      </c>
      <c r="H403" s="4">
        <v>300</v>
      </c>
      <c r="I403" s="4">
        <v>600</v>
      </c>
      <c r="J403" t="s">
        <v>273</v>
      </c>
      <c r="K403" t="str">
        <f>IFERROR(VLOOKUP(F403&amp;"|"&amp;H403,Feature_Mappings!$A$2:$C$16,2,FALSE()),"")</f>
        <v>Leather Jacket</v>
      </c>
      <c r="L403" t="str">
        <f>IFERROR(VLOOKUP(F403&amp;"|"&amp;H403,Feature_Mappings!$A$2:$C$16,3,FALSE()),"")</f>
        <v>Metro Style Manufacturing</v>
      </c>
      <c r="M403" t="str">
        <f>IFERROR(VLOOKUP(J403,Feature_Mappings!$D$2:$E$5,2,FALSE()),"")</f>
        <v>Liam Carter</v>
      </c>
      <c r="N403" t="s">
        <v>274</v>
      </c>
      <c r="O403" t="str">
        <f>IFERROR(INDEX(Store_Manager!$A$2:$A$5,MATCH(M403,Store_Manager!$B$2:$B$5,0)),"")</f>
        <v>MGR002</v>
      </c>
    </row>
    <row r="404" spans="1:15" ht="15.75" customHeight="1">
      <c r="A404">
        <v>403</v>
      </c>
      <c r="B404" s="2">
        <v>45066</v>
      </c>
      <c r="C404" t="s">
        <v>426</v>
      </c>
      <c r="D404" t="s">
        <v>16</v>
      </c>
      <c r="E404">
        <v>32</v>
      </c>
      <c r="F404" s="3" t="s">
        <v>22</v>
      </c>
      <c r="G404">
        <v>2</v>
      </c>
      <c r="H404" s="4">
        <v>300</v>
      </c>
      <c r="I404" s="4">
        <v>600</v>
      </c>
      <c r="J404" t="s">
        <v>273</v>
      </c>
      <c r="K404" t="str">
        <f>IFERROR(VLOOKUP(F404&amp;"|"&amp;H404,Feature_Mappings!$A$2:$C$16,2,FALSE()),"")</f>
        <v>Leather Jacket</v>
      </c>
      <c r="L404" t="str">
        <f>IFERROR(VLOOKUP(F404&amp;"|"&amp;H404,Feature_Mappings!$A$2:$C$16,3,FALSE()),"")</f>
        <v>Metro Style Manufacturing</v>
      </c>
      <c r="M404" t="str">
        <f>IFERROR(VLOOKUP(J404,Feature_Mappings!$D$2:$E$5,2,FALSE()),"")</f>
        <v>Liam Carter</v>
      </c>
      <c r="N404" t="s">
        <v>274</v>
      </c>
      <c r="O404" t="str">
        <f>IFERROR(INDEX(Store_Manager!$A$2:$A$5,MATCH(M404,Store_Manager!$B$2:$B$5,0)),"")</f>
        <v>MGR002</v>
      </c>
    </row>
    <row r="405" spans="1:15" ht="15.75" customHeight="1">
      <c r="A405">
        <v>404</v>
      </c>
      <c r="B405" s="2">
        <v>45071</v>
      </c>
      <c r="C405" t="s">
        <v>427</v>
      </c>
      <c r="D405" t="s">
        <v>16</v>
      </c>
      <c r="E405">
        <v>46</v>
      </c>
      <c r="F405" s="3" t="s">
        <v>24</v>
      </c>
      <c r="G405">
        <v>2</v>
      </c>
      <c r="H405" s="4">
        <v>500</v>
      </c>
      <c r="I405" s="4">
        <v>1000</v>
      </c>
      <c r="J405" t="s">
        <v>273</v>
      </c>
      <c r="K405" t="str">
        <f>IFERROR(VLOOKUP(F405&amp;"|"&amp;H405,Feature_Mappings!$A$2:$C$16,2,FALSE()),"")</f>
        <v>Smartphone</v>
      </c>
      <c r="L405" t="str">
        <f>IFERROR(VLOOKUP(F405&amp;"|"&amp;H405,Feature_Mappings!$A$2:$C$16,3,FALSE()),"")</f>
        <v>NovaTech Wholesale</v>
      </c>
      <c r="M405" t="str">
        <f>IFERROR(VLOOKUP(J405,Feature_Mappings!$D$2:$E$5,2,FALSE()),"")</f>
        <v>Liam Carter</v>
      </c>
      <c r="N405" t="s">
        <v>274</v>
      </c>
      <c r="O405" t="str">
        <f>IFERROR(INDEX(Store_Manager!$A$2:$A$5,MATCH(M405,Store_Manager!$B$2:$B$5,0)),"")</f>
        <v>MGR002</v>
      </c>
    </row>
    <row r="406" spans="1:15" ht="15.75" customHeight="1">
      <c r="A406">
        <v>405</v>
      </c>
      <c r="B406" s="2">
        <v>45236</v>
      </c>
      <c r="C406" t="s">
        <v>428</v>
      </c>
      <c r="D406" t="s">
        <v>21</v>
      </c>
      <c r="E406">
        <v>25</v>
      </c>
      <c r="F406" s="3" t="s">
        <v>22</v>
      </c>
      <c r="G406">
        <v>4</v>
      </c>
      <c r="H406" s="4">
        <v>300</v>
      </c>
      <c r="I406" s="4">
        <v>1200</v>
      </c>
      <c r="J406" t="s">
        <v>273</v>
      </c>
      <c r="K406" t="str">
        <f>IFERROR(VLOOKUP(F406&amp;"|"&amp;H406,Feature_Mappings!$A$2:$C$16,2,FALSE()),"")</f>
        <v>Leather Jacket</v>
      </c>
      <c r="L406" t="str">
        <f>IFERROR(VLOOKUP(F406&amp;"|"&amp;H406,Feature_Mappings!$A$2:$C$16,3,FALSE()),"")</f>
        <v>Metro Style Manufacturing</v>
      </c>
      <c r="M406" t="str">
        <f>IFERROR(VLOOKUP(J406,Feature_Mappings!$D$2:$E$5,2,FALSE()),"")</f>
        <v>Liam Carter</v>
      </c>
      <c r="N406" t="s">
        <v>274</v>
      </c>
      <c r="O406" t="str">
        <f>IFERROR(INDEX(Store_Manager!$A$2:$A$5,MATCH(M406,Store_Manager!$B$2:$B$5,0)),"")</f>
        <v>MGR002</v>
      </c>
    </row>
    <row r="407" spans="1:15" ht="15.75" customHeight="1">
      <c r="A407">
        <v>406</v>
      </c>
      <c r="B407" s="2">
        <v>45034</v>
      </c>
      <c r="C407" t="s">
        <v>429</v>
      </c>
      <c r="D407" t="s">
        <v>21</v>
      </c>
      <c r="E407">
        <v>22</v>
      </c>
      <c r="F407" s="3" t="s">
        <v>17</v>
      </c>
      <c r="G407">
        <v>4</v>
      </c>
      <c r="H407" s="4">
        <v>25</v>
      </c>
      <c r="I407" s="4">
        <v>100</v>
      </c>
      <c r="J407" t="s">
        <v>273</v>
      </c>
      <c r="K407" t="str">
        <f>IFERROR(VLOOKUP(F407&amp;"|"&amp;H407,Feature_Mappings!$A$2:$C$16,2,FALSE()),"")</f>
        <v>Lip Balm</v>
      </c>
      <c r="L407" t="str">
        <f>IFERROR(VLOOKUP(F407&amp;"|"&amp;H407,Feature_Mappings!$A$2:$C$16,3,FALSE()),"")</f>
        <v>GlowSource Cosmetics</v>
      </c>
      <c r="M407" t="str">
        <f>IFERROR(VLOOKUP(J407,Feature_Mappings!$D$2:$E$5,2,FALSE()),"")</f>
        <v>Liam Carter</v>
      </c>
      <c r="N407" t="s">
        <v>274</v>
      </c>
      <c r="O407" t="str">
        <f>IFERROR(INDEX(Store_Manager!$A$2:$A$5,MATCH(M407,Store_Manager!$B$2:$B$5,0)),"")</f>
        <v>MGR002</v>
      </c>
    </row>
    <row r="408" spans="1:15" ht="15.75" customHeight="1">
      <c r="A408">
        <v>407</v>
      </c>
      <c r="B408" s="2">
        <v>45102</v>
      </c>
      <c r="C408" t="s">
        <v>430</v>
      </c>
      <c r="D408" t="s">
        <v>21</v>
      </c>
      <c r="E408">
        <v>46</v>
      </c>
      <c r="F408" s="3" t="s">
        <v>24</v>
      </c>
      <c r="G408">
        <v>3</v>
      </c>
      <c r="H408" s="4">
        <v>300</v>
      </c>
      <c r="I408" s="4">
        <v>900</v>
      </c>
      <c r="J408" t="s">
        <v>273</v>
      </c>
      <c r="K408" t="str">
        <f>IFERROR(VLOOKUP(F408&amp;"|"&amp;H408,Feature_Mappings!$A$2:$C$16,2,FALSE()),"")</f>
        <v>Tablet</v>
      </c>
      <c r="L408" t="str">
        <f>IFERROR(VLOOKUP(F408&amp;"|"&amp;H408,Feature_Mappings!$A$2:$C$16,3,FALSE()),"")</f>
        <v>NextGen Devices</v>
      </c>
      <c r="M408" t="str">
        <f>IFERROR(VLOOKUP(J408,Feature_Mappings!$D$2:$E$5,2,FALSE()),"")</f>
        <v>Liam Carter</v>
      </c>
      <c r="N408" t="s">
        <v>274</v>
      </c>
      <c r="O408" t="str">
        <f>IFERROR(INDEX(Store_Manager!$A$2:$A$5,MATCH(M408,Store_Manager!$B$2:$B$5,0)),"")</f>
        <v>MGR002</v>
      </c>
    </row>
    <row r="409" spans="1:15" ht="15.75" customHeight="1">
      <c r="A409">
        <v>408</v>
      </c>
      <c r="B409" s="2">
        <v>45031</v>
      </c>
      <c r="C409" t="s">
        <v>431</v>
      </c>
      <c r="D409" t="s">
        <v>21</v>
      </c>
      <c r="E409">
        <v>64</v>
      </c>
      <c r="F409" s="3" t="s">
        <v>17</v>
      </c>
      <c r="G409">
        <v>1</v>
      </c>
      <c r="H409" s="4">
        <v>500</v>
      </c>
      <c r="I409" s="4">
        <v>500</v>
      </c>
      <c r="J409" t="s">
        <v>273</v>
      </c>
      <c r="K409" t="str">
        <f>IFERROR(VLOOKUP(F409&amp;"|"&amp;H409,Feature_Mappings!$A$2:$C$16,2,FALSE()),"")</f>
        <v>LED Beauty Device</v>
      </c>
      <c r="L409" t="str">
        <f>IFERROR(VLOOKUP(F409&amp;"|"&amp;H409,Feature_Mappings!$A$2:$C$16,3,FALSE()),"")</f>
        <v>BeautyTech Pro</v>
      </c>
      <c r="M409" t="str">
        <f>IFERROR(VLOOKUP(J409,Feature_Mappings!$D$2:$E$5,2,FALSE()),"")</f>
        <v>Liam Carter</v>
      </c>
      <c r="N409" t="s">
        <v>274</v>
      </c>
      <c r="O409" t="str">
        <f>IFERROR(INDEX(Store_Manager!$A$2:$A$5,MATCH(M409,Store_Manager!$B$2:$B$5,0)),"")</f>
        <v>MGR002</v>
      </c>
    </row>
    <row r="410" spans="1:15" ht="15.75" customHeight="1">
      <c r="A410">
        <v>409</v>
      </c>
      <c r="B410" s="2">
        <v>45278</v>
      </c>
      <c r="C410" t="s">
        <v>432</v>
      </c>
      <c r="D410" t="s">
        <v>21</v>
      </c>
      <c r="E410">
        <v>21</v>
      </c>
      <c r="F410" s="3" t="s">
        <v>24</v>
      </c>
      <c r="G410">
        <v>3</v>
      </c>
      <c r="H410" s="4">
        <v>300</v>
      </c>
      <c r="I410" s="4">
        <v>900</v>
      </c>
      <c r="J410" t="s">
        <v>273</v>
      </c>
      <c r="K410" t="str">
        <f>IFERROR(VLOOKUP(F410&amp;"|"&amp;H410,Feature_Mappings!$A$2:$C$16,2,FALSE()),"")</f>
        <v>Tablet</v>
      </c>
      <c r="L410" t="str">
        <f>IFERROR(VLOOKUP(F410&amp;"|"&amp;H410,Feature_Mappings!$A$2:$C$16,3,FALSE()),"")</f>
        <v>NextGen Devices</v>
      </c>
      <c r="M410" t="str">
        <f>IFERROR(VLOOKUP(J410,Feature_Mappings!$D$2:$E$5,2,FALSE()),"")</f>
        <v>Liam Carter</v>
      </c>
      <c r="N410" t="s">
        <v>274</v>
      </c>
      <c r="O410" t="str">
        <f>IFERROR(INDEX(Store_Manager!$A$2:$A$5,MATCH(M410,Store_Manager!$B$2:$B$5,0)),"")</f>
        <v>MGR002</v>
      </c>
    </row>
    <row r="411" spans="1:15" ht="15.75" customHeight="1">
      <c r="A411">
        <v>410</v>
      </c>
      <c r="B411" s="2">
        <v>45251</v>
      </c>
      <c r="C411" t="s">
        <v>433</v>
      </c>
      <c r="D411" t="s">
        <v>21</v>
      </c>
      <c r="E411">
        <v>29</v>
      </c>
      <c r="F411" s="3" t="s">
        <v>22</v>
      </c>
      <c r="G411">
        <v>2</v>
      </c>
      <c r="H411" s="4">
        <v>50</v>
      </c>
      <c r="I411" s="4">
        <v>100</v>
      </c>
      <c r="J411" t="s">
        <v>273</v>
      </c>
      <c r="K411" t="str">
        <f>IFERROR(VLOOKUP(F411&amp;"|"&amp;H411,Feature_Mappings!$A$2:$C$16,2,FALSE()),"")</f>
        <v>Denim Jeans</v>
      </c>
      <c r="L411" t="str">
        <f>IFERROR(VLOOKUP(F411&amp;"|"&amp;H411,Feature_Mappings!$A$2:$C$16,3,FALSE()),"")</f>
        <v>BlueFit Garments</v>
      </c>
      <c r="M411" t="str">
        <f>IFERROR(VLOOKUP(J411,Feature_Mappings!$D$2:$E$5,2,FALSE()),"")</f>
        <v>Liam Carter</v>
      </c>
      <c r="N411" t="s">
        <v>274</v>
      </c>
      <c r="O411" t="str">
        <f>IFERROR(INDEX(Store_Manager!$A$2:$A$5,MATCH(M411,Store_Manager!$B$2:$B$5,0)),"")</f>
        <v>MGR002</v>
      </c>
    </row>
    <row r="412" spans="1:15" ht="15.75" customHeight="1">
      <c r="A412">
        <v>411</v>
      </c>
      <c r="B412" s="2">
        <v>45062</v>
      </c>
      <c r="C412" t="s">
        <v>434</v>
      </c>
      <c r="D412" t="s">
        <v>16</v>
      </c>
      <c r="E412">
        <v>62</v>
      </c>
      <c r="F412" s="3" t="s">
        <v>24</v>
      </c>
      <c r="G412">
        <v>4</v>
      </c>
      <c r="H412" s="4">
        <v>50</v>
      </c>
      <c r="I412" s="4">
        <v>200</v>
      </c>
      <c r="J412" t="s">
        <v>273</v>
      </c>
      <c r="K412" t="str">
        <f>IFERROR(VLOOKUP(F412&amp;"|"&amp;H412,Feature_Mappings!$A$2:$C$16,2,FALSE()),"")</f>
        <v>Bluetooth Speaker</v>
      </c>
      <c r="L412" t="str">
        <f>IFERROR(VLOOKUP(F412&amp;"|"&amp;H412,Feature_Mappings!$A$2:$C$16,3,FALSE()),"")</f>
        <v>SoundSphere Supply</v>
      </c>
      <c r="M412" t="str">
        <f>IFERROR(VLOOKUP(J412,Feature_Mappings!$D$2:$E$5,2,FALSE()),"")</f>
        <v>Liam Carter</v>
      </c>
      <c r="N412" t="s">
        <v>274</v>
      </c>
      <c r="O412" t="str">
        <f>IFERROR(INDEX(Store_Manager!$A$2:$A$5,MATCH(M412,Store_Manager!$B$2:$B$5,0)),"")</f>
        <v>MGR002</v>
      </c>
    </row>
    <row r="413" spans="1:15" ht="15.75" customHeight="1">
      <c r="A413">
        <v>412</v>
      </c>
      <c r="B413" s="2">
        <v>45185</v>
      </c>
      <c r="C413" t="s">
        <v>435</v>
      </c>
      <c r="D413" t="s">
        <v>21</v>
      </c>
      <c r="E413">
        <v>19</v>
      </c>
      <c r="F413" s="3" t="s">
        <v>24</v>
      </c>
      <c r="G413">
        <v>4</v>
      </c>
      <c r="H413" s="4">
        <v>500</v>
      </c>
      <c r="I413" s="4">
        <v>2000</v>
      </c>
      <c r="J413" t="s">
        <v>273</v>
      </c>
      <c r="K413" t="str">
        <f>IFERROR(VLOOKUP(F413&amp;"|"&amp;H413,Feature_Mappings!$A$2:$C$16,2,FALSE()),"")</f>
        <v>Smartphone</v>
      </c>
      <c r="L413" t="str">
        <f>IFERROR(VLOOKUP(F413&amp;"|"&amp;H413,Feature_Mappings!$A$2:$C$16,3,FALSE()),"")</f>
        <v>NovaTech Wholesale</v>
      </c>
      <c r="M413" t="str">
        <f>IFERROR(VLOOKUP(J413,Feature_Mappings!$D$2:$E$5,2,FALSE()),"")</f>
        <v>Liam Carter</v>
      </c>
      <c r="N413" t="s">
        <v>274</v>
      </c>
      <c r="O413" t="str">
        <f>IFERROR(INDEX(Store_Manager!$A$2:$A$5,MATCH(M413,Store_Manager!$B$2:$B$5,0)),"")</f>
        <v>MGR002</v>
      </c>
    </row>
    <row r="414" spans="1:15" ht="15.75" customHeight="1">
      <c r="A414">
        <v>413</v>
      </c>
      <c r="B414" s="2">
        <v>45177</v>
      </c>
      <c r="C414" t="s">
        <v>436</v>
      </c>
      <c r="D414" t="s">
        <v>21</v>
      </c>
      <c r="E414">
        <v>44</v>
      </c>
      <c r="F414" s="3" t="s">
        <v>17</v>
      </c>
      <c r="G414">
        <v>3</v>
      </c>
      <c r="H414" s="4">
        <v>25</v>
      </c>
      <c r="I414" s="4">
        <v>75</v>
      </c>
      <c r="J414" t="s">
        <v>273</v>
      </c>
      <c r="K414" t="str">
        <f>IFERROR(VLOOKUP(F414&amp;"|"&amp;H414,Feature_Mappings!$A$2:$C$16,2,FALSE()),"")</f>
        <v>Lip Balm</v>
      </c>
      <c r="L414" t="str">
        <f>IFERROR(VLOOKUP(F414&amp;"|"&amp;H414,Feature_Mappings!$A$2:$C$16,3,FALSE()),"")</f>
        <v>GlowSource Cosmetics</v>
      </c>
      <c r="M414" t="str">
        <f>IFERROR(VLOOKUP(J414,Feature_Mappings!$D$2:$E$5,2,FALSE()),"")</f>
        <v>Liam Carter</v>
      </c>
      <c r="N414" t="s">
        <v>274</v>
      </c>
      <c r="O414" t="str">
        <f>IFERROR(INDEX(Store_Manager!$A$2:$A$5,MATCH(M414,Store_Manager!$B$2:$B$5,0)),"")</f>
        <v>MGR002</v>
      </c>
    </row>
    <row r="415" spans="1:15" ht="15.75" customHeight="1">
      <c r="A415">
        <v>414</v>
      </c>
      <c r="B415" s="2">
        <v>45055</v>
      </c>
      <c r="C415" t="s">
        <v>437</v>
      </c>
      <c r="D415" t="s">
        <v>16</v>
      </c>
      <c r="E415">
        <v>48</v>
      </c>
      <c r="F415" s="3" t="s">
        <v>17</v>
      </c>
      <c r="G415">
        <v>4</v>
      </c>
      <c r="H415" s="4">
        <v>25</v>
      </c>
      <c r="I415" s="4">
        <v>100</v>
      </c>
      <c r="J415" t="s">
        <v>273</v>
      </c>
      <c r="K415" t="str">
        <f>IFERROR(VLOOKUP(F415&amp;"|"&amp;H415,Feature_Mappings!$A$2:$C$16,2,FALSE()),"")</f>
        <v>Lip Balm</v>
      </c>
      <c r="L415" t="str">
        <f>IFERROR(VLOOKUP(F415&amp;"|"&amp;H415,Feature_Mappings!$A$2:$C$16,3,FALSE()),"")</f>
        <v>GlowSource Cosmetics</v>
      </c>
      <c r="M415" t="str">
        <f>IFERROR(VLOOKUP(J415,Feature_Mappings!$D$2:$E$5,2,FALSE()),"")</f>
        <v>Liam Carter</v>
      </c>
      <c r="N415" t="s">
        <v>274</v>
      </c>
      <c r="O415" t="str">
        <f>IFERROR(INDEX(Store_Manager!$A$2:$A$5,MATCH(M415,Store_Manager!$B$2:$B$5,0)),"")</f>
        <v>MGR002</v>
      </c>
    </row>
    <row r="416" spans="1:15" ht="15.75" customHeight="1">
      <c r="A416">
        <v>415</v>
      </c>
      <c r="B416" s="2">
        <v>44953</v>
      </c>
      <c r="C416" t="s">
        <v>438</v>
      </c>
      <c r="D416" t="s">
        <v>16</v>
      </c>
      <c r="E416">
        <v>53</v>
      </c>
      <c r="F416" s="3" t="s">
        <v>22</v>
      </c>
      <c r="G416">
        <v>2</v>
      </c>
      <c r="H416" s="4">
        <v>30</v>
      </c>
      <c r="I416" s="4">
        <v>60</v>
      </c>
      <c r="J416" t="s">
        <v>273</v>
      </c>
      <c r="K416" t="str">
        <f>IFERROR(VLOOKUP(F416&amp;"|"&amp;H416,Feature_Mappings!$A$2:$C$16,2,FALSE()),"")</f>
        <v>Graphic T-Shirt</v>
      </c>
      <c r="L416" t="str">
        <f>IFERROR(VLOOKUP(F416&amp;"|"&amp;H416,Feature_Mappings!$A$2:$C$16,3,FALSE()),"")</f>
        <v>ThreadWorks Apparel</v>
      </c>
      <c r="M416" t="str">
        <f>IFERROR(VLOOKUP(J416,Feature_Mappings!$D$2:$E$5,2,FALSE()),"")</f>
        <v>Liam Carter</v>
      </c>
      <c r="N416" t="s">
        <v>274</v>
      </c>
      <c r="O416" t="str">
        <f>IFERROR(INDEX(Store_Manager!$A$2:$A$5,MATCH(M416,Store_Manager!$B$2:$B$5,0)),"")</f>
        <v>MGR002</v>
      </c>
    </row>
    <row r="417" spans="1:15" ht="15.75" customHeight="1">
      <c r="A417">
        <v>416</v>
      </c>
      <c r="B417" s="2">
        <v>44974</v>
      </c>
      <c r="C417" t="s">
        <v>439</v>
      </c>
      <c r="D417" t="s">
        <v>16</v>
      </c>
      <c r="E417">
        <v>53</v>
      </c>
      <c r="F417" s="3" t="s">
        <v>24</v>
      </c>
      <c r="G417">
        <v>4</v>
      </c>
      <c r="H417" s="4">
        <v>500</v>
      </c>
      <c r="I417" s="4">
        <v>2000</v>
      </c>
      <c r="J417" t="s">
        <v>273</v>
      </c>
      <c r="K417" t="str">
        <f>IFERROR(VLOOKUP(F417&amp;"|"&amp;H417,Feature_Mappings!$A$2:$C$16,2,FALSE()),"")</f>
        <v>Smartphone</v>
      </c>
      <c r="L417" t="str">
        <f>IFERROR(VLOOKUP(F417&amp;"|"&amp;H417,Feature_Mappings!$A$2:$C$16,3,FALSE()),"")</f>
        <v>NovaTech Wholesale</v>
      </c>
      <c r="M417" t="str">
        <f>IFERROR(VLOOKUP(J417,Feature_Mappings!$D$2:$E$5,2,FALSE()),"")</f>
        <v>Liam Carter</v>
      </c>
      <c r="N417" t="s">
        <v>274</v>
      </c>
      <c r="O417" t="str">
        <f>IFERROR(INDEX(Store_Manager!$A$2:$A$5,MATCH(M417,Store_Manager!$B$2:$B$5,0)),"")</f>
        <v>MGR002</v>
      </c>
    </row>
    <row r="418" spans="1:15" ht="15.75" customHeight="1">
      <c r="A418">
        <v>417</v>
      </c>
      <c r="B418" s="2">
        <v>45251</v>
      </c>
      <c r="C418" t="s">
        <v>440</v>
      </c>
      <c r="D418" t="s">
        <v>16</v>
      </c>
      <c r="E418">
        <v>43</v>
      </c>
      <c r="F418" s="3" t="s">
        <v>24</v>
      </c>
      <c r="G418">
        <v>3</v>
      </c>
      <c r="H418" s="4">
        <v>300</v>
      </c>
      <c r="I418" s="4">
        <v>900</v>
      </c>
      <c r="J418" t="s">
        <v>273</v>
      </c>
      <c r="K418" t="str">
        <f>IFERROR(VLOOKUP(F418&amp;"|"&amp;H418,Feature_Mappings!$A$2:$C$16,2,FALSE()),"")</f>
        <v>Tablet</v>
      </c>
      <c r="L418" t="str">
        <f>IFERROR(VLOOKUP(F418&amp;"|"&amp;H418,Feature_Mappings!$A$2:$C$16,3,FALSE()),"")</f>
        <v>NextGen Devices</v>
      </c>
      <c r="M418" t="str">
        <f>IFERROR(VLOOKUP(J418,Feature_Mappings!$D$2:$E$5,2,FALSE()),"")</f>
        <v>Liam Carter</v>
      </c>
      <c r="N418" t="s">
        <v>274</v>
      </c>
      <c r="O418" t="str">
        <f>IFERROR(INDEX(Store_Manager!$A$2:$A$5,MATCH(M418,Store_Manager!$B$2:$B$5,0)),"")</f>
        <v>MGR002</v>
      </c>
    </row>
    <row r="419" spans="1:15" ht="15.75" customHeight="1">
      <c r="A419">
        <v>418</v>
      </c>
      <c r="B419" s="2">
        <v>45143</v>
      </c>
      <c r="C419" t="s">
        <v>441</v>
      </c>
      <c r="D419" t="s">
        <v>21</v>
      </c>
      <c r="E419">
        <v>60</v>
      </c>
      <c r="F419" s="3" t="s">
        <v>24</v>
      </c>
      <c r="G419">
        <v>2</v>
      </c>
      <c r="H419" s="4">
        <v>500</v>
      </c>
      <c r="I419" s="4">
        <v>1000</v>
      </c>
      <c r="J419" t="s">
        <v>273</v>
      </c>
      <c r="K419" t="str">
        <f>IFERROR(VLOOKUP(F419&amp;"|"&amp;H419,Feature_Mappings!$A$2:$C$16,2,FALSE()),"")</f>
        <v>Smartphone</v>
      </c>
      <c r="L419" t="str">
        <f>IFERROR(VLOOKUP(F419&amp;"|"&amp;H419,Feature_Mappings!$A$2:$C$16,3,FALSE()),"")</f>
        <v>NovaTech Wholesale</v>
      </c>
      <c r="M419" t="str">
        <f>IFERROR(VLOOKUP(J419,Feature_Mappings!$D$2:$E$5,2,FALSE()),"")</f>
        <v>Liam Carter</v>
      </c>
      <c r="N419" t="s">
        <v>274</v>
      </c>
      <c r="O419" t="str">
        <f>IFERROR(INDEX(Store_Manager!$A$2:$A$5,MATCH(M419,Store_Manager!$B$2:$B$5,0)),"")</f>
        <v>MGR002</v>
      </c>
    </row>
    <row r="420" spans="1:15" ht="15.75" customHeight="1">
      <c r="A420">
        <v>419</v>
      </c>
      <c r="B420" s="2">
        <v>45068</v>
      </c>
      <c r="C420" t="s">
        <v>442</v>
      </c>
      <c r="D420" t="s">
        <v>21</v>
      </c>
      <c r="E420">
        <v>44</v>
      </c>
      <c r="F420" s="3" t="s">
        <v>22</v>
      </c>
      <c r="G420">
        <v>3</v>
      </c>
      <c r="H420" s="4">
        <v>30</v>
      </c>
      <c r="I420" s="4">
        <v>90</v>
      </c>
      <c r="J420" t="s">
        <v>273</v>
      </c>
      <c r="K420" t="str">
        <f>IFERROR(VLOOKUP(F420&amp;"|"&amp;H420,Feature_Mappings!$A$2:$C$16,2,FALSE()),"")</f>
        <v>Graphic T-Shirt</v>
      </c>
      <c r="L420" t="str">
        <f>IFERROR(VLOOKUP(F420&amp;"|"&amp;H420,Feature_Mappings!$A$2:$C$16,3,FALSE()),"")</f>
        <v>ThreadWorks Apparel</v>
      </c>
      <c r="M420" t="str">
        <f>IFERROR(VLOOKUP(J420,Feature_Mappings!$D$2:$E$5,2,FALSE()),"")</f>
        <v>Liam Carter</v>
      </c>
      <c r="N420" t="s">
        <v>274</v>
      </c>
      <c r="O420" t="str">
        <f>IFERROR(INDEX(Store_Manager!$A$2:$A$5,MATCH(M420,Store_Manager!$B$2:$B$5,0)),"")</f>
        <v>MGR002</v>
      </c>
    </row>
    <row r="421" spans="1:15" ht="15.75" customHeight="1">
      <c r="A421">
        <v>420</v>
      </c>
      <c r="B421" s="2">
        <v>44949</v>
      </c>
      <c r="C421" t="s">
        <v>443</v>
      </c>
      <c r="D421" t="s">
        <v>21</v>
      </c>
      <c r="E421">
        <v>22</v>
      </c>
      <c r="F421" s="3" t="s">
        <v>22</v>
      </c>
      <c r="G421">
        <v>4</v>
      </c>
      <c r="H421" s="4">
        <v>500</v>
      </c>
      <c r="I421" s="4">
        <v>2000</v>
      </c>
      <c r="J421" t="s">
        <v>273</v>
      </c>
      <c r="K421" t="str">
        <f>IFERROR(VLOOKUP(F421&amp;"|"&amp;H421,Feature_Mappings!$A$2:$C$16,2,FALSE()),"")</f>
        <v>Designer Coat</v>
      </c>
      <c r="L421" t="str">
        <f>IFERROR(VLOOKUP(F421&amp;"|"&amp;H421,Feature_Mappings!$A$2:$C$16,3,FALSE()),"")</f>
        <v>Prestige Fashion House</v>
      </c>
      <c r="M421" t="str">
        <f>IFERROR(VLOOKUP(J421,Feature_Mappings!$D$2:$E$5,2,FALSE()),"")</f>
        <v>Liam Carter</v>
      </c>
      <c r="N421" t="s">
        <v>274</v>
      </c>
      <c r="O421" t="str">
        <f>IFERROR(INDEX(Store_Manager!$A$2:$A$5,MATCH(M421,Store_Manager!$B$2:$B$5,0)),"")</f>
        <v>MGR002</v>
      </c>
    </row>
    <row r="422" spans="1:15" ht="15.75" customHeight="1">
      <c r="A422">
        <v>421</v>
      </c>
      <c r="B422" s="2">
        <v>44928</v>
      </c>
      <c r="C422" t="s">
        <v>444</v>
      </c>
      <c r="D422" t="s">
        <v>21</v>
      </c>
      <c r="E422">
        <v>37</v>
      </c>
      <c r="F422" s="3" t="s">
        <v>22</v>
      </c>
      <c r="G422">
        <v>3</v>
      </c>
      <c r="H422" s="4">
        <v>500</v>
      </c>
      <c r="I422" s="4">
        <v>1500</v>
      </c>
      <c r="J422" t="s">
        <v>273</v>
      </c>
      <c r="K422" t="str">
        <f>IFERROR(VLOOKUP(F422&amp;"|"&amp;H422,Feature_Mappings!$A$2:$C$16,2,FALSE()),"")</f>
        <v>Designer Coat</v>
      </c>
      <c r="L422" t="str">
        <f>IFERROR(VLOOKUP(F422&amp;"|"&amp;H422,Feature_Mappings!$A$2:$C$16,3,FALSE()),"")</f>
        <v>Prestige Fashion House</v>
      </c>
      <c r="M422" t="str">
        <f>IFERROR(VLOOKUP(J422,Feature_Mappings!$D$2:$E$5,2,FALSE()),"")</f>
        <v>Liam Carter</v>
      </c>
      <c r="N422" t="s">
        <v>274</v>
      </c>
      <c r="O422" t="str">
        <f>IFERROR(INDEX(Store_Manager!$A$2:$A$5,MATCH(M422,Store_Manager!$B$2:$B$5,0)),"")</f>
        <v>MGR002</v>
      </c>
    </row>
    <row r="423" spans="1:15" ht="15.75" customHeight="1">
      <c r="A423">
        <v>422</v>
      </c>
      <c r="B423" s="2">
        <v>45097</v>
      </c>
      <c r="C423" t="s">
        <v>445</v>
      </c>
      <c r="D423" t="s">
        <v>21</v>
      </c>
      <c r="E423">
        <v>28</v>
      </c>
      <c r="F423" s="3" t="s">
        <v>22</v>
      </c>
      <c r="G423">
        <v>3</v>
      </c>
      <c r="H423" s="4">
        <v>30</v>
      </c>
      <c r="I423" s="4">
        <v>90</v>
      </c>
      <c r="J423" t="s">
        <v>273</v>
      </c>
      <c r="K423" t="str">
        <f>IFERROR(VLOOKUP(F423&amp;"|"&amp;H423,Feature_Mappings!$A$2:$C$16,2,FALSE()),"")</f>
        <v>Graphic T-Shirt</v>
      </c>
      <c r="L423" t="str">
        <f>IFERROR(VLOOKUP(F423&amp;"|"&amp;H423,Feature_Mappings!$A$2:$C$16,3,FALSE()),"")</f>
        <v>ThreadWorks Apparel</v>
      </c>
      <c r="M423" t="str">
        <f>IFERROR(VLOOKUP(J423,Feature_Mappings!$D$2:$E$5,2,FALSE()),"")</f>
        <v>Liam Carter</v>
      </c>
      <c r="N423" t="s">
        <v>274</v>
      </c>
      <c r="O423" t="str">
        <f>IFERROR(INDEX(Store_Manager!$A$2:$A$5,MATCH(M423,Store_Manager!$B$2:$B$5,0)),"")</f>
        <v>MGR002</v>
      </c>
    </row>
    <row r="424" spans="1:15" ht="15.75" customHeight="1">
      <c r="A424">
        <v>423</v>
      </c>
      <c r="B424" s="2">
        <v>44993</v>
      </c>
      <c r="C424" t="s">
        <v>446</v>
      </c>
      <c r="D424" t="s">
        <v>21</v>
      </c>
      <c r="E424">
        <v>27</v>
      </c>
      <c r="F424" s="3" t="s">
        <v>22</v>
      </c>
      <c r="G424">
        <v>1</v>
      </c>
      <c r="H424" s="4">
        <v>25</v>
      </c>
      <c r="I424" s="4">
        <v>25</v>
      </c>
      <c r="J424" t="s">
        <v>273</v>
      </c>
      <c r="K424" t="str">
        <f>IFERROR(VLOOKUP(F424&amp;"|"&amp;H424,Feature_Mappings!$A$2:$C$16,2,FALSE()),"")</f>
        <v>Cotton Socks</v>
      </c>
      <c r="L424" t="str">
        <f>IFERROR(VLOOKUP(F424&amp;"|"&amp;H424,Feature_Mappings!$A$2:$C$16,3,FALSE()),"")</f>
        <v>Urban Basics Co.</v>
      </c>
      <c r="M424" t="str">
        <f>IFERROR(VLOOKUP(J424,Feature_Mappings!$D$2:$E$5,2,FALSE()),"")</f>
        <v>Liam Carter</v>
      </c>
      <c r="N424" t="s">
        <v>274</v>
      </c>
      <c r="O424" t="str">
        <f>IFERROR(INDEX(Store_Manager!$A$2:$A$5,MATCH(M424,Store_Manager!$B$2:$B$5,0)),"")</f>
        <v>MGR002</v>
      </c>
    </row>
    <row r="425" spans="1:15" ht="15.75" customHeight="1">
      <c r="A425">
        <v>424</v>
      </c>
      <c r="B425" s="2">
        <v>45253</v>
      </c>
      <c r="C425" t="s">
        <v>447</v>
      </c>
      <c r="D425" t="s">
        <v>16</v>
      </c>
      <c r="E425">
        <v>57</v>
      </c>
      <c r="F425" s="3" t="s">
        <v>17</v>
      </c>
      <c r="G425">
        <v>4</v>
      </c>
      <c r="H425" s="4">
        <v>300</v>
      </c>
      <c r="I425" s="4">
        <v>1200</v>
      </c>
      <c r="J425" t="s">
        <v>273</v>
      </c>
      <c r="K425" t="str">
        <f>IFERROR(VLOOKUP(F425&amp;"|"&amp;H425,Feature_Mappings!$A$2:$C$16,2,FALSE()),"")</f>
        <v>Skincare Gift Set</v>
      </c>
      <c r="L425" t="str">
        <f>IFERROR(VLOOKUP(F425&amp;"|"&amp;H425,Feature_Mappings!$A$2:$C$16,3,FALSE()),"")</f>
        <v>Radiant Beauty Wholesale</v>
      </c>
      <c r="M425" t="str">
        <f>IFERROR(VLOOKUP(J425,Feature_Mappings!$D$2:$E$5,2,FALSE()),"")</f>
        <v>Liam Carter</v>
      </c>
      <c r="N425" t="s">
        <v>274</v>
      </c>
      <c r="O425" t="str">
        <f>IFERROR(INDEX(Store_Manager!$A$2:$A$5,MATCH(M425,Store_Manager!$B$2:$B$5,0)),"")</f>
        <v>MGR002</v>
      </c>
    </row>
    <row r="426" spans="1:15" ht="15.75" customHeight="1">
      <c r="A426">
        <v>425</v>
      </c>
      <c r="B426" s="2">
        <v>45061</v>
      </c>
      <c r="C426" t="s">
        <v>448</v>
      </c>
      <c r="D426" t="s">
        <v>21</v>
      </c>
      <c r="E426">
        <v>55</v>
      </c>
      <c r="F426" s="3" t="s">
        <v>24</v>
      </c>
      <c r="G426">
        <v>4</v>
      </c>
      <c r="H426" s="4">
        <v>30</v>
      </c>
      <c r="I426" s="4">
        <v>120</v>
      </c>
      <c r="J426" t="s">
        <v>273</v>
      </c>
      <c r="K426" t="str">
        <f>IFERROR(VLOOKUP(F426&amp;"|"&amp;H426,Feature_Mappings!$A$2:$C$16,2,FALSE()),"")</f>
        <v>Wireless Mouse</v>
      </c>
      <c r="L426" t="str">
        <f>IFERROR(VLOOKUP(F426&amp;"|"&amp;H426,Feature_Mappings!$A$2:$C$16,3,FALSE()),"")</f>
        <v>ByteWave Distributors</v>
      </c>
      <c r="M426" t="str">
        <f>IFERROR(VLOOKUP(J426,Feature_Mappings!$D$2:$E$5,2,FALSE()),"")</f>
        <v>Liam Carter</v>
      </c>
      <c r="N426" t="s">
        <v>274</v>
      </c>
      <c r="O426" t="str">
        <f>IFERROR(INDEX(Store_Manager!$A$2:$A$5,MATCH(M426,Store_Manager!$B$2:$B$5,0)),"")</f>
        <v>MGR002</v>
      </c>
    </row>
    <row r="427" spans="1:15" ht="15.75" customHeight="1">
      <c r="A427">
        <v>426</v>
      </c>
      <c r="B427" s="2">
        <v>45009</v>
      </c>
      <c r="C427" t="s">
        <v>449</v>
      </c>
      <c r="D427" t="s">
        <v>16</v>
      </c>
      <c r="E427">
        <v>23</v>
      </c>
      <c r="F427" s="3" t="s">
        <v>24</v>
      </c>
      <c r="G427">
        <v>3</v>
      </c>
      <c r="H427" s="4">
        <v>50</v>
      </c>
      <c r="I427" s="4">
        <v>150</v>
      </c>
      <c r="J427" t="s">
        <v>273</v>
      </c>
      <c r="K427" t="str">
        <f>IFERROR(VLOOKUP(F427&amp;"|"&amp;H427,Feature_Mappings!$A$2:$C$16,2,FALSE()),"")</f>
        <v>Bluetooth Speaker</v>
      </c>
      <c r="L427" t="str">
        <f>IFERROR(VLOOKUP(F427&amp;"|"&amp;H427,Feature_Mappings!$A$2:$C$16,3,FALSE()),"")</f>
        <v>SoundSphere Supply</v>
      </c>
      <c r="M427" t="str">
        <f>IFERROR(VLOOKUP(J427,Feature_Mappings!$D$2:$E$5,2,FALSE()),"")</f>
        <v>Liam Carter</v>
      </c>
      <c r="N427" t="s">
        <v>274</v>
      </c>
      <c r="O427" t="str">
        <f>IFERROR(INDEX(Store_Manager!$A$2:$A$5,MATCH(M427,Store_Manager!$B$2:$B$5,0)),"")</f>
        <v>MGR002</v>
      </c>
    </row>
    <row r="428" spans="1:15" ht="15.75" customHeight="1">
      <c r="A428">
        <v>427</v>
      </c>
      <c r="B428" s="2">
        <v>45153</v>
      </c>
      <c r="C428" t="s">
        <v>450</v>
      </c>
      <c r="D428" t="s">
        <v>16</v>
      </c>
      <c r="E428">
        <v>25</v>
      </c>
      <c r="F428" s="3" t="s">
        <v>24</v>
      </c>
      <c r="G428">
        <v>1</v>
      </c>
      <c r="H428" s="4">
        <v>25</v>
      </c>
      <c r="I428" s="4">
        <v>25</v>
      </c>
      <c r="J428" t="s">
        <v>273</v>
      </c>
      <c r="K428" t="str">
        <f>IFERROR(VLOOKUP(F428&amp;"|"&amp;H428,Feature_Mappings!$A$2:$C$16,2,FALSE()),"")</f>
        <v>USB-C Charger</v>
      </c>
      <c r="L428" t="str">
        <f>IFERROR(VLOOKUP(F428&amp;"|"&amp;H428,Feature_Mappings!$A$2:$C$16,3,FALSE()),"")</f>
        <v>VoltEdge Electronics</v>
      </c>
      <c r="M428" t="str">
        <f>IFERROR(VLOOKUP(J428,Feature_Mappings!$D$2:$E$5,2,FALSE()),"")</f>
        <v>Liam Carter</v>
      </c>
      <c r="N428" t="s">
        <v>274</v>
      </c>
      <c r="O428" t="str">
        <f>IFERROR(INDEX(Store_Manager!$A$2:$A$5,MATCH(M428,Store_Manager!$B$2:$B$5,0)),"")</f>
        <v>MGR002</v>
      </c>
    </row>
    <row r="429" spans="1:15" ht="15.75" customHeight="1">
      <c r="A429">
        <v>428</v>
      </c>
      <c r="B429" s="2">
        <v>45209</v>
      </c>
      <c r="C429" t="s">
        <v>451</v>
      </c>
      <c r="D429" t="s">
        <v>21</v>
      </c>
      <c r="E429">
        <v>40</v>
      </c>
      <c r="F429" s="3" t="s">
        <v>24</v>
      </c>
      <c r="G429">
        <v>4</v>
      </c>
      <c r="H429" s="4">
        <v>50</v>
      </c>
      <c r="I429" s="4">
        <v>200</v>
      </c>
      <c r="J429" t="s">
        <v>273</v>
      </c>
      <c r="K429" t="str">
        <f>IFERROR(VLOOKUP(F429&amp;"|"&amp;H429,Feature_Mappings!$A$2:$C$16,2,FALSE()),"")</f>
        <v>Bluetooth Speaker</v>
      </c>
      <c r="L429" t="str">
        <f>IFERROR(VLOOKUP(F429&amp;"|"&amp;H429,Feature_Mappings!$A$2:$C$16,3,FALSE()),"")</f>
        <v>SoundSphere Supply</v>
      </c>
      <c r="M429" t="str">
        <f>IFERROR(VLOOKUP(J429,Feature_Mappings!$D$2:$E$5,2,FALSE()),"")</f>
        <v>Liam Carter</v>
      </c>
      <c r="N429" t="s">
        <v>274</v>
      </c>
      <c r="O429" t="str">
        <f>IFERROR(INDEX(Store_Manager!$A$2:$A$5,MATCH(M429,Store_Manager!$B$2:$B$5,0)),"")</f>
        <v>MGR002</v>
      </c>
    </row>
    <row r="430" spans="1:15" ht="15.75" customHeight="1">
      <c r="A430">
        <v>429</v>
      </c>
      <c r="B430" s="2">
        <v>45288</v>
      </c>
      <c r="C430" t="s">
        <v>452</v>
      </c>
      <c r="D430" t="s">
        <v>16</v>
      </c>
      <c r="E430">
        <v>64</v>
      </c>
      <c r="F430" s="3" t="s">
        <v>24</v>
      </c>
      <c r="G430">
        <v>2</v>
      </c>
      <c r="H430" s="4">
        <v>25</v>
      </c>
      <c r="I430" s="4">
        <v>50</v>
      </c>
      <c r="J430" t="s">
        <v>273</v>
      </c>
      <c r="K430" t="str">
        <f>IFERROR(VLOOKUP(F430&amp;"|"&amp;H430,Feature_Mappings!$A$2:$C$16,2,FALSE()),"")</f>
        <v>USB-C Charger</v>
      </c>
      <c r="L430" t="str">
        <f>IFERROR(VLOOKUP(F430&amp;"|"&amp;H430,Feature_Mappings!$A$2:$C$16,3,FALSE()),"")</f>
        <v>VoltEdge Electronics</v>
      </c>
      <c r="M430" t="str">
        <f>IFERROR(VLOOKUP(J430,Feature_Mappings!$D$2:$E$5,2,FALSE()),"")</f>
        <v>Liam Carter</v>
      </c>
      <c r="N430" t="s">
        <v>274</v>
      </c>
      <c r="O430" t="str">
        <f>IFERROR(INDEX(Store_Manager!$A$2:$A$5,MATCH(M430,Store_Manager!$B$2:$B$5,0)),"")</f>
        <v>MGR002</v>
      </c>
    </row>
    <row r="431" spans="1:15" ht="15.75" customHeight="1">
      <c r="A431">
        <v>430</v>
      </c>
      <c r="B431" s="2">
        <v>45145</v>
      </c>
      <c r="C431" t="s">
        <v>453</v>
      </c>
      <c r="D431" t="s">
        <v>21</v>
      </c>
      <c r="E431">
        <v>43</v>
      </c>
      <c r="F431" s="3" t="s">
        <v>24</v>
      </c>
      <c r="G431">
        <v>3</v>
      </c>
      <c r="H431" s="4">
        <v>300</v>
      </c>
      <c r="I431" s="4">
        <v>900</v>
      </c>
      <c r="J431" t="s">
        <v>273</v>
      </c>
      <c r="K431" t="str">
        <f>IFERROR(VLOOKUP(F431&amp;"|"&amp;H431,Feature_Mappings!$A$2:$C$16,2,FALSE()),"")</f>
        <v>Tablet</v>
      </c>
      <c r="L431" t="str">
        <f>IFERROR(VLOOKUP(F431&amp;"|"&amp;H431,Feature_Mappings!$A$2:$C$16,3,FALSE()),"")</f>
        <v>NextGen Devices</v>
      </c>
      <c r="M431" t="str">
        <f>IFERROR(VLOOKUP(J431,Feature_Mappings!$D$2:$E$5,2,FALSE()),"")</f>
        <v>Liam Carter</v>
      </c>
      <c r="N431" t="s">
        <v>274</v>
      </c>
      <c r="O431" t="str">
        <f>IFERROR(INDEX(Store_Manager!$A$2:$A$5,MATCH(M431,Store_Manager!$B$2:$B$5,0)),"")</f>
        <v>MGR002</v>
      </c>
    </row>
    <row r="432" spans="1:15" ht="15.75" customHeight="1">
      <c r="A432">
        <v>431</v>
      </c>
      <c r="B432" s="2">
        <v>45214</v>
      </c>
      <c r="C432" t="s">
        <v>454</v>
      </c>
      <c r="D432" t="s">
        <v>16</v>
      </c>
      <c r="E432">
        <v>63</v>
      </c>
      <c r="F432" s="3" t="s">
        <v>24</v>
      </c>
      <c r="G432">
        <v>4</v>
      </c>
      <c r="H432" s="4">
        <v>300</v>
      </c>
      <c r="I432" s="4">
        <v>1200</v>
      </c>
      <c r="J432" t="s">
        <v>273</v>
      </c>
      <c r="K432" t="str">
        <f>IFERROR(VLOOKUP(F432&amp;"|"&amp;H432,Feature_Mappings!$A$2:$C$16,2,FALSE()),"")</f>
        <v>Tablet</v>
      </c>
      <c r="L432" t="str">
        <f>IFERROR(VLOOKUP(F432&amp;"|"&amp;H432,Feature_Mappings!$A$2:$C$16,3,FALSE()),"")</f>
        <v>NextGen Devices</v>
      </c>
      <c r="M432" t="str">
        <f>IFERROR(VLOOKUP(J432,Feature_Mappings!$D$2:$E$5,2,FALSE()),"")</f>
        <v>Liam Carter</v>
      </c>
      <c r="N432" t="s">
        <v>274</v>
      </c>
      <c r="O432" t="str">
        <f>IFERROR(INDEX(Store_Manager!$A$2:$A$5,MATCH(M432,Store_Manager!$B$2:$B$5,0)),"")</f>
        <v>MGR002</v>
      </c>
    </row>
    <row r="433" spans="1:15" ht="15.75" customHeight="1">
      <c r="A433">
        <v>432</v>
      </c>
      <c r="B433" s="2">
        <v>44931</v>
      </c>
      <c r="C433" t="s">
        <v>455</v>
      </c>
      <c r="D433" t="s">
        <v>21</v>
      </c>
      <c r="E433">
        <v>60</v>
      </c>
      <c r="F433" s="3" t="s">
        <v>24</v>
      </c>
      <c r="G433">
        <v>2</v>
      </c>
      <c r="H433" s="4">
        <v>500</v>
      </c>
      <c r="I433" s="4">
        <v>1000</v>
      </c>
      <c r="J433" t="s">
        <v>273</v>
      </c>
      <c r="K433" t="str">
        <f>IFERROR(VLOOKUP(F433&amp;"|"&amp;H433,Feature_Mappings!$A$2:$C$16,2,FALSE()),"")</f>
        <v>Smartphone</v>
      </c>
      <c r="L433" t="str">
        <f>IFERROR(VLOOKUP(F433&amp;"|"&amp;H433,Feature_Mappings!$A$2:$C$16,3,FALSE()),"")</f>
        <v>NovaTech Wholesale</v>
      </c>
      <c r="M433" t="str">
        <f>IFERROR(VLOOKUP(J433,Feature_Mappings!$D$2:$E$5,2,FALSE()),"")</f>
        <v>Liam Carter</v>
      </c>
      <c r="N433" t="s">
        <v>274</v>
      </c>
      <c r="O433" t="str">
        <f>IFERROR(INDEX(Store_Manager!$A$2:$A$5,MATCH(M433,Store_Manager!$B$2:$B$5,0)),"")</f>
        <v>MGR002</v>
      </c>
    </row>
    <row r="434" spans="1:15" ht="15.75" customHeight="1">
      <c r="A434">
        <v>433</v>
      </c>
      <c r="B434" s="2">
        <v>44984</v>
      </c>
      <c r="C434" t="s">
        <v>456</v>
      </c>
      <c r="D434" t="s">
        <v>16</v>
      </c>
      <c r="E434">
        <v>29</v>
      </c>
      <c r="F434" s="3" t="s">
        <v>17</v>
      </c>
      <c r="G434">
        <v>4</v>
      </c>
      <c r="H434" s="4">
        <v>50</v>
      </c>
      <c r="I434" s="4">
        <v>200</v>
      </c>
      <c r="J434" t="s">
        <v>273</v>
      </c>
      <c r="K434" t="str">
        <f>IFERROR(VLOOKUP(F434&amp;"|"&amp;H434,Feature_Mappings!$A$2:$C$16,2,FALSE()),"")</f>
        <v>Eau de Parfum</v>
      </c>
      <c r="L434" t="str">
        <f>IFERROR(VLOOKUP(F434&amp;"|"&amp;H434,Feature_Mappings!$A$2:$C$16,3,FALSE()),"")</f>
        <v>Luxe Aroma Labs</v>
      </c>
      <c r="M434" t="str">
        <f>IFERROR(VLOOKUP(J434,Feature_Mappings!$D$2:$E$5,2,FALSE()),"")</f>
        <v>Liam Carter</v>
      </c>
      <c r="N434" t="s">
        <v>274</v>
      </c>
      <c r="O434" t="str">
        <f>IFERROR(INDEX(Store_Manager!$A$2:$A$5,MATCH(M434,Store_Manager!$B$2:$B$5,0)),"")</f>
        <v>MGR002</v>
      </c>
    </row>
    <row r="435" spans="1:15" ht="15.75" customHeight="1">
      <c r="A435">
        <v>434</v>
      </c>
      <c r="B435" s="2">
        <v>44965</v>
      </c>
      <c r="C435" t="s">
        <v>457</v>
      </c>
      <c r="D435" t="s">
        <v>21</v>
      </c>
      <c r="E435">
        <v>43</v>
      </c>
      <c r="F435" s="3" t="s">
        <v>24</v>
      </c>
      <c r="G435">
        <v>2</v>
      </c>
      <c r="H435" s="4">
        <v>25</v>
      </c>
      <c r="I435" s="4">
        <v>50</v>
      </c>
      <c r="J435" t="s">
        <v>273</v>
      </c>
      <c r="K435" t="str">
        <f>IFERROR(VLOOKUP(F435&amp;"|"&amp;H435,Feature_Mappings!$A$2:$C$16,2,FALSE()),"")</f>
        <v>USB-C Charger</v>
      </c>
      <c r="L435" t="str">
        <f>IFERROR(VLOOKUP(F435&amp;"|"&amp;H435,Feature_Mappings!$A$2:$C$16,3,FALSE()),"")</f>
        <v>VoltEdge Electronics</v>
      </c>
      <c r="M435" t="str">
        <f>IFERROR(VLOOKUP(J435,Feature_Mappings!$D$2:$E$5,2,FALSE()),"")</f>
        <v>Liam Carter</v>
      </c>
      <c r="N435" t="s">
        <v>274</v>
      </c>
      <c r="O435" t="str">
        <f>IFERROR(INDEX(Store_Manager!$A$2:$A$5,MATCH(M435,Store_Manager!$B$2:$B$5,0)),"")</f>
        <v>MGR002</v>
      </c>
    </row>
    <row r="436" spans="1:15" ht="15.75" customHeight="1">
      <c r="A436">
        <v>435</v>
      </c>
      <c r="B436" s="2">
        <v>45280</v>
      </c>
      <c r="C436" t="s">
        <v>458</v>
      </c>
      <c r="D436" t="s">
        <v>21</v>
      </c>
      <c r="E436">
        <v>30</v>
      </c>
      <c r="F436" s="3" t="s">
        <v>17</v>
      </c>
      <c r="G436">
        <v>3</v>
      </c>
      <c r="H436" s="4">
        <v>300</v>
      </c>
      <c r="I436" s="4">
        <v>900</v>
      </c>
      <c r="J436" t="s">
        <v>273</v>
      </c>
      <c r="K436" t="str">
        <f>IFERROR(VLOOKUP(F436&amp;"|"&amp;H436,Feature_Mappings!$A$2:$C$16,2,FALSE()),"")</f>
        <v>Skincare Gift Set</v>
      </c>
      <c r="L436" t="str">
        <f>IFERROR(VLOOKUP(F436&amp;"|"&amp;H436,Feature_Mappings!$A$2:$C$16,3,FALSE()),"")</f>
        <v>Radiant Beauty Wholesale</v>
      </c>
      <c r="M436" t="str">
        <f>IFERROR(VLOOKUP(J436,Feature_Mappings!$D$2:$E$5,2,FALSE()),"")</f>
        <v>Liam Carter</v>
      </c>
      <c r="N436" t="s">
        <v>274</v>
      </c>
      <c r="O436" t="str">
        <f>IFERROR(INDEX(Store_Manager!$A$2:$A$5,MATCH(M436,Store_Manager!$B$2:$B$5,0)),"")</f>
        <v>MGR002</v>
      </c>
    </row>
    <row r="437" spans="1:15" ht="15.75" customHeight="1">
      <c r="A437">
        <v>436</v>
      </c>
      <c r="B437" s="2">
        <v>45003</v>
      </c>
      <c r="C437" t="s">
        <v>459</v>
      </c>
      <c r="D437" t="s">
        <v>21</v>
      </c>
      <c r="E437">
        <v>57</v>
      </c>
      <c r="F437" s="3" t="s">
        <v>22</v>
      </c>
      <c r="G437">
        <v>4</v>
      </c>
      <c r="H437" s="4">
        <v>30</v>
      </c>
      <c r="I437" s="4">
        <v>120</v>
      </c>
      <c r="J437" t="s">
        <v>273</v>
      </c>
      <c r="K437" t="str">
        <f>IFERROR(VLOOKUP(F437&amp;"|"&amp;H437,Feature_Mappings!$A$2:$C$16,2,FALSE()),"")</f>
        <v>Graphic T-Shirt</v>
      </c>
      <c r="L437" t="str">
        <f>IFERROR(VLOOKUP(F437&amp;"|"&amp;H437,Feature_Mappings!$A$2:$C$16,3,FALSE()),"")</f>
        <v>ThreadWorks Apparel</v>
      </c>
      <c r="M437" t="str">
        <f>IFERROR(VLOOKUP(J437,Feature_Mappings!$D$2:$E$5,2,FALSE()),"")</f>
        <v>Liam Carter</v>
      </c>
      <c r="N437" t="s">
        <v>274</v>
      </c>
      <c r="O437" t="str">
        <f>IFERROR(INDEX(Store_Manager!$A$2:$A$5,MATCH(M437,Store_Manager!$B$2:$B$5,0)),"")</f>
        <v>MGR002</v>
      </c>
    </row>
    <row r="438" spans="1:15" ht="15.75" customHeight="1">
      <c r="A438">
        <v>437</v>
      </c>
      <c r="B438" s="2">
        <v>45206</v>
      </c>
      <c r="C438" t="s">
        <v>460</v>
      </c>
      <c r="D438" t="s">
        <v>21</v>
      </c>
      <c r="E438">
        <v>35</v>
      </c>
      <c r="F438" s="3" t="s">
        <v>24</v>
      </c>
      <c r="G438">
        <v>4</v>
      </c>
      <c r="H438" s="4">
        <v>300</v>
      </c>
      <c r="I438" s="4">
        <v>1200</v>
      </c>
      <c r="J438" t="s">
        <v>273</v>
      </c>
      <c r="K438" t="str">
        <f>IFERROR(VLOOKUP(F438&amp;"|"&amp;H438,Feature_Mappings!$A$2:$C$16,2,FALSE()),"")</f>
        <v>Tablet</v>
      </c>
      <c r="L438" t="str">
        <f>IFERROR(VLOOKUP(F438&amp;"|"&amp;H438,Feature_Mappings!$A$2:$C$16,3,FALSE()),"")</f>
        <v>NextGen Devices</v>
      </c>
      <c r="M438" t="str">
        <f>IFERROR(VLOOKUP(J438,Feature_Mappings!$D$2:$E$5,2,FALSE()),"")</f>
        <v>Liam Carter</v>
      </c>
      <c r="N438" t="s">
        <v>274</v>
      </c>
      <c r="O438" t="str">
        <f>IFERROR(INDEX(Store_Manager!$A$2:$A$5,MATCH(M438,Store_Manager!$B$2:$B$5,0)),"")</f>
        <v>MGR002</v>
      </c>
    </row>
    <row r="439" spans="1:15" ht="15.75" customHeight="1">
      <c r="A439">
        <v>438</v>
      </c>
      <c r="B439" s="2">
        <v>44945</v>
      </c>
      <c r="C439" t="s">
        <v>461</v>
      </c>
      <c r="D439" t="s">
        <v>21</v>
      </c>
      <c r="E439">
        <v>42</v>
      </c>
      <c r="F439" s="3" t="s">
        <v>22</v>
      </c>
      <c r="G439">
        <v>1</v>
      </c>
      <c r="H439" s="4">
        <v>30</v>
      </c>
      <c r="I439" s="4">
        <v>30</v>
      </c>
      <c r="J439" t="s">
        <v>273</v>
      </c>
      <c r="K439" t="str">
        <f>IFERROR(VLOOKUP(F439&amp;"|"&amp;H439,Feature_Mappings!$A$2:$C$16,2,FALSE()),"")</f>
        <v>Graphic T-Shirt</v>
      </c>
      <c r="L439" t="str">
        <f>IFERROR(VLOOKUP(F439&amp;"|"&amp;H439,Feature_Mappings!$A$2:$C$16,3,FALSE()),"")</f>
        <v>ThreadWorks Apparel</v>
      </c>
      <c r="M439" t="str">
        <f>IFERROR(VLOOKUP(J439,Feature_Mappings!$D$2:$E$5,2,FALSE()),"")</f>
        <v>Liam Carter</v>
      </c>
      <c r="N439" t="s">
        <v>274</v>
      </c>
      <c r="O439" t="str">
        <f>IFERROR(INDEX(Store_Manager!$A$2:$A$5,MATCH(M439,Store_Manager!$B$2:$B$5,0)),"")</f>
        <v>MGR002</v>
      </c>
    </row>
    <row r="440" spans="1:15" ht="15.75" customHeight="1">
      <c r="A440">
        <v>439</v>
      </c>
      <c r="B440" s="2">
        <v>45116</v>
      </c>
      <c r="C440" t="s">
        <v>462</v>
      </c>
      <c r="D440" t="s">
        <v>16</v>
      </c>
      <c r="E440">
        <v>50</v>
      </c>
      <c r="F440" s="3" t="s">
        <v>22</v>
      </c>
      <c r="G440">
        <v>3</v>
      </c>
      <c r="H440" s="4">
        <v>25</v>
      </c>
      <c r="I440" s="4">
        <v>75</v>
      </c>
      <c r="J440" t="s">
        <v>273</v>
      </c>
      <c r="K440" t="str">
        <f>IFERROR(VLOOKUP(F440&amp;"|"&amp;H440,Feature_Mappings!$A$2:$C$16,2,FALSE()),"")</f>
        <v>Cotton Socks</v>
      </c>
      <c r="L440" t="str">
        <f>IFERROR(VLOOKUP(F440&amp;"|"&amp;H440,Feature_Mappings!$A$2:$C$16,3,FALSE()),"")</f>
        <v>Urban Basics Co.</v>
      </c>
      <c r="M440" t="str">
        <f>IFERROR(VLOOKUP(J440,Feature_Mappings!$D$2:$E$5,2,FALSE()),"")</f>
        <v>Liam Carter</v>
      </c>
      <c r="N440" t="s">
        <v>274</v>
      </c>
      <c r="O440" t="str">
        <f>IFERROR(INDEX(Store_Manager!$A$2:$A$5,MATCH(M440,Store_Manager!$B$2:$B$5,0)),"")</f>
        <v>MGR002</v>
      </c>
    </row>
    <row r="441" spans="1:15" ht="15.75" customHeight="1">
      <c r="A441">
        <v>440</v>
      </c>
      <c r="B441" s="2">
        <v>45225</v>
      </c>
      <c r="C441" t="s">
        <v>463</v>
      </c>
      <c r="D441" t="s">
        <v>16</v>
      </c>
      <c r="E441">
        <v>64</v>
      </c>
      <c r="F441" s="3" t="s">
        <v>22</v>
      </c>
      <c r="G441">
        <v>2</v>
      </c>
      <c r="H441" s="4">
        <v>300</v>
      </c>
      <c r="I441" s="4">
        <v>600</v>
      </c>
      <c r="J441" t="s">
        <v>273</v>
      </c>
      <c r="K441" t="str">
        <f>IFERROR(VLOOKUP(F441&amp;"|"&amp;H441,Feature_Mappings!$A$2:$C$16,2,FALSE()),"")</f>
        <v>Leather Jacket</v>
      </c>
      <c r="L441" t="str">
        <f>IFERROR(VLOOKUP(F441&amp;"|"&amp;H441,Feature_Mappings!$A$2:$C$16,3,FALSE()),"")</f>
        <v>Metro Style Manufacturing</v>
      </c>
      <c r="M441" t="str">
        <f>IFERROR(VLOOKUP(J441,Feature_Mappings!$D$2:$E$5,2,FALSE()),"")</f>
        <v>Liam Carter</v>
      </c>
      <c r="N441" t="s">
        <v>274</v>
      </c>
      <c r="O441" t="str">
        <f>IFERROR(INDEX(Store_Manager!$A$2:$A$5,MATCH(M441,Store_Manager!$B$2:$B$5,0)),"")</f>
        <v>MGR002</v>
      </c>
    </row>
    <row r="442" spans="1:15" ht="15.75" customHeight="1">
      <c r="A442">
        <v>441</v>
      </c>
      <c r="B442" s="2">
        <v>45209</v>
      </c>
      <c r="C442" t="s">
        <v>464</v>
      </c>
      <c r="D442" t="s">
        <v>16</v>
      </c>
      <c r="E442">
        <v>57</v>
      </c>
      <c r="F442" s="3" t="s">
        <v>17</v>
      </c>
      <c r="G442">
        <v>4</v>
      </c>
      <c r="H442" s="4">
        <v>300</v>
      </c>
      <c r="I442" s="4">
        <v>1200</v>
      </c>
      <c r="J442" t="s">
        <v>273</v>
      </c>
      <c r="K442" t="str">
        <f>IFERROR(VLOOKUP(F442&amp;"|"&amp;H442,Feature_Mappings!$A$2:$C$16,2,FALSE()),"")</f>
        <v>Skincare Gift Set</v>
      </c>
      <c r="L442" t="str">
        <f>IFERROR(VLOOKUP(F442&amp;"|"&amp;H442,Feature_Mappings!$A$2:$C$16,3,FALSE()),"")</f>
        <v>Radiant Beauty Wholesale</v>
      </c>
      <c r="M442" t="str">
        <f>IFERROR(VLOOKUP(J442,Feature_Mappings!$D$2:$E$5,2,FALSE()),"")</f>
        <v>Liam Carter</v>
      </c>
      <c r="N442" t="s">
        <v>274</v>
      </c>
      <c r="O442" t="str">
        <f>IFERROR(INDEX(Store_Manager!$A$2:$A$5,MATCH(M442,Store_Manager!$B$2:$B$5,0)),"")</f>
        <v>MGR002</v>
      </c>
    </row>
    <row r="443" spans="1:15" ht="15.75" customHeight="1">
      <c r="A443">
        <v>442</v>
      </c>
      <c r="B443" s="2">
        <v>45002</v>
      </c>
      <c r="C443" t="s">
        <v>465</v>
      </c>
      <c r="D443" t="s">
        <v>21</v>
      </c>
      <c r="E443">
        <v>60</v>
      </c>
      <c r="F443" s="3" t="s">
        <v>22</v>
      </c>
      <c r="G443">
        <v>4</v>
      </c>
      <c r="H443" s="4">
        <v>25</v>
      </c>
      <c r="I443" s="4">
        <v>100</v>
      </c>
      <c r="J443" t="s">
        <v>273</v>
      </c>
      <c r="K443" t="str">
        <f>IFERROR(VLOOKUP(F443&amp;"|"&amp;H443,Feature_Mappings!$A$2:$C$16,2,FALSE()),"")</f>
        <v>Cotton Socks</v>
      </c>
      <c r="L443" t="str">
        <f>IFERROR(VLOOKUP(F443&amp;"|"&amp;H443,Feature_Mappings!$A$2:$C$16,3,FALSE()),"")</f>
        <v>Urban Basics Co.</v>
      </c>
      <c r="M443" t="str">
        <f>IFERROR(VLOOKUP(J443,Feature_Mappings!$D$2:$E$5,2,FALSE()),"")</f>
        <v>Liam Carter</v>
      </c>
      <c r="N443" t="s">
        <v>274</v>
      </c>
      <c r="O443" t="str">
        <f>IFERROR(INDEX(Store_Manager!$A$2:$A$5,MATCH(M443,Store_Manager!$B$2:$B$5,0)),"")</f>
        <v>MGR002</v>
      </c>
    </row>
    <row r="444" spans="1:15" ht="15.75" customHeight="1">
      <c r="A444">
        <v>443</v>
      </c>
      <c r="B444" s="2">
        <v>45147</v>
      </c>
      <c r="C444" t="s">
        <v>466</v>
      </c>
      <c r="D444" t="s">
        <v>16</v>
      </c>
      <c r="E444">
        <v>29</v>
      </c>
      <c r="F444" s="3" t="s">
        <v>22</v>
      </c>
      <c r="G444">
        <v>2</v>
      </c>
      <c r="H444" s="4">
        <v>300</v>
      </c>
      <c r="I444" s="4">
        <v>600</v>
      </c>
      <c r="J444" t="s">
        <v>273</v>
      </c>
      <c r="K444" t="str">
        <f>IFERROR(VLOOKUP(F444&amp;"|"&amp;H444,Feature_Mappings!$A$2:$C$16,2,FALSE()),"")</f>
        <v>Leather Jacket</v>
      </c>
      <c r="L444" t="str">
        <f>IFERROR(VLOOKUP(F444&amp;"|"&amp;H444,Feature_Mappings!$A$2:$C$16,3,FALSE()),"")</f>
        <v>Metro Style Manufacturing</v>
      </c>
      <c r="M444" t="str">
        <f>IFERROR(VLOOKUP(J444,Feature_Mappings!$D$2:$E$5,2,FALSE()),"")</f>
        <v>Liam Carter</v>
      </c>
      <c r="N444" t="s">
        <v>274</v>
      </c>
      <c r="O444" t="str">
        <f>IFERROR(INDEX(Store_Manager!$A$2:$A$5,MATCH(M444,Store_Manager!$B$2:$B$5,0)),"")</f>
        <v>MGR002</v>
      </c>
    </row>
    <row r="445" spans="1:15" ht="15.75" customHeight="1">
      <c r="A445">
        <v>444</v>
      </c>
      <c r="B445" s="2">
        <v>44992</v>
      </c>
      <c r="C445" t="s">
        <v>467</v>
      </c>
      <c r="D445" t="s">
        <v>21</v>
      </c>
      <c r="E445">
        <v>61</v>
      </c>
      <c r="F445" s="3" t="s">
        <v>22</v>
      </c>
      <c r="G445">
        <v>3</v>
      </c>
      <c r="H445" s="4">
        <v>30</v>
      </c>
      <c r="I445" s="4">
        <v>90</v>
      </c>
      <c r="J445" t="s">
        <v>273</v>
      </c>
      <c r="K445" t="str">
        <f>IFERROR(VLOOKUP(F445&amp;"|"&amp;H445,Feature_Mappings!$A$2:$C$16,2,FALSE()),"")</f>
        <v>Graphic T-Shirt</v>
      </c>
      <c r="L445" t="str">
        <f>IFERROR(VLOOKUP(F445&amp;"|"&amp;H445,Feature_Mappings!$A$2:$C$16,3,FALSE()),"")</f>
        <v>ThreadWorks Apparel</v>
      </c>
      <c r="M445" t="str">
        <f>IFERROR(VLOOKUP(J445,Feature_Mappings!$D$2:$E$5,2,FALSE()),"")</f>
        <v>Liam Carter</v>
      </c>
      <c r="N445" t="s">
        <v>274</v>
      </c>
      <c r="O445" t="str">
        <f>IFERROR(INDEX(Store_Manager!$A$2:$A$5,MATCH(M445,Store_Manager!$B$2:$B$5,0)),"")</f>
        <v>MGR002</v>
      </c>
    </row>
    <row r="446" spans="1:15" ht="15.75" customHeight="1">
      <c r="A446">
        <v>445</v>
      </c>
      <c r="B446" s="2">
        <v>44948</v>
      </c>
      <c r="C446" t="s">
        <v>468</v>
      </c>
      <c r="D446" t="s">
        <v>21</v>
      </c>
      <c r="E446">
        <v>53</v>
      </c>
      <c r="F446" s="3" t="s">
        <v>24</v>
      </c>
      <c r="G446">
        <v>1</v>
      </c>
      <c r="H446" s="4">
        <v>300</v>
      </c>
      <c r="I446" s="4">
        <v>300</v>
      </c>
      <c r="J446" t="s">
        <v>273</v>
      </c>
      <c r="K446" t="str">
        <f>IFERROR(VLOOKUP(F446&amp;"|"&amp;H446,Feature_Mappings!$A$2:$C$16,2,FALSE()),"")</f>
        <v>Tablet</v>
      </c>
      <c r="L446" t="str">
        <f>IFERROR(VLOOKUP(F446&amp;"|"&amp;H446,Feature_Mappings!$A$2:$C$16,3,FALSE()),"")</f>
        <v>NextGen Devices</v>
      </c>
      <c r="M446" t="str">
        <f>IFERROR(VLOOKUP(J446,Feature_Mappings!$D$2:$E$5,2,FALSE()),"")</f>
        <v>Liam Carter</v>
      </c>
      <c r="N446" t="s">
        <v>274</v>
      </c>
      <c r="O446" t="str">
        <f>IFERROR(INDEX(Store_Manager!$A$2:$A$5,MATCH(M446,Store_Manager!$B$2:$B$5,0)),"")</f>
        <v>MGR002</v>
      </c>
    </row>
    <row r="447" spans="1:15" ht="15.75" customHeight="1">
      <c r="A447">
        <v>446</v>
      </c>
      <c r="B447" s="2">
        <v>45084</v>
      </c>
      <c r="C447" t="s">
        <v>469</v>
      </c>
      <c r="D447" t="s">
        <v>16</v>
      </c>
      <c r="E447">
        <v>21</v>
      </c>
      <c r="F447" s="3" t="s">
        <v>24</v>
      </c>
      <c r="G447">
        <v>1</v>
      </c>
      <c r="H447" s="4">
        <v>50</v>
      </c>
      <c r="I447" s="4">
        <v>50</v>
      </c>
      <c r="J447" t="s">
        <v>273</v>
      </c>
      <c r="K447" t="str">
        <f>IFERROR(VLOOKUP(F447&amp;"|"&amp;H447,Feature_Mappings!$A$2:$C$16,2,FALSE()),"")</f>
        <v>Bluetooth Speaker</v>
      </c>
      <c r="L447" t="str">
        <f>IFERROR(VLOOKUP(F447&amp;"|"&amp;H447,Feature_Mappings!$A$2:$C$16,3,FALSE()),"")</f>
        <v>SoundSphere Supply</v>
      </c>
      <c r="M447" t="str">
        <f>IFERROR(VLOOKUP(J447,Feature_Mappings!$D$2:$E$5,2,FALSE()),"")</f>
        <v>Liam Carter</v>
      </c>
      <c r="N447" t="s">
        <v>274</v>
      </c>
      <c r="O447" t="str">
        <f>IFERROR(INDEX(Store_Manager!$A$2:$A$5,MATCH(M447,Store_Manager!$B$2:$B$5,0)),"")</f>
        <v>MGR002</v>
      </c>
    </row>
    <row r="448" spans="1:15" ht="15.75" customHeight="1">
      <c r="A448">
        <v>447</v>
      </c>
      <c r="B448" s="2">
        <v>45113</v>
      </c>
      <c r="C448" t="s">
        <v>470</v>
      </c>
      <c r="D448" t="s">
        <v>16</v>
      </c>
      <c r="E448">
        <v>22</v>
      </c>
      <c r="F448" s="3" t="s">
        <v>17</v>
      </c>
      <c r="G448">
        <v>4</v>
      </c>
      <c r="H448" s="4">
        <v>500</v>
      </c>
      <c r="I448" s="4">
        <v>2000</v>
      </c>
      <c r="J448" t="s">
        <v>273</v>
      </c>
      <c r="K448" t="str">
        <f>IFERROR(VLOOKUP(F448&amp;"|"&amp;H448,Feature_Mappings!$A$2:$C$16,2,FALSE()),"")</f>
        <v>LED Beauty Device</v>
      </c>
      <c r="L448" t="str">
        <f>IFERROR(VLOOKUP(F448&amp;"|"&amp;H448,Feature_Mappings!$A$2:$C$16,3,FALSE()),"")</f>
        <v>BeautyTech Pro</v>
      </c>
      <c r="M448" t="str">
        <f>IFERROR(VLOOKUP(J448,Feature_Mappings!$D$2:$E$5,2,FALSE()),"")</f>
        <v>Liam Carter</v>
      </c>
      <c r="N448" t="s">
        <v>274</v>
      </c>
      <c r="O448" t="str">
        <f>IFERROR(INDEX(Store_Manager!$A$2:$A$5,MATCH(M448,Store_Manager!$B$2:$B$5,0)),"")</f>
        <v>MGR002</v>
      </c>
    </row>
    <row r="449" spans="1:15" ht="15.75" customHeight="1">
      <c r="A449">
        <v>448</v>
      </c>
      <c r="B449" s="2">
        <v>44947</v>
      </c>
      <c r="C449" t="s">
        <v>471</v>
      </c>
      <c r="D449" t="s">
        <v>21</v>
      </c>
      <c r="E449">
        <v>54</v>
      </c>
      <c r="F449" s="3" t="s">
        <v>17</v>
      </c>
      <c r="G449">
        <v>2</v>
      </c>
      <c r="H449" s="4">
        <v>30</v>
      </c>
      <c r="I449" s="4">
        <v>60</v>
      </c>
      <c r="J449" t="s">
        <v>273</v>
      </c>
      <c r="K449" t="str">
        <f>IFERROR(VLOOKUP(F449&amp;"|"&amp;H449,Feature_Mappings!$A$2:$C$16,2,FALSE()),"")</f>
        <v>Facial Cleanser</v>
      </c>
      <c r="L449" t="str">
        <f>IFERROR(VLOOKUP(F449&amp;"|"&amp;H449,Feature_Mappings!$A$2:$C$16,3,FALSE()),"")</f>
        <v>PureDerma Supplies</v>
      </c>
      <c r="M449" t="str">
        <f>IFERROR(VLOOKUP(J449,Feature_Mappings!$D$2:$E$5,2,FALSE()),"")</f>
        <v>Liam Carter</v>
      </c>
      <c r="N449" t="s">
        <v>274</v>
      </c>
      <c r="O449" t="str">
        <f>IFERROR(INDEX(Store_Manager!$A$2:$A$5,MATCH(M449,Store_Manager!$B$2:$B$5,0)),"")</f>
        <v>MGR002</v>
      </c>
    </row>
    <row r="450" spans="1:15" ht="15.75" customHeight="1">
      <c r="A450">
        <v>449</v>
      </c>
      <c r="B450" s="2">
        <v>45110</v>
      </c>
      <c r="C450" t="s">
        <v>472</v>
      </c>
      <c r="D450" t="s">
        <v>16</v>
      </c>
      <c r="E450">
        <v>25</v>
      </c>
      <c r="F450" s="3" t="s">
        <v>24</v>
      </c>
      <c r="G450">
        <v>4</v>
      </c>
      <c r="H450" s="4">
        <v>50</v>
      </c>
      <c r="I450" s="4">
        <v>200</v>
      </c>
      <c r="J450" t="s">
        <v>273</v>
      </c>
      <c r="K450" t="str">
        <f>IFERROR(VLOOKUP(F450&amp;"|"&amp;H450,Feature_Mappings!$A$2:$C$16,2,FALSE()),"")</f>
        <v>Bluetooth Speaker</v>
      </c>
      <c r="L450" t="str">
        <f>IFERROR(VLOOKUP(F450&amp;"|"&amp;H450,Feature_Mappings!$A$2:$C$16,3,FALSE()),"")</f>
        <v>SoundSphere Supply</v>
      </c>
      <c r="M450" t="str">
        <f>IFERROR(VLOOKUP(J450,Feature_Mappings!$D$2:$E$5,2,FALSE()),"")</f>
        <v>Liam Carter</v>
      </c>
      <c r="N450" t="s">
        <v>274</v>
      </c>
      <c r="O450" t="str">
        <f>IFERROR(INDEX(Store_Manager!$A$2:$A$5,MATCH(M450,Store_Manager!$B$2:$B$5,0)),"")</f>
        <v>MGR002</v>
      </c>
    </row>
    <row r="451" spans="1:15" ht="15.75" customHeight="1">
      <c r="A451">
        <v>450</v>
      </c>
      <c r="B451" s="2">
        <v>45034</v>
      </c>
      <c r="C451" t="s">
        <v>473</v>
      </c>
      <c r="D451" t="s">
        <v>21</v>
      </c>
      <c r="E451">
        <v>59</v>
      </c>
      <c r="F451" s="3" t="s">
        <v>17</v>
      </c>
      <c r="G451">
        <v>2</v>
      </c>
      <c r="H451" s="4">
        <v>25</v>
      </c>
      <c r="I451" s="4">
        <v>50</v>
      </c>
      <c r="J451" t="s">
        <v>273</v>
      </c>
      <c r="K451" t="str">
        <f>IFERROR(VLOOKUP(F451&amp;"|"&amp;H451,Feature_Mappings!$A$2:$C$16,2,FALSE()),"")</f>
        <v>Lip Balm</v>
      </c>
      <c r="L451" t="str">
        <f>IFERROR(VLOOKUP(F451&amp;"|"&amp;H451,Feature_Mappings!$A$2:$C$16,3,FALSE()),"")</f>
        <v>GlowSource Cosmetics</v>
      </c>
      <c r="M451" t="str">
        <f>IFERROR(VLOOKUP(J451,Feature_Mappings!$D$2:$E$5,2,FALSE()),"")</f>
        <v>Liam Carter</v>
      </c>
      <c r="N451" t="s">
        <v>274</v>
      </c>
      <c r="O451" t="str">
        <f>IFERROR(INDEX(Store_Manager!$A$2:$A$5,MATCH(M451,Store_Manager!$B$2:$B$5,0)),"")</f>
        <v>MGR002</v>
      </c>
    </row>
    <row r="452" spans="1:15" ht="15.75" customHeight="1">
      <c r="A452">
        <v>451</v>
      </c>
      <c r="B452" s="2">
        <v>45276</v>
      </c>
      <c r="C452" t="s">
        <v>474</v>
      </c>
      <c r="D452" t="s">
        <v>21</v>
      </c>
      <c r="E452">
        <v>45</v>
      </c>
      <c r="F452" s="3" t="s">
        <v>24</v>
      </c>
      <c r="G452">
        <v>1</v>
      </c>
      <c r="H452" s="4">
        <v>30</v>
      </c>
      <c r="I452" s="4">
        <v>30</v>
      </c>
      <c r="J452" t="s">
        <v>273</v>
      </c>
      <c r="K452" t="str">
        <f>IFERROR(VLOOKUP(F452&amp;"|"&amp;H452,Feature_Mappings!$A$2:$C$16,2,FALSE()),"")</f>
        <v>Wireless Mouse</v>
      </c>
      <c r="L452" t="str">
        <f>IFERROR(VLOOKUP(F452&amp;"|"&amp;H452,Feature_Mappings!$A$2:$C$16,3,FALSE()),"")</f>
        <v>ByteWave Distributors</v>
      </c>
      <c r="M452" t="str">
        <f>IFERROR(VLOOKUP(J452,Feature_Mappings!$D$2:$E$5,2,FALSE()),"")</f>
        <v>Liam Carter</v>
      </c>
      <c r="N452" t="s">
        <v>274</v>
      </c>
      <c r="O452" t="str">
        <f>IFERROR(INDEX(Store_Manager!$A$2:$A$5,MATCH(M452,Store_Manager!$B$2:$B$5,0)),"")</f>
        <v>MGR002</v>
      </c>
    </row>
    <row r="453" spans="1:15" ht="15.75" customHeight="1">
      <c r="A453">
        <v>452</v>
      </c>
      <c r="B453" s="2">
        <v>45054</v>
      </c>
      <c r="C453" t="s">
        <v>475</v>
      </c>
      <c r="D453" t="s">
        <v>21</v>
      </c>
      <c r="E453">
        <v>48</v>
      </c>
      <c r="F453" s="3" t="s">
        <v>22</v>
      </c>
      <c r="G453">
        <v>3</v>
      </c>
      <c r="H453" s="4">
        <v>500</v>
      </c>
      <c r="I453" s="4">
        <v>1500</v>
      </c>
      <c r="J453" t="s">
        <v>273</v>
      </c>
      <c r="K453" t="str">
        <f>IFERROR(VLOOKUP(F453&amp;"|"&amp;H453,Feature_Mappings!$A$2:$C$16,2,FALSE()),"")</f>
        <v>Designer Coat</v>
      </c>
      <c r="L453" t="str">
        <f>IFERROR(VLOOKUP(F453&amp;"|"&amp;H453,Feature_Mappings!$A$2:$C$16,3,FALSE()),"")</f>
        <v>Prestige Fashion House</v>
      </c>
      <c r="M453" t="str">
        <f>IFERROR(VLOOKUP(J453,Feature_Mappings!$D$2:$E$5,2,FALSE()),"")</f>
        <v>Liam Carter</v>
      </c>
      <c r="N453" t="s">
        <v>274</v>
      </c>
      <c r="O453" t="str">
        <f>IFERROR(INDEX(Store_Manager!$A$2:$A$5,MATCH(M453,Store_Manager!$B$2:$B$5,0)),"")</f>
        <v>MGR002</v>
      </c>
    </row>
    <row r="454" spans="1:15" ht="15.75" customHeight="1">
      <c r="A454">
        <v>453</v>
      </c>
      <c r="B454" s="2">
        <v>45268</v>
      </c>
      <c r="C454" t="s">
        <v>476</v>
      </c>
      <c r="D454" t="s">
        <v>21</v>
      </c>
      <c r="E454">
        <v>26</v>
      </c>
      <c r="F454" s="3" t="s">
        <v>22</v>
      </c>
      <c r="G454">
        <v>2</v>
      </c>
      <c r="H454" s="4">
        <v>500</v>
      </c>
      <c r="I454" s="4">
        <v>1000</v>
      </c>
      <c r="J454" t="s">
        <v>273</v>
      </c>
      <c r="K454" t="str">
        <f>IFERROR(VLOOKUP(F454&amp;"|"&amp;H454,Feature_Mappings!$A$2:$C$16,2,FALSE()),"")</f>
        <v>Designer Coat</v>
      </c>
      <c r="L454" t="str">
        <f>IFERROR(VLOOKUP(F454&amp;"|"&amp;H454,Feature_Mappings!$A$2:$C$16,3,FALSE()),"")</f>
        <v>Prestige Fashion House</v>
      </c>
      <c r="M454" t="str">
        <f>IFERROR(VLOOKUP(J454,Feature_Mappings!$D$2:$E$5,2,FALSE()),"")</f>
        <v>Liam Carter</v>
      </c>
      <c r="N454" t="s">
        <v>274</v>
      </c>
      <c r="O454" t="str">
        <f>IFERROR(INDEX(Store_Manager!$A$2:$A$5,MATCH(M454,Store_Manager!$B$2:$B$5,0)),"")</f>
        <v>MGR002</v>
      </c>
    </row>
    <row r="455" spans="1:15" ht="15.75" customHeight="1">
      <c r="A455">
        <v>454</v>
      </c>
      <c r="B455" s="2">
        <v>44979</v>
      </c>
      <c r="C455" t="s">
        <v>477</v>
      </c>
      <c r="D455" t="s">
        <v>21</v>
      </c>
      <c r="E455">
        <v>46</v>
      </c>
      <c r="F455" s="3" t="s">
        <v>17</v>
      </c>
      <c r="G455">
        <v>1</v>
      </c>
      <c r="H455" s="4">
        <v>25</v>
      </c>
      <c r="I455" s="4">
        <v>25</v>
      </c>
      <c r="J455" t="s">
        <v>273</v>
      </c>
      <c r="K455" t="str">
        <f>IFERROR(VLOOKUP(F455&amp;"|"&amp;H455,Feature_Mappings!$A$2:$C$16,2,FALSE()),"")</f>
        <v>Lip Balm</v>
      </c>
      <c r="L455" t="str">
        <f>IFERROR(VLOOKUP(F455&amp;"|"&amp;H455,Feature_Mappings!$A$2:$C$16,3,FALSE()),"")</f>
        <v>GlowSource Cosmetics</v>
      </c>
      <c r="M455" t="str">
        <f>IFERROR(VLOOKUP(J455,Feature_Mappings!$D$2:$E$5,2,FALSE()),"")</f>
        <v>Liam Carter</v>
      </c>
      <c r="N455" t="s">
        <v>274</v>
      </c>
      <c r="O455" t="str">
        <f>IFERROR(INDEX(Store_Manager!$A$2:$A$5,MATCH(M455,Store_Manager!$B$2:$B$5,0)),"")</f>
        <v>MGR002</v>
      </c>
    </row>
    <row r="456" spans="1:15" ht="15.75" customHeight="1">
      <c r="A456">
        <v>455</v>
      </c>
      <c r="B456" s="2">
        <v>45108</v>
      </c>
      <c r="C456" t="s">
        <v>478</v>
      </c>
      <c r="D456" t="s">
        <v>16</v>
      </c>
      <c r="E456">
        <v>31</v>
      </c>
      <c r="F456" s="3" t="s">
        <v>24</v>
      </c>
      <c r="G456">
        <v>4</v>
      </c>
      <c r="H456" s="4">
        <v>25</v>
      </c>
      <c r="I456" s="4">
        <v>100</v>
      </c>
      <c r="J456" t="s">
        <v>273</v>
      </c>
      <c r="K456" t="str">
        <f>IFERROR(VLOOKUP(F456&amp;"|"&amp;H456,Feature_Mappings!$A$2:$C$16,2,FALSE()),"")</f>
        <v>USB-C Charger</v>
      </c>
      <c r="L456" t="str">
        <f>IFERROR(VLOOKUP(F456&amp;"|"&amp;H456,Feature_Mappings!$A$2:$C$16,3,FALSE()),"")</f>
        <v>VoltEdge Electronics</v>
      </c>
      <c r="M456" t="str">
        <f>IFERROR(VLOOKUP(J456,Feature_Mappings!$D$2:$E$5,2,FALSE()),"")</f>
        <v>Liam Carter</v>
      </c>
      <c r="N456" t="s">
        <v>274</v>
      </c>
      <c r="O456" t="str">
        <f>IFERROR(INDEX(Store_Manager!$A$2:$A$5,MATCH(M456,Store_Manager!$B$2:$B$5,0)),"")</f>
        <v>MGR002</v>
      </c>
    </row>
    <row r="457" spans="1:15" ht="15.75" customHeight="1">
      <c r="A457">
        <v>456</v>
      </c>
      <c r="B457" s="2">
        <v>45213</v>
      </c>
      <c r="C457" t="s">
        <v>479</v>
      </c>
      <c r="D457" t="s">
        <v>16</v>
      </c>
      <c r="E457">
        <v>57</v>
      </c>
      <c r="F457" s="3" t="s">
        <v>24</v>
      </c>
      <c r="G457">
        <v>2</v>
      </c>
      <c r="H457" s="4">
        <v>30</v>
      </c>
      <c r="I457" s="4">
        <v>60</v>
      </c>
      <c r="J457" t="s">
        <v>273</v>
      </c>
      <c r="K457" t="str">
        <f>IFERROR(VLOOKUP(F457&amp;"|"&amp;H457,Feature_Mappings!$A$2:$C$16,2,FALSE()),"")</f>
        <v>Wireless Mouse</v>
      </c>
      <c r="L457" t="str">
        <f>IFERROR(VLOOKUP(F457&amp;"|"&amp;H457,Feature_Mappings!$A$2:$C$16,3,FALSE()),"")</f>
        <v>ByteWave Distributors</v>
      </c>
      <c r="M457" t="str">
        <f>IFERROR(VLOOKUP(J457,Feature_Mappings!$D$2:$E$5,2,FALSE()),"")</f>
        <v>Liam Carter</v>
      </c>
      <c r="N457" t="s">
        <v>274</v>
      </c>
      <c r="O457" t="str">
        <f>IFERROR(INDEX(Store_Manager!$A$2:$A$5,MATCH(M457,Store_Manager!$B$2:$B$5,0)),"")</f>
        <v>MGR002</v>
      </c>
    </row>
    <row r="458" spans="1:15" ht="15.75" customHeight="1">
      <c r="A458">
        <v>457</v>
      </c>
      <c r="B458" s="2">
        <v>45135</v>
      </c>
      <c r="C458" t="s">
        <v>480</v>
      </c>
      <c r="D458" t="s">
        <v>21</v>
      </c>
      <c r="E458">
        <v>58</v>
      </c>
      <c r="F458" s="3" t="s">
        <v>17</v>
      </c>
      <c r="G458">
        <v>3</v>
      </c>
      <c r="H458" s="4">
        <v>300</v>
      </c>
      <c r="I458" s="4">
        <v>900</v>
      </c>
      <c r="J458" t="s">
        <v>273</v>
      </c>
      <c r="K458" t="str">
        <f>IFERROR(VLOOKUP(F458&amp;"|"&amp;H458,Feature_Mappings!$A$2:$C$16,2,FALSE()),"")</f>
        <v>Skincare Gift Set</v>
      </c>
      <c r="L458" t="str">
        <f>IFERROR(VLOOKUP(F458&amp;"|"&amp;H458,Feature_Mappings!$A$2:$C$16,3,FALSE()),"")</f>
        <v>Radiant Beauty Wholesale</v>
      </c>
      <c r="M458" t="str">
        <f>IFERROR(VLOOKUP(J458,Feature_Mappings!$D$2:$E$5,2,FALSE()),"")</f>
        <v>Liam Carter</v>
      </c>
      <c r="N458" t="s">
        <v>274</v>
      </c>
      <c r="O458" t="str">
        <f>IFERROR(INDEX(Store_Manager!$A$2:$A$5,MATCH(M458,Store_Manager!$B$2:$B$5,0)),"")</f>
        <v>MGR002</v>
      </c>
    </row>
    <row r="459" spans="1:15" ht="15.75" customHeight="1">
      <c r="A459">
        <v>458</v>
      </c>
      <c r="B459" s="2">
        <v>45244</v>
      </c>
      <c r="C459" t="s">
        <v>481</v>
      </c>
      <c r="D459" t="s">
        <v>21</v>
      </c>
      <c r="E459">
        <v>39</v>
      </c>
      <c r="F459" s="3" t="s">
        <v>24</v>
      </c>
      <c r="G459">
        <v>4</v>
      </c>
      <c r="H459" s="4">
        <v>25</v>
      </c>
      <c r="I459" s="4">
        <v>100</v>
      </c>
      <c r="J459" t="s">
        <v>273</v>
      </c>
      <c r="K459" t="str">
        <f>IFERROR(VLOOKUP(F459&amp;"|"&amp;H459,Feature_Mappings!$A$2:$C$16,2,FALSE()),"")</f>
        <v>USB-C Charger</v>
      </c>
      <c r="L459" t="str">
        <f>IFERROR(VLOOKUP(F459&amp;"|"&amp;H459,Feature_Mappings!$A$2:$C$16,3,FALSE()),"")</f>
        <v>VoltEdge Electronics</v>
      </c>
      <c r="M459" t="str">
        <f>IFERROR(VLOOKUP(J459,Feature_Mappings!$D$2:$E$5,2,FALSE()),"")</f>
        <v>Liam Carter</v>
      </c>
      <c r="N459" t="s">
        <v>274</v>
      </c>
      <c r="O459" t="str">
        <f>IFERROR(INDEX(Store_Manager!$A$2:$A$5,MATCH(M459,Store_Manager!$B$2:$B$5,0)),"")</f>
        <v>MGR002</v>
      </c>
    </row>
    <row r="460" spans="1:15" ht="15.75" customHeight="1">
      <c r="A460">
        <v>459</v>
      </c>
      <c r="B460" s="2">
        <v>45006</v>
      </c>
      <c r="C460" t="s">
        <v>482</v>
      </c>
      <c r="D460" t="s">
        <v>16</v>
      </c>
      <c r="E460">
        <v>28</v>
      </c>
      <c r="F460" s="3" t="s">
        <v>22</v>
      </c>
      <c r="G460">
        <v>4</v>
      </c>
      <c r="H460" s="4">
        <v>300</v>
      </c>
      <c r="I460" s="4">
        <v>1200</v>
      </c>
      <c r="J460" t="s">
        <v>273</v>
      </c>
      <c r="K460" t="str">
        <f>IFERROR(VLOOKUP(F460&amp;"|"&amp;H460,Feature_Mappings!$A$2:$C$16,2,FALSE()),"")</f>
        <v>Leather Jacket</v>
      </c>
      <c r="L460" t="str">
        <f>IFERROR(VLOOKUP(F460&amp;"|"&amp;H460,Feature_Mappings!$A$2:$C$16,3,FALSE()),"")</f>
        <v>Metro Style Manufacturing</v>
      </c>
      <c r="M460" t="str">
        <f>IFERROR(VLOOKUP(J460,Feature_Mappings!$D$2:$E$5,2,FALSE()),"")</f>
        <v>Liam Carter</v>
      </c>
      <c r="N460" t="s">
        <v>274</v>
      </c>
      <c r="O460" t="str">
        <f>IFERROR(INDEX(Store_Manager!$A$2:$A$5,MATCH(M460,Store_Manager!$B$2:$B$5,0)),"")</f>
        <v>MGR002</v>
      </c>
    </row>
    <row r="461" spans="1:15" ht="15.75" customHeight="1">
      <c r="A461">
        <v>460</v>
      </c>
      <c r="B461" s="2">
        <v>45048</v>
      </c>
      <c r="C461" t="s">
        <v>483</v>
      </c>
      <c r="D461" t="s">
        <v>16</v>
      </c>
      <c r="E461">
        <v>40</v>
      </c>
      <c r="F461" s="3" t="s">
        <v>17</v>
      </c>
      <c r="G461">
        <v>1</v>
      </c>
      <c r="H461" s="4">
        <v>50</v>
      </c>
      <c r="I461" s="4">
        <v>50</v>
      </c>
      <c r="J461" t="s">
        <v>273</v>
      </c>
      <c r="K461" t="str">
        <f>IFERROR(VLOOKUP(F461&amp;"|"&amp;H461,Feature_Mappings!$A$2:$C$16,2,FALSE()),"")</f>
        <v>Eau de Parfum</v>
      </c>
      <c r="L461" t="str">
        <f>IFERROR(VLOOKUP(F461&amp;"|"&amp;H461,Feature_Mappings!$A$2:$C$16,3,FALSE()),"")</f>
        <v>Luxe Aroma Labs</v>
      </c>
      <c r="M461" t="str">
        <f>IFERROR(VLOOKUP(J461,Feature_Mappings!$D$2:$E$5,2,FALSE()),"")</f>
        <v>Liam Carter</v>
      </c>
      <c r="N461" t="s">
        <v>274</v>
      </c>
      <c r="O461" t="str">
        <f>IFERROR(INDEX(Store_Manager!$A$2:$A$5,MATCH(M461,Store_Manager!$B$2:$B$5,0)),"")</f>
        <v>MGR002</v>
      </c>
    </row>
    <row r="462" spans="1:15" ht="15.75" customHeight="1">
      <c r="A462">
        <v>461</v>
      </c>
      <c r="B462" s="2">
        <v>45010</v>
      </c>
      <c r="C462" t="s">
        <v>484</v>
      </c>
      <c r="D462" t="s">
        <v>21</v>
      </c>
      <c r="E462">
        <v>18</v>
      </c>
      <c r="F462" s="3" t="s">
        <v>17</v>
      </c>
      <c r="G462">
        <v>2</v>
      </c>
      <c r="H462" s="4">
        <v>500</v>
      </c>
      <c r="I462" s="4">
        <v>1000</v>
      </c>
      <c r="J462" t="s">
        <v>273</v>
      </c>
      <c r="K462" t="str">
        <f>IFERROR(VLOOKUP(F462&amp;"|"&amp;H462,Feature_Mappings!$A$2:$C$16,2,FALSE()),"")</f>
        <v>LED Beauty Device</v>
      </c>
      <c r="L462" t="str">
        <f>IFERROR(VLOOKUP(F462&amp;"|"&amp;H462,Feature_Mappings!$A$2:$C$16,3,FALSE()),"")</f>
        <v>BeautyTech Pro</v>
      </c>
      <c r="M462" t="str">
        <f>IFERROR(VLOOKUP(J462,Feature_Mappings!$D$2:$E$5,2,FALSE()),"")</f>
        <v>Liam Carter</v>
      </c>
      <c r="N462" t="s">
        <v>274</v>
      </c>
      <c r="O462" t="str">
        <f>IFERROR(INDEX(Store_Manager!$A$2:$A$5,MATCH(M462,Store_Manager!$B$2:$B$5,0)),"")</f>
        <v>MGR002</v>
      </c>
    </row>
    <row r="463" spans="1:15" ht="15.75" customHeight="1">
      <c r="A463">
        <v>462</v>
      </c>
      <c r="B463" s="2">
        <v>45017</v>
      </c>
      <c r="C463" t="s">
        <v>485</v>
      </c>
      <c r="D463" t="s">
        <v>16</v>
      </c>
      <c r="E463">
        <v>63</v>
      </c>
      <c r="F463" s="3" t="s">
        <v>24</v>
      </c>
      <c r="G463">
        <v>4</v>
      </c>
      <c r="H463" s="4">
        <v>300</v>
      </c>
      <c r="I463" s="4">
        <v>1200</v>
      </c>
      <c r="J463" t="s">
        <v>273</v>
      </c>
      <c r="K463" t="str">
        <f>IFERROR(VLOOKUP(F463&amp;"|"&amp;H463,Feature_Mappings!$A$2:$C$16,2,FALSE()),"")</f>
        <v>Tablet</v>
      </c>
      <c r="L463" t="str">
        <f>IFERROR(VLOOKUP(F463&amp;"|"&amp;H463,Feature_Mappings!$A$2:$C$16,3,FALSE()),"")</f>
        <v>NextGen Devices</v>
      </c>
      <c r="M463" t="str">
        <f>IFERROR(VLOOKUP(J463,Feature_Mappings!$D$2:$E$5,2,FALSE()),"")</f>
        <v>Liam Carter</v>
      </c>
      <c r="N463" t="s">
        <v>274</v>
      </c>
      <c r="O463" t="str">
        <f>IFERROR(INDEX(Store_Manager!$A$2:$A$5,MATCH(M463,Store_Manager!$B$2:$B$5,0)),"")</f>
        <v>MGR002</v>
      </c>
    </row>
    <row r="464" spans="1:15" ht="15.75" customHeight="1">
      <c r="A464">
        <v>463</v>
      </c>
      <c r="B464" s="2">
        <v>45138</v>
      </c>
      <c r="C464" t="s">
        <v>486</v>
      </c>
      <c r="D464" t="s">
        <v>21</v>
      </c>
      <c r="E464">
        <v>54</v>
      </c>
      <c r="F464" s="3" t="s">
        <v>17</v>
      </c>
      <c r="G464">
        <v>3</v>
      </c>
      <c r="H464" s="4">
        <v>500</v>
      </c>
      <c r="I464" s="4">
        <v>1500</v>
      </c>
      <c r="J464" t="s">
        <v>273</v>
      </c>
      <c r="K464" t="str">
        <f>IFERROR(VLOOKUP(F464&amp;"|"&amp;H464,Feature_Mappings!$A$2:$C$16,2,FALSE()),"")</f>
        <v>LED Beauty Device</v>
      </c>
      <c r="L464" t="str">
        <f>IFERROR(VLOOKUP(F464&amp;"|"&amp;H464,Feature_Mappings!$A$2:$C$16,3,FALSE()),"")</f>
        <v>BeautyTech Pro</v>
      </c>
      <c r="M464" t="str">
        <f>IFERROR(VLOOKUP(J464,Feature_Mappings!$D$2:$E$5,2,FALSE()),"")</f>
        <v>Liam Carter</v>
      </c>
      <c r="N464" t="s">
        <v>274</v>
      </c>
      <c r="O464" t="str">
        <f>IFERROR(INDEX(Store_Manager!$A$2:$A$5,MATCH(M464,Store_Manager!$B$2:$B$5,0)),"")</f>
        <v>MGR002</v>
      </c>
    </row>
    <row r="465" spans="1:15" ht="15.75" customHeight="1">
      <c r="A465">
        <v>464</v>
      </c>
      <c r="B465" s="2">
        <v>44939</v>
      </c>
      <c r="C465" t="s">
        <v>487</v>
      </c>
      <c r="D465" t="s">
        <v>16</v>
      </c>
      <c r="E465">
        <v>38</v>
      </c>
      <c r="F465" s="3" t="s">
        <v>24</v>
      </c>
      <c r="G465">
        <v>2</v>
      </c>
      <c r="H465" s="4">
        <v>300</v>
      </c>
      <c r="I465" s="4">
        <v>600</v>
      </c>
      <c r="J465" t="s">
        <v>273</v>
      </c>
      <c r="K465" t="str">
        <f>IFERROR(VLOOKUP(F465&amp;"|"&amp;H465,Feature_Mappings!$A$2:$C$16,2,FALSE()),"")</f>
        <v>Tablet</v>
      </c>
      <c r="L465" t="str">
        <f>IFERROR(VLOOKUP(F465&amp;"|"&amp;H465,Feature_Mappings!$A$2:$C$16,3,FALSE()),"")</f>
        <v>NextGen Devices</v>
      </c>
      <c r="M465" t="str">
        <f>IFERROR(VLOOKUP(J465,Feature_Mappings!$D$2:$E$5,2,FALSE()),"")</f>
        <v>Liam Carter</v>
      </c>
      <c r="N465" t="s">
        <v>274</v>
      </c>
      <c r="O465" t="str">
        <f>IFERROR(INDEX(Store_Manager!$A$2:$A$5,MATCH(M465,Store_Manager!$B$2:$B$5,0)),"")</f>
        <v>MGR002</v>
      </c>
    </row>
    <row r="466" spans="1:15" ht="15.75" customHeight="1">
      <c r="A466">
        <v>465</v>
      </c>
      <c r="B466" s="2">
        <v>45018</v>
      </c>
      <c r="C466" t="s">
        <v>488</v>
      </c>
      <c r="D466" t="s">
        <v>21</v>
      </c>
      <c r="E466">
        <v>43</v>
      </c>
      <c r="F466" s="3" t="s">
        <v>24</v>
      </c>
      <c r="G466">
        <v>3</v>
      </c>
      <c r="H466" s="4">
        <v>50</v>
      </c>
      <c r="I466" s="4">
        <v>150</v>
      </c>
      <c r="J466" t="s">
        <v>273</v>
      </c>
      <c r="K466" t="str">
        <f>IFERROR(VLOOKUP(F466&amp;"|"&amp;H466,Feature_Mappings!$A$2:$C$16,2,FALSE()),"")</f>
        <v>Bluetooth Speaker</v>
      </c>
      <c r="L466" t="str">
        <f>IFERROR(VLOOKUP(F466&amp;"|"&amp;H466,Feature_Mappings!$A$2:$C$16,3,FALSE()),"")</f>
        <v>SoundSphere Supply</v>
      </c>
      <c r="M466" t="str">
        <f>IFERROR(VLOOKUP(J466,Feature_Mappings!$D$2:$E$5,2,FALSE()),"")</f>
        <v>Liam Carter</v>
      </c>
      <c r="N466" t="s">
        <v>274</v>
      </c>
      <c r="O466" t="str">
        <f>IFERROR(INDEX(Store_Manager!$A$2:$A$5,MATCH(M466,Store_Manager!$B$2:$B$5,0)),"")</f>
        <v>MGR002</v>
      </c>
    </row>
    <row r="467" spans="1:15" ht="15.75" customHeight="1">
      <c r="A467">
        <v>466</v>
      </c>
      <c r="B467" s="2">
        <v>45097</v>
      </c>
      <c r="C467" t="s">
        <v>489</v>
      </c>
      <c r="D467" t="s">
        <v>16</v>
      </c>
      <c r="E467">
        <v>63</v>
      </c>
      <c r="F467" s="3" t="s">
        <v>24</v>
      </c>
      <c r="G467">
        <v>4</v>
      </c>
      <c r="H467" s="4">
        <v>25</v>
      </c>
      <c r="I467" s="4">
        <v>100</v>
      </c>
      <c r="J467" t="s">
        <v>273</v>
      </c>
      <c r="K467" t="str">
        <f>IFERROR(VLOOKUP(F467&amp;"|"&amp;H467,Feature_Mappings!$A$2:$C$16,2,FALSE()),"")</f>
        <v>USB-C Charger</v>
      </c>
      <c r="L467" t="str">
        <f>IFERROR(VLOOKUP(F467&amp;"|"&amp;H467,Feature_Mappings!$A$2:$C$16,3,FALSE()),"")</f>
        <v>VoltEdge Electronics</v>
      </c>
      <c r="M467" t="str">
        <f>IFERROR(VLOOKUP(J467,Feature_Mappings!$D$2:$E$5,2,FALSE()),"")</f>
        <v>Liam Carter</v>
      </c>
      <c r="N467" t="s">
        <v>274</v>
      </c>
      <c r="O467" t="str">
        <f>IFERROR(INDEX(Store_Manager!$A$2:$A$5,MATCH(M467,Store_Manager!$B$2:$B$5,0)),"")</f>
        <v>MGR002</v>
      </c>
    </row>
    <row r="468" spans="1:15" ht="15.75" customHeight="1">
      <c r="A468">
        <v>467</v>
      </c>
      <c r="B468" s="2">
        <v>45137</v>
      </c>
      <c r="C468" t="s">
        <v>490</v>
      </c>
      <c r="D468" t="s">
        <v>21</v>
      </c>
      <c r="E468">
        <v>53</v>
      </c>
      <c r="F468" s="3" t="s">
        <v>24</v>
      </c>
      <c r="G468">
        <v>3</v>
      </c>
      <c r="H468" s="4">
        <v>50</v>
      </c>
      <c r="I468" s="4">
        <v>150</v>
      </c>
      <c r="J468" t="s">
        <v>273</v>
      </c>
      <c r="K468" t="str">
        <f>IFERROR(VLOOKUP(F468&amp;"|"&amp;H468,Feature_Mappings!$A$2:$C$16,2,FALSE()),"")</f>
        <v>Bluetooth Speaker</v>
      </c>
      <c r="L468" t="str">
        <f>IFERROR(VLOOKUP(F468&amp;"|"&amp;H468,Feature_Mappings!$A$2:$C$16,3,FALSE()),"")</f>
        <v>SoundSphere Supply</v>
      </c>
      <c r="M468" t="str">
        <f>IFERROR(VLOOKUP(J468,Feature_Mappings!$D$2:$E$5,2,FALSE()),"")</f>
        <v>Liam Carter</v>
      </c>
      <c r="N468" t="s">
        <v>274</v>
      </c>
      <c r="O468" t="str">
        <f>IFERROR(INDEX(Store_Manager!$A$2:$A$5,MATCH(M468,Store_Manager!$B$2:$B$5,0)),"")</f>
        <v>MGR002</v>
      </c>
    </row>
    <row r="469" spans="1:15" ht="15.75" customHeight="1">
      <c r="A469">
        <v>468</v>
      </c>
      <c r="B469" s="2">
        <v>45269</v>
      </c>
      <c r="C469" t="s">
        <v>491</v>
      </c>
      <c r="D469" t="s">
        <v>16</v>
      </c>
      <c r="E469">
        <v>40</v>
      </c>
      <c r="F469" s="3" t="s">
        <v>24</v>
      </c>
      <c r="G469">
        <v>1</v>
      </c>
      <c r="H469" s="4">
        <v>25</v>
      </c>
      <c r="I469" s="4">
        <v>25</v>
      </c>
      <c r="J469" t="s">
        <v>273</v>
      </c>
      <c r="K469" t="str">
        <f>IFERROR(VLOOKUP(F469&amp;"|"&amp;H469,Feature_Mappings!$A$2:$C$16,2,FALSE()),"")</f>
        <v>USB-C Charger</v>
      </c>
      <c r="L469" t="str">
        <f>IFERROR(VLOOKUP(F469&amp;"|"&amp;H469,Feature_Mappings!$A$2:$C$16,3,FALSE()),"")</f>
        <v>VoltEdge Electronics</v>
      </c>
      <c r="M469" t="str">
        <f>IFERROR(VLOOKUP(J469,Feature_Mappings!$D$2:$E$5,2,FALSE()),"")</f>
        <v>Liam Carter</v>
      </c>
      <c r="N469" t="s">
        <v>274</v>
      </c>
      <c r="O469" t="str">
        <f>IFERROR(INDEX(Store_Manager!$A$2:$A$5,MATCH(M469,Store_Manager!$B$2:$B$5,0)),"")</f>
        <v>MGR002</v>
      </c>
    </row>
    <row r="470" spans="1:15" ht="15.75" customHeight="1">
      <c r="A470">
        <v>469</v>
      </c>
      <c r="B470" s="2">
        <v>45054</v>
      </c>
      <c r="C470" t="s">
        <v>492</v>
      </c>
      <c r="D470" t="s">
        <v>16</v>
      </c>
      <c r="E470">
        <v>18</v>
      </c>
      <c r="F470" s="3" t="s">
        <v>17</v>
      </c>
      <c r="G470">
        <v>3</v>
      </c>
      <c r="H470" s="4">
        <v>25</v>
      </c>
      <c r="I470" s="4">
        <v>75</v>
      </c>
      <c r="J470" t="s">
        <v>273</v>
      </c>
      <c r="K470" t="str">
        <f>IFERROR(VLOOKUP(F470&amp;"|"&amp;H470,Feature_Mappings!$A$2:$C$16,2,FALSE()),"")</f>
        <v>Lip Balm</v>
      </c>
      <c r="L470" t="str">
        <f>IFERROR(VLOOKUP(F470&amp;"|"&amp;H470,Feature_Mappings!$A$2:$C$16,3,FALSE()),"")</f>
        <v>GlowSource Cosmetics</v>
      </c>
      <c r="M470" t="str">
        <f>IFERROR(VLOOKUP(J470,Feature_Mappings!$D$2:$E$5,2,FALSE()),"")</f>
        <v>Liam Carter</v>
      </c>
      <c r="N470" t="s">
        <v>274</v>
      </c>
      <c r="O470" t="str">
        <f>IFERROR(INDEX(Store_Manager!$A$2:$A$5,MATCH(M470,Store_Manager!$B$2:$B$5,0)),"")</f>
        <v>MGR002</v>
      </c>
    </row>
    <row r="471" spans="1:15" ht="15.75" customHeight="1">
      <c r="A471">
        <v>470</v>
      </c>
      <c r="B471" s="2">
        <v>45063</v>
      </c>
      <c r="C471" t="s">
        <v>493</v>
      </c>
      <c r="D471" t="s">
        <v>21</v>
      </c>
      <c r="E471">
        <v>57</v>
      </c>
      <c r="F471" s="3" t="s">
        <v>22</v>
      </c>
      <c r="G471">
        <v>2</v>
      </c>
      <c r="H471" s="4">
        <v>500</v>
      </c>
      <c r="I471" s="4">
        <v>1000</v>
      </c>
      <c r="J471" t="s">
        <v>273</v>
      </c>
      <c r="K471" t="str">
        <f>IFERROR(VLOOKUP(F471&amp;"|"&amp;H471,Feature_Mappings!$A$2:$C$16,2,FALSE()),"")</f>
        <v>Designer Coat</v>
      </c>
      <c r="L471" t="str">
        <f>IFERROR(VLOOKUP(F471&amp;"|"&amp;H471,Feature_Mappings!$A$2:$C$16,3,FALSE()),"")</f>
        <v>Prestige Fashion House</v>
      </c>
      <c r="M471" t="str">
        <f>IFERROR(VLOOKUP(J471,Feature_Mappings!$D$2:$E$5,2,FALSE()),"")</f>
        <v>Liam Carter</v>
      </c>
      <c r="N471" t="s">
        <v>274</v>
      </c>
      <c r="O471" t="str">
        <f>IFERROR(INDEX(Store_Manager!$A$2:$A$5,MATCH(M471,Store_Manager!$B$2:$B$5,0)),"")</f>
        <v>MGR002</v>
      </c>
    </row>
    <row r="472" spans="1:15" ht="15.75" customHeight="1">
      <c r="A472">
        <v>471</v>
      </c>
      <c r="B472" s="2">
        <v>45008</v>
      </c>
      <c r="C472" t="s">
        <v>494</v>
      </c>
      <c r="D472" t="s">
        <v>16</v>
      </c>
      <c r="E472">
        <v>32</v>
      </c>
      <c r="F472" s="3" t="s">
        <v>22</v>
      </c>
      <c r="G472">
        <v>3</v>
      </c>
      <c r="H472" s="4">
        <v>50</v>
      </c>
      <c r="I472" s="4">
        <v>150</v>
      </c>
      <c r="J472" t="s">
        <v>273</v>
      </c>
      <c r="K472" t="str">
        <f>IFERROR(VLOOKUP(F472&amp;"|"&amp;H472,Feature_Mappings!$A$2:$C$16,2,FALSE()),"")</f>
        <v>Denim Jeans</v>
      </c>
      <c r="L472" t="str">
        <f>IFERROR(VLOOKUP(F472&amp;"|"&amp;H472,Feature_Mappings!$A$2:$C$16,3,FALSE()),"")</f>
        <v>BlueFit Garments</v>
      </c>
      <c r="M472" t="str">
        <f>IFERROR(VLOOKUP(J472,Feature_Mappings!$D$2:$E$5,2,FALSE()),"")</f>
        <v>Liam Carter</v>
      </c>
      <c r="N472" t="s">
        <v>274</v>
      </c>
      <c r="O472" t="str">
        <f>IFERROR(INDEX(Store_Manager!$A$2:$A$5,MATCH(M472,Store_Manager!$B$2:$B$5,0)),"")</f>
        <v>MGR002</v>
      </c>
    </row>
    <row r="473" spans="1:15" ht="15.75" customHeight="1">
      <c r="A473">
        <v>472</v>
      </c>
      <c r="B473" s="2">
        <v>45286</v>
      </c>
      <c r="C473" t="s">
        <v>495</v>
      </c>
      <c r="D473" t="s">
        <v>21</v>
      </c>
      <c r="E473">
        <v>38</v>
      </c>
      <c r="F473" s="3" t="s">
        <v>17</v>
      </c>
      <c r="G473">
        <v>3</v>
      </c>
      <c r="H473" s="4">
        <v>300</v>
      </c>
      <c r="I473" s="4">
        <v>900</v>
      </c>
      <c r="J473" t="s">
        <v>273</v>
      </c>
      <c r="K473" t="str">
        <f>IFERROR(VLOOKUP(F473&amp;"|"&amp;H473,Feature_Mappings!$A$2:$C$16,2,FALSE()),"")</f>
        <v>Skincare Gift Set</v>
      </c>
      <c r="L473" t="str">
        <f>IFERROR(VLOOKUP(F473&amp;"|"&amp;H473,Feature_Mappings!$A$2:$C$16,3,FALSE()),"")</f>
        <v>Radiant Beauty Wholesale</v>
      </c>
      <c r="M473" t="str">
        <f>IFERROR(VLOOKUP(J473,Feature_Mappings!$D$2:$E$5,2,FALSE()),"")</f>
        <v>Liam Carter</v>
      </c>
      <c r="N473" t="s">
        <v>274</v>
      </c>
      <c r="O473" t="str">
        <f>IFERROR(INDEX(Store_Manager!$A$2:$A$5,MATCH(M473,Store_Manager!$B$2:$B$5,0)),"")</f>
        <v>MGR002</v>
      </c>
    </row>
    <row r="474" spans="1:15" ht="15.75" customHeight="1">
      <c r="A474">
        <v>473</v>
      </c>
      <c r="B474" s="2">
        <v>44982</v>
      </c>
      <c r="C474" t="s">
        <v>496</v>
      </c>
      <c r="D474" t="s">
        <v>16</v>
      </c>
      <c r="E474">
        <v>64</v>
      </c>
      <c r="F474" s="3" t="s">
        <v>17</v>
      </c>
      <c r="G474">
        <v>1</v>
      </c>
      <c r="H474" s="4">
        <v>50</v>
      </c>
      <c r="I474" s="4">
        <v>50</v>
      </c>
      <c r="J474" t="s">
        <v>273</v>
      </c>
      <c r="K474" t="str">
        <f>IFERROR(VLOOKUP(F474&amp;"|"&amp;H474,Feature_Mappings!$A$2:$C$16,2,FALSE()),"")</f>
        <v>Eau de Parfum</v>
      </c>
      <c r="L474" t="str">
        <f>IFERROR(VLOOKUP(F474&amp;"|"&amp;H474,Feature_Mappings!$A$2:$C$16,3,FALSE()),"")</f>
        <v>Luxe Aroma Labs</v>
      </c>
      <c r="M474" t="str">
        <f>IFERROR(VLOOKUP(J474,Feature_Mappings!$D$2:$E$5,2,FALSE()),"")</f>
        <v>Liam Carter</v>
      </c>
      <c r="N474" t="s">
        <v>274</v>
      </c>
      <c r="O474" t="str">
        <f>IFERROR(INDEX(Store_Manager!$A$2:$A$5,MATCH(M474,Store_Manager!$B$2:$B$5,0)),"")</f>
        <v>MGR002</v>
      </c>
    </row>
    <row r="475" spans="1:15" ht="15.75" customHeight="1">
      <c r="A475">
        <v>474</v>
      </c>
      <c r="B475" s="2">
        <v>45122</v>
      </c>
      <c r="C475" t="s">
        <v>497</v>
      </c>
      <c r="D475" t="s">
        <v>21</v>
      </c>
      <c r="E475">
        <v>26</v>
      </c>
      <c r="F475" s="3" t="s">
        <v>22</v>
      </c>
      <c r="G475">
        <v>3</v>
      </c>
      <c r="H475" s="4">
        <v>500</v>
      </c>
      <c r="I475" s="4">
        <v>1500</v>
      </c>
      <c r="J475" t="s">
        <v>273</v>
      </c>
      <c r="K475" t="str">
        <f>IFERROR(VLOOKUP(F475&amp;"|"&amp;H475,Feature_Mappings!$A$2:$C$16,2,FALSE()),"")</f>
        <v>Designer Coat</v>
      </c>
      <c r="L475" t="str">
        <f>IFERROR(VLOOKUP(F475&amp;"|"&amp;H475,Feature_Mappings!$A$2:$C$16,3,FALSE()),"")</f>
        <v>Prestige Fashion House</v>
      </c>
      <c r="M475" t="str">
        <f>IFERROR(VLOOKUP(J475,Feature_Mappings!$D$2:$E$5,2,FALSE()),"")</f>
        <v>Liam Carter</v>
      </c>
      <c r="N475" t="s">
        <v>274</v>
      </c>
      <c r="O475" t="str">
        <f>IFERROR(INDEX(Store_Manager!$A$2:$A$5,MATCH(M475,Store_Manager!$B$2:$B$5,0)),"")</f>
        <v>MGR002</v>
      </c>
    </row>
    <row r="476" spans="1:15" ht="15.75" customHeight="1">
      <c r="A476">
        <v>475</v>
      </c>
      <c r="B476" s="2">
        <v>44946</v>
      </c>
      <c r="C476" t="s">
        <v>498</v>
      </c>
      <c r="D476" t="s">
        <v>16</v>
      </c>
      <c r="E476">
        <v>26</v>
      </c>
      <c r="F476" s="3" t="s">
        <v>22</v>
      </c>
      <c r="G476">
        <v>3</v>
      </c>
      <c r="H476" s="4">
        <v>25</v>
      </c>
      <c r="I476" s="4">
        <v>75</v>
      </c>
      <c r="J476" t="s">
        <v>273</v>
      </c>
      <c r="K476" t="str">
        <f>IFERROR(VLOOKUP(F476&amp;"|"&amp;H476,Feature_Mappings!$A$2:$C$16,2,FALSE()),"")</f>
        <v>Cotton Socks</v>
      </c>
      <c r="L476" t="str">
        <f>IFERROR(VLOOKUP(F476&amp;"|"&amp;H476,Feature_Mappings!$A$2:$C$16,3,FALSE()),"")</f>
        <v>Urban Basics Co.</v>
      </c>
      <c r="M476" t="str">
        <f>IFERROR(VLOOKUP(J476,Feature_Mappings!$D$2:$E$5,2,FALSE()),"")</f>
        <v>Liam Carter</v>
      </c>
      <c r="N476" t="s">
        <v>274</v>
      </c>
      <c r="O476" t="str">
        <f>IFERROR(INDEX(Store_Manager!$A$2:$A$5,MATCH(M476,Store_Manager!$B$2:$B$5,0)),"")</f>
        <v>MGR002</v>
      </c>
    </row>
    <row r="477" spans="1:15" ht="15.75" customHeight="1">
      <c r="A477">
        <v>476</v>
      </c>
      <c r="B477" s="2">
        <v>45167</v>
      </c>
      <c r="C477" t="s">
        <v>499</v>
      </c>
      <c r="D477" t="s">
        <v>21</v>
      </c>
      <c r="E477">
        <v>27</v>
      </c>
      <c r="F477" s="3" t="s">
        <v>22</v>
      </c>
      <c r="G477">
        <v>4</v>
      </c>
      <c r="H477" s="4">
        <v>500</v>
      </c>
      <c r="I477" s="4">
        <v>2000</v>
      </c>
      <c r="J477" t="s">
        <v>273</v>
      </c>
      <c r="K477" t="str">
        <f>IFERROR(VLOOKUP(F477&amp;"|"&amp;H477,Feature_Mappings!$A$2:$C$16,2,FALSE()),"")</f>
        <v>Designer Coat</v>
      </c>
      <c r="L477" t="str">
        <f>IFERROR(VLOOKUP(F477&amp;"|"&amp;H477,Feature_Mappings!$A$2:$C$16,3,FALSE()),"")</f>
        <v>Prestige Fashion House</v>
      </c>
      <c r="M477" t="str">
        <f>IFERROR(VLOOKUP(J477,Feature_Mappings!$D$2:$E$5,2,FALSE()),"")</f>
        <v>Liam Carter</v>
      </c>
      <c r="N477" t="s">
        <v>274</v>
      </c>
      <c r="O477" t="str">
        <f>IFERROR(INDEX(Store_Manager!$A$2:$A$5,MATCH(M477,Store_Manager!$B$2:$B$5,0)),"")</f>
        <v>MGR002</v>
      </c>
    </row>
    <row r="478" spans="1:15" ht="15.75" customHeight="1">
      <c r="A478">
        <v>477</v>
      </c>
      <c r="B478" s="2">
        <v>45040</v>
      </c>
      <c r="C478" t="s">
        <v>500</v>
      </c>
      <c r="D478" t="s">
        <v>16</v>
      </c>
      <c r="E478">
        <v>43</v>
      </c>
      <c r="F478" s="3" t="s">
        <v>22</v>
      </c>
      <c r="G478">
        <v>4</v>
      </c>
      <c r="H478" s="4">
        <v>30</v>
      </c>
      <c r="I478" s="4">
        <v>120</v>
      </c>
      <c r="J478" t="s">
        <v>273</v>
      </c>
      <c r="K478" t="str">
        <f>IFERROR(VLOOKUP(F478&amp;"|"&amp;H478,Feature_Mappings!$A$2:$C$16,2,FALSE()),"")</f>
        <v>Graphic T-Shirt</v>
      </c>
      <c r="L478" t="str">
        <f>IFERROR(VLOOKUP(F478&amp;"|"&amp;H478,Feature_Mappings!$A$2:$C$16,3,FALSE()),"")</f>
        <v>ThreadWorks Apparel</v>
      </c>
      <c r="M478" t="str">
        <f>IFERROR(VLOOKUP(J478,Feature_Mappings!$D$2:$E$5,2,FALSE()),"")</f>
        <v>Liam Carter</v>
      </c>
      <c r="N478" t="s">
        <v>274</v>
      </c>
      <c r="O478" t="str">
        <f>IFERROR(INDEX(Store_Manager!$A$2:$A$5,MATCH(M478,Store_Manager!$B$2:$B$5,0)),"")</f>
        <v>MGR002</v>
      </c>
    </row>
    <row r="479" spans="1:15" ht="15.75" customHeight="1">
      <c r="A479">
        <v>478</v>
      </c>
      <c r="B479" s="2">
        <v>45029</v>
      </c>
      <c r="C479" t="s">
        <v>501</v>
      </c>
      <c r="D479" t="s">
        <v>21</v>
      </c>
      <c r="E479">
        <v>58</v>
      </c>
      <c r="F479" s="3" t="s">
        <v>22</v>
      </c>
      <c r="G479">
        <v>2</v>
      </c>
      <c r="H479" s="4">
        <v>30</v>
      </c>
      <c r="I479" s="4">
        <v>60</v>
      </c>
      <c r="J479" t="s">
        <v>273</v>
      </c>
      <c r="K479" t="str">
        <f>IFERROR(VLOOKUP(F479&amp;"|"&amp;H479,Feature_Mappings!$A$2:$C$16,2,FALSE()),"")</f>
        <v>Graphic T-Shirt</v>
      </c>
      <c r="L479" t="str">
        <f>IFERROR(VLOOKUP(F479&amp;"|"&amp;H479,Feature_Mappings!$A$2:$C$16,3,FALSE()),"")</f>
        <v>ThreadWorks Apparel</v>
      </c>
      <c r="M479" t="str">
        <f>IFERROR(VLOOKUP(J479,Feature_Mappings!$D$2:$E$5,2,FALSE()),"")</f>
        <v>Liam Carter</v>
      </c>
      <c r="N479" t="s">
        <v>274</v>
      </c>
      <c r="O479" t="str">
        <f>IFERROR(INDEX(Store_Manager!$A$2:$A$5,MATCH(M479,Store_Manager!$B$2:$B$5,0)),"")</f>
        <v>MGR002</v>
      </c>
    </row>
    <row r="480" spans="1:15" ht="15.75" customHeight="1">
      <c r="A480">
        <v>479</v>
      </c>
      <c r="B480" s="2">
        <v>45162</v>
      </c>
      <c r="C480" t="s">
        <v>502</v>
      </c>
      <c r="D480" t="s">
        <v>16</v>
      </c>
      <c r="E480">
        <v>52</v>
      </c>
      <c r="F480" s="3" t="s">
        <v>24</v>
      </c>
      <c r="G480">
        <v>4</v>
      </c>
      <c r="H480" s="4">
        <v>300</v>
      </c>
      <c r="I480" s="4">
        <v>1200</v>
      </c>
      <c r="J480" t="s">
        <v>273</v>
      </c>
      <c r="K480" t="str">
        <f>IFERROR(VLOOKUP(F480&amp;"|"&amp;H480,Feature_Mappings!$A$2:$C$16,2,FALSE()),"")</f>
        <v>Tablet</v>
      </c>
      <c r="L480" t="str">
        <f>IFERROR(VLOOKUP(F480&amp;"|"&amp;H480,Feature_Mappings!$A$2:$C$16,3,FALSE()),"")</f>
        <v>NextGen Devices</v>
      </c>
      <c r="M480" t="str">
        <f>IFERROR(VLOOKUP(J480,Feature_Mappings!$D$2:$E$5,2,FALSE()),"")</f>
        <v>Liam Carter</v>
      </c>
      <c r="N480" t="s">
        <v>274</v>
      </c>
      <c r="O480" t="str">
        <f>IFERROR(INDEX(Store_Manager!$A$2:$A$5,MATCH(M480,Store_Manager!$B$2:$B$5,0)),"")</f>
        <v>MGR002</v>
      </c>
    </row>
    <row r="481" spans="1:15" ht="15.75" customHeight="1">
      <c r="A481">
        <v>480</v>
      </c>
      <c r="B481" s="2">
        <v>45106</v>
      </c>
      <c r="C481" t="s">
        <v>503</v>
      </c>
      <c r="D481" t="s">
        <v>21</v>
      </c>
      <c r="E481">
        <v>42</v>
      </c>
      <c r="F481" s="3" t="s">
        <v>17</v>
      </c>
      <c r="G481">
        <v>4</v>
      </c>
      <c r="H481" s="4">
        <v>500</v>
      </c>
      <c r="I481" s="4">
        <v>2000</v>
      </c>
      <c r="J481" t="s">
        <v>273</v>
      </c>
      <c r="K481" t="str">
        <f>IFERROR(VLOOKUP(F481&amp;"|"&amp;H481,Feature_Mappings!$A$2:$C$16,2,FALSE()),"")</f>
        <v>LED Beauty Device</v>
      </c>
      <c r="L481" t="str">
        <f>IFERROR(VLOOKUP(F481&amp;"|"&amp;H481,Feature_Mappings!$A$2:$C$16,3,FALSE()),"")</f>
        <v>BeautyTech Pro</v>
      </c>
      <c r="M481" t="str">
        <f>IFERROR(VLOOKUP(J481,Feature_Mappings!$D$2:$E$5,2,FALSE()),"")</f>
        <v>Liam Carter</v>
      </c>
      <c r="N481" t="s">
        <v>274</v>
      </c>
      <c r="O481" t="str">
        <f>IFERROR(INDEX(Store_Manager!$A$2:$A$5,MATCH(M481,Store_Manager!$B$2:$B$5,0)),"")</f>
        <v>MGR002</v>
      </c>
    </row>
    <row r="482" spans="1:15" ht="15.75" customHeight="1">
      <c r="A482">
        <v>481</v>
      </c>
      <c r="B482" s="2">
        <v>45083</v>
      </c>
      <c r="C482" t="s">
        <v>504</v>
      </c>
      <c r="D482" t="s">
        <v>21</v>
      </c>
      <c r="E482">
        <v>43</v>
      </c>
      <c r="F482" s="3" t="s">
        <v>24</v>
      </c>
      <c r="G482">
        <v>4</v>
      </c>
      <c r="H482" s="4">
        <v>300</v>
      </c>
      <c r="I482" s="4">
        <v>1200</v>
      </c>
      <c r="J482" t="s">
        <v>273</v>
      </c>
      <c r="K482" t="str">
        <f>IFERROR(VLOOKUP(F482&amp;"|"&amp;H482,Feature_Mappings!$A$2:$C$16,2,FALSE()),"")</f>
        <v>Tablet</v>
      </c>
      <c r="L482" t="str">
        <f>IFERROR(VLOOKUP(F482&amp;"|"&amp;H482,Feature_Mappings!$A$2:$C$16,3,FALSE()),"")</f>
        <v>NextGen Devices</v>
      </c>
      <c r="M482" t="str">
        <f>IFERROR(VLOOKUP(J482,Feature_Mappings!$D$2:$E$5,2,FALSE()),"")</f>
        <v>Liam Carter</v>
      </c>
      <c r="N482" t="s">
        <v>274</v>
      </c>
      <c r="O482" t="str">
        <f>IFERROR(INDEX(Store_Manager!$A$2:$A$5,MATCH(M482,Store_Manager!$B$2:$B$5,0)),"")</f>
        <v>MGR002</v>
      </c>
    </row>
    <row r="483" spans="1:15" ht="15.75" customHeight="1">
      <c r="A483">
        <v>482</v>
      </c>
      <c r="B483" s="2">
        <v>45043</v>
      </c>
      <c r="C483" t="s">
        <v>505</v>
      </c>
      <c r="D483" t="s">
        <v>21</v>
      </c>
      <c r="E483">
        <v>28</v>
      </c>
      <c r="F483" s="3" t="s">
        <v>22</v>
      </c>
      <c r="G483">
        <v>4</v>
      </c>
      <c r="H483" s="4">
        <v>300</v>
      </c>
      <c r="I483" s="4">
        <v>1200</v>
      </c>
      <c r="J483" t="s">
        <v>273</v>
      </c>
      <c r="K483" t="str">
        <f>IFERROR(VLOOKUP(F483&amp;"|"&amp;H483,Feature_Mappings!$A$2:$C$16,2,FALSE()),"")</f>
        <v>Leather Jacket</v>
      </c>
      <c r="L483" t="str">
        <f>IFERROR(VLOOKUP(F483&amp;"|"&amp;H483,Feature_Mappings!$A$2:$C$16,3,FALSE()),"")</f>
        <v>Metro Style Manufacturing</v>
      </c>
      <c r="M483" t="str">
        <f>IFERROR(VLOOKUP(J483,Feature_Mappings!$D$2:$E$5,2,FALSE()),"")</f>
        <v>Liam Carter</v>
      </c>
      <c r="N483" t="s">
        <v>274</v>
      </c>
      <c r="O483" t="str">
        <f>IFERROR(INDEX(Store_Manager!$A$2:$A$5,MATCH(M483,Store_Manager!$B$2:$B$5,0)),"")</f>
        <v>MGR002</v>
      </c>
    </row>
    <row r="484" spans="1:15" ht="15.75" customHeight="1">
      <c r="A484">
        <v>483</v>
      </c>
      <c r="B484" s="2">
        <v>45041</v>
      </c>
      <c r="C484" t="s">
        <v>506</v>
      </c>
      <c r="D484" t="s">
        <v>16</v>
      </c>
      <c r="E484">
        <v>55</v>
      </c>
      <c r="F484" s="3" t="s">
        <v>22</v>
      </c>
      <c r="G484">
        <v>1</v>
      </c>
      <c r="H484" s="4">
        <v>30</v>
      </c>
      <c r="I484" s="4">
        <v>30</v>
      </c>
      <c r="J484" t="s">
        <v>273</v>
      </c>
      <c r="K484" t="str">
        <f>IFERROR(VLOOKUP(F484&amp;"|"&amp;H484,Feature_Mappings!$A$2:$C$16,2,FALSE()),"")</f>
        <v>Graphic T-Shirt</v>
      </c>
      <c r="L484" t="str">
        <f>IFERROR(VLOOKUP(F484&amp;"|"&amp;H484,Feature_Mappings!$A$2:$C$16,3,FALSE()),"")</f>
        <v>ThreadWorks Apparel</v>
      </c>
      <c r="M484" t="str">
        <f>IFERROR(VLOOKUP(J484,Feature_Mappings!$D$2:$E$5,2,FALSE()),"")</f>
        <v>Liam Carter</v>
      </c>
      <c r="N484" t="s">
        <v>274</v>
      </c>
      <c r="O484" t="str">
        <f>IFERROR(INDEX(Store_Manager!$A$2:$A$5,MATCH(M484,Store_Manager!$B$2:$B$5,0)),"")</f>
        <v>MGR002</v>
      </c>
    </row>
    <row r="485" spans="1:15" ht="15.75" customHeight="1">
      <c r="A485">
        <v>484</v>
      </c>
      <c r="B485" s="2">
        <v>44939</v>
      </c>
      <c r="C485" t="s">
        <v>507</v>
      </c>
      <c r="D485" t="s">
        <v>21</v>
      </c>
      <c r="E485">
        <v>19</v>
      </c>
      <c r="F485" s="3" t="s">
        <v>22</v>
      </c>
      <c r="G485">
        <v>4</v>
      </c>
      <c r="H485" s="4">
        <v>300</v>
      </c>
      <c r="I485" s="4">
        <v>1200</v>
      </c>
      <c r="J485" t="s">
        <v>273</v>
      </c>
      <c r="K485" t="str">
        <f>IFERROR(VLOOKUP(F485&amp;"|"&amp;H485,Feature_Mappings!$A$2:$C$16,2,FALSE()),"")</f>
        <v>Leather Jacket</v>
      </c>
      <c r="L485" t="str">
        <f>IFERROR(VLOOKUP(F485&amp;"|"&amp;H485,Feature_Mappings!$A$2:$C$16,3,FALSE()),"")</f>
        <v>Metro Style Manufacturing</v>
      </c>
      <c r="M485" t="str">
        <f>IFERROR(VLOOKUP(J485,Feature_Mappings!$D$2:$E$5,2,FALSE()),"")</f>
        <v>Liam Carter</v>
      </c>
      <c r="N485" t="s">
        <v>274</v>
      </c>
      <c r="O485" t="str">
        <f>IFERROR(INDEX(Store_Manager!$A$2:$A$5,MATCH(M485,Store_Manager!$B$2:$B$5,0)),"")</f>
        <v>MGR002</v>
      </c>
    </row>
    <row r="486" spans="1:15" ht="15.75" customHeight="1">
      <c r="A486">
        <v>485</v>
      </c>
      <c r="B486" s="2">
        <v>45264</v>
      </c>
      <c r="C486" t="s">
        <v>508</v>
      </c>
      <c r="D486" t="s">
        <v>16</v>
      </c>
      <c r="E486">
        <v>24</v>
      </c>
      <c r="F486" s="3" t="s">
        <v>24</v>
      </c>
      <c r="G486">
        <v>1</v>
      </c>
      <c r="H486" s="4">
        <v>30</v>
      </c>
      <c r="I486" s="4">
        <v>30</v>
      </c>
      <c r="J486" t="s">
        <v>273</v>
      </c>
      <c r="K486" t="str">
        <f>IFERROR(VLOOKUP(F486&amp;"|"&amp;H486,Feature_Mappings!$A$2:$C$16,2,FALSE()),"")</f>
        <v>Wireless Mouse</v>
      </c>
      <c r="L486" t="str">
        <f>IFERROR(VLOOKUP(F486&amp;"|"&amp;H486,Feature_Mappings!$A$2:$C$16,3,FALSE()),"")</f>
        <v>ByteWave Distributors</v>
      </c>
      <c r="M486" t="str">
        <f>IFERROR(VLOOKUP(J486,Feature_Mappings!$D$2:$E$5,2,FALSE()),"")</f>
        <v>Liam Carter</v>
      </c>
      <c r="N486" t="s">
        <v>274</v>
      </c>
      <c r="O486" t="str">
        <f>IFERROR(INDEX(Store_Manager!$A$2:$A$5,MATCH(M486,Store_Manager!$B$2:$B$5,0)),"")</f>
        <v>MGR002</v>
      </c>
    </row>
    <row r="487" spans="1:15" ht="15.75" customHeight="1">
      <c r="A487">
        <v>486</v>
      </c>
      <c r="B487" s="2">
        <v>45025</v>
      </c>
      <c r="C487" t="s">
        <v>509</v>
      </c>
      <c r="D487" t="s">
        <v>21</v>
      </c>
      <c r="E487">
        <v>35</v>
      </c>
      <c r="F487" s="3" t="s">
        <v>24</v>
      </c>
      <c r="G487">
        <v>1</v>
      </c>
      <c r="H487" s="4">
        <v>25</v>
      </c>
      <c r="I487" s="4">
        <v>25</v>
      </c>
      <c r="J487" t="s">
        <v>273</v>
      </c>
      <c r="K487" t="str">
        <f>IFERROR(VLOOKUP(F487&amp;"|"&amp;H487,Feature_Mappings!$A$2:$C$16,2,FALSE()),"")</f>
        <v>USB-C Charger</v>
      </c>
      <c r="L487" t="str">
        <f>IFERROR(VLOOKUP(F487&amp;"|"&amp;H487,Feature_Mappings!$A$2:$C$16,3,FALSE()),"")</f>
        <v>VoltEdge Electronics</v>
      </c>
      <c r="M487" t="str">
        <f>IFERROR(VLOOKUP(J487,Feature_Mappings!$D$2:$E$5,2,FALSE()),"")</f>
        <v>Liam Carter</v>
      </c>
      <c r="N487" t="s">
        <v>274</v>
      </c>
      <c r="O487" t="str">
        <f>IFERROR(INDEX(Store_Manager!$A$2:$A$5,MATCH(M487,Store_Manager!$B$2:$B$5,0)),"")</f>
        <v>MGR002</v>
      </c>
    </row>
    <row r="488" spans="1:15" ht="15.75" customHeight="1">
      <c r="A488">
        <v>487</v>
      </c>
      <c r="B488" s="2">
        <v>45131</v>
      </c>
      <c r="C488" t="s">
        <v>510</v>
      </c>
      <c r="D488" t="s">
        <v>16</v>
      </c>
      <c r="E488">
        <v>44</v>
      </c>
      <c r="F488" s="3" t="s">
        <v>22</v>
      </c>
      <c r="G488">
        <v>4</v>
      </c>
      <c r="H488" s="4">
        <v>500</v>
      </c>
      <c r="I488" s="4">
        <v>2000</v>
      </c>
      <c r="J488" t="s">
        <v>273</v>
      </c>
      <c r="K488" t="str">
        <f>IFERROR(VLOOKUP(F488&amp;"|"&amp;H488,Feature_Mappings!$A$2:$C$16,2,FALSE()),"")</f>
        <v>Designer Coat</v>
      </c>
      <c r="L488" t="str">
        <f>IFERROR(VLOOKUP(F488&amp;"|"&amp;H488,Feature_Mappings!$A$2:$C$16,3,FALSE()),"")</f>
        <v>Prestige Fashion House</v>
      </c>
      <c r="M488" t="str">
        <f>IFERROR(VLOOKUP(J488,Feature_Mappings!$D$2:$E$5,2,FALSE()),"")</f>
        <v>Liam Carter</v>
      </c>
      <c r="N488" t="s">
        <v>274</v>
      </c>
      <c r="O488" t="str">
        <f>IFERROR(INDEX(Store_Manager!$A$2:$A$5,MATCH(M488,Store_Manager!$B$2:$B$5,0)),"")</f>
        <v>MGR002</v>
      </c>
    </row>
    <row r="489" spans="1:15" ht="15.75" customHeight="1">
      <c r="A489">
        <v>488</v>
      </c>
      <c r="B489" s="2">
        <v>45095</v>
      </c>
      <c r="C489" t="s">
        <v>511</v>
      </c>
      <c r="D489" t="s">
        <v>21</v>
      </c>
      <c r="E489">
        <v>51</v>
      </c>
      <c r="F489" s="3" t="s">
        <v>24</v>
      </c>
      <c r="G489">
        <v>3</v>
      </c>
      <c r="H489" s="4">
        <v>300</v>
      </c>
      <c r="I489" s="4">
        <v>900</v>
      </c>
      <c r="J489" t="s">
        <v>273</v>
      </c>
      <c r="K489" t="str">
        <f>IFERROR(VLOOKUP(F489&amp;"|"&amp;H489,Feature_Mappings!$A$2:$C$16,2,FALSE()),"")</f>
        <v>Tablet</v>
      </c>
      <c r="L489" t="str">
        <f>IFERROR(VLOOKUP(F489&amp;"|"&amp;H489,Feature_Mappings!$A$2:$C$16,3,FALSE()),"")</f>
        <v>NextGen Devices</v>
      </c>
      <c r="M489" t="str">
        <f>IFERROR(VLOOKUP(J489,Feature_Mappings!$D$2:$E$5,2,FALSE()),"")</f>
        <v>Liam Carter</v>
      </c>
      <c r="N489" t="s">
        <v>274</v>
      </c>
      <c r="O489" t="str">
        <f>IFERROR(INDEX(Store_Manager!$A$2:$A$5,MATCH(M489,Store_Manager!$B$2:$B$5,0)),"")</f>
        <v>MGR002</v>
      </c>
    </row>
    <row r="490" spans="1:15" ht="15.75" customHeight="1">
      <c r="A490">
        <v>489</v>
      </c>
      <c r="B490" s="2">
        <v>45069</v>
      </c>
      <c r="C490" t="s">
        <v>512</v>
      </c>
      <c r="D490" t="s">
        <v>16</v>
      </c>
      <c r="E490">
        <v>44</v>
      </c>
      <c r="F490" s="3" t="s">
        <v>24</v>
      </c>
      <c r="G490">
        <v>1</v>
      </c>
      <c r="H490" s="4">
        <v>30</v>
      </c>
      <c r="I490" s="4">
        <v>30</v>
      </c>
      <c r="J490" t="s">
        <v>273</v>
      </c>
      <c r="K490" t="str">
        <f>IFERROR(VLOOKUP(F490&amp;"|"&amp;H490,Feature_Mappings!$A$2:$C$16,2,FALSE()),"")</f>
        <v>Wireless Mouse</v>
      </c>
      <c r="L490" t="str">
        <f>IFERROR(VLOOKUP(F490&amp;"|"&amp;H490,Feature_Mappings!$A$2:$C$16,3,FALSE()),"")</f>
        <v>ByteWave Distributors</v>
      </c>
      <c r="M490" t="str">
        <f>IFERROR(VLOOKUP(J490,Feature_Mappings!$D$2:$E$5,2,FALSE()),"")</f>
        <v>Liam Carter</v>
      </c>
      <c r="N490" t="s">
        <v>274</v>
      </c>
      <c r="O490" t="str">
        <f>IFERROR(INDEX(Store_Manager!$A$2:$A$5,MATCH(M490,Store_Manager!$B$2:$B$5,0)),"")</f>
        <v>MGR002</v>
      </c>
    </row>
    <row r="491" spans="1:15" ht="15.75" customHeight="1">
      <c r="A491">
        <v>490</v>
      </c>
      <c r="B491" s="2">
        <v>44962</v>
      </c>
      <c r="C491" t="s">
        <v>513</v>
      </c>
      <c r="D491" t="s">
        <v>16</v>
      </c>
      <c r="E491">
        <v>34</v>
      </c>
      <c r="F491" s="3" t="s">
        <v>22</v>
      </c>
      <c r="G491">
        <v>3</v>
      </c>
      <c r="H491" s="4">
        <v>50</v>
      </c>
      <c r="I491" s="4">
        <v>150</v>
      </c>
      <c r="J491" t="s">
        <v>273</v>
      </c>
      <c r="K491" t="str">
        <f>IFERROR(VLOOKUP(F491&amp;"|"&amp;H491,Feature_Mappings!$A$2:$C$16,2,FALSE()),"")</f>
        <v>Denim Jeans</v>
      </c>
      <c r="L491" t="str">
        <f>IFERROR(VLOOKUP(F491&amp;"|"&amp;H491,Feature_Mappings!$A$2:$C$16,3,FALSE()),"")</f>
        <v>BlueFit Garments</v>
      </c>
      <c r="M491" t="str">
        <f>IFERROR(VLOOKUP(J491,Feature_Mappings!$D$2:$E$5,2,FALSE()),"")</f>
        <v>Liam Carter</v>
      </c>
      <c r="N491" t="s">
        <v>274</v>
      </c>
      <c r="O491" t="str">
        <f>IFERROR(INDEX(Store_Manager!$A$2:$A$5,MATCH(M491,Store_Manager!$B$2:$B$5,0)),"")</f>
        <v>MGR002</v>
      </c>
    </row>
    <row r="492" spans="1:15" ht="15.75" customHeight="1">
      <c r="A492">
        <v>491</v>
      </c>
      <c r="B492" s="2">
        <v>45069</v>
      </c>
      <c r="C492" t="s">
        <v>514</v>
      </c>
      <c r="D492" t="s">
        <v>21</v>
      </c>
      <c r="E492">
        <v>60</v>
      </c>
      <c r="F492" s="3" t="s">
        <v>24</v>
      </c>
      <c r="G492">
        <v>3</v>
      </c>
      <c r="H492" s="4">
        <v>300</v>
      </c>
      <c r="I492" s="4">
        <v>900</v>
      </c>
      <c r="J492" t="s">
        <v>273</v>
      </c>
      <c r="K492" t="str">
        <f>IFERROR(VLOOKUP(F492&amp;"|"&amp;H492,Feature_Mappings!$A$2:$C$16,2,FALSE()),"")</f>
        <v>Tablet</v>
      </c>
      <c r="L492" t="str">
        <f>IFERROR(VLOOKUP(F492&amp;"|"&amp;H492,Feature_Mappings!$A$2:$C$16,3,FALSE()),"")</f>
        <v>NextGen Devices</v>
      </c>
      <c r="M492" t="str">
        <f>IFERROR(VLOOKUP(J492,Feature_Mappings!$D$2:$E$5,2,FALSE()),"")</f>
        <v>Liam Carter</v>
      </c>
      <c r="N492" t="s">
        <v>274</v>
      </c>
      <c r="O492" t="str">
        <f>IFERROR(INDEX(Store_Manager!$A$2:$A$5,MATCH(M492,Store_Manager!$B$2:$B$5,0)),"")</f>
        <v>MGR002</v>
      </c>
    </row>
    <row r="493" spans="1:15" ht="15.75" customHeight="1">
      <c r="A493">
        <v>492</v>
      </c>
      <c r="B493" s="2">
        <v>45106</v>
      </c>
      <c r="C493" t="s">
        <v>515</v>
      </c>
      <c r="D493" t="s">
        <v>16</v>
      </c>
      <c r="E493">
        <v>61</v>
      </c>
      <c r="F493" s="3" t="s">
        <v>17</v>
      </c>
      <c r="G493">
        <v>4</v>
      </c>
      <c r="H493" s="4">
        <v>25</v>
      </c>
      <c r="I493" s="4">
        <v>100</v>
      </c>
      <c r="J493" t="s">
        <v>273</v>
      </c>
      <c r="K493" t="str">
        <f>IFERROR(VLOOKUP(F493&amp;"|"&amp;H493,Feature_Mappings!$A$2:$C$16,2,FALSE()),"")</f>
        <v>Lip Balm</v>
      </c>
      <c r="L493" t="str">
        <f>IFERROR(VLOOKUP(F493&amp;"|"&amp;H493,Feature_Mappings!$A$2:$C$16,3,FALSE()),"")</f>
        <v>GlowSource Cosmetics</v>
      </c>
      <c r="M493" t="str">
        <f>IFERROR(VLOOKUP(J493,Feature_Mappings!$D$2:$E$5,2,FALSE()),"")</f>
        <v>Liam Carter</v>
      </c>
      <c r="N493" t="s">
        <v>274</v>
      </c>
      <c r="O493" t="str">
        <f>IFERROR(INDEX(Store_Manager!$A$2:$A$5,MATCH(M493,Store_Manager!$B$2:$B$5,0)),"")</f>
        <v>MGR002</v>
      </c>
    </row>
    <row r="494" spans="1:15" ht="15.75" customHeight="1">
      <c r="A494">
        <v>493</v>
      </c>
      <c r="B494" s="2">
        <v>45255</v>
      </c>
      <c r="C494" t="s">
        <v>516</v>
      </c>
      <c r="D494" t="s">
        <v>16</v>
      </c>
      <c r="E494">
        <v>41</v>
      </c>
      <c r="F494" s="3" t="s">
        <v>17</v>
      </c>
      <c r="G494">
        <v>2</v>
      </c>
      <c r="H494" s="4">
        <v>25</v>
      </c>
      <c r="I494" s="4">
        <v>50</v>
      </c>
      <c r="J494" t="s">
        <v>273</v>
      </c>
      <c r="K494" t="str">
        <f>IFERROR(VLOOKUP(F494&amp;"|"&amp;H494,Feature_Mappings!$A$2:$C$16,2,FALSE()),"")</f>
        <v>Lip Balm</v>
      </c>
      <c r="L494" t="str">
        <f>IFERROR(VLOOKUP(F494&amp;"|"&amp;H494,Feature_Mappings!$A$2:$C$16,3,FALSE()),"")</f>
        <v>GlowSource Cosmetics</v>
      </c>
      <c r="M494" t="str">
        <f>IFERROR(VLOOKUP(J494,Feature_Mappings!$D$2:$E$5,2,FALSE()),"")</f>
        <v>Liam Carter</v>
      </c>
      <c r="N494" t="s">
        <v>274</v>
      </c>
      <c r="O494" t="str">
        <f>IFERROR(INDEX(Store_Manager!$A$2:$A$5,MATCH(M494,Store_Manager!$B$2:$B$5,0)),"")</f>
        <v>MGR002</v>
      </c>
    </row>
    <row r="495" spans="1:15" ht="15.75" customHeight="1">
      <c r="A495">
        <v>494</v>
      </c>
      <c r="B495" s="2">
        <v>45187</v>
      </c>
      <c r="C495" t="s">
        <v>517</v>
      </c>
      <c r="D495" t="s">
        <v>21</v>
      </c>
      <c r="E495">
        <v>42</v>
      </c>
      <c r="F495" s="3" t="s">
        <v>17</v>
      </c>
      <c r="G495">
        <v>4</v>
      </c>
      <c r="H495" s="4">
        <v>50</v>
      </c>
      <c r="I495" s="4">
        <v>200</v>
      </c>
      <c r="J495" t="s">
        <v>273</v>
      </c>
      <c r="K495" t="str">
        <f>IFERROR(VLOOKUP(F495&amp;"|"&amp;H495,Feature_Mappings!$A$2:$C$16,2,FALSE()),"")</f>
        <v>Eau de Parfum</v>
      </c>
      <c r="L495" t="str">
        <f>IFERROR(VLOOKUP(F495&amp;"|"&amp;H495,Feature_Mappings!$A$2:$C$16,3,FALSE()),"")</f>
        <v>Luxe Aroma Labs</v>
      </c>
      <c r="M495" t="str">
        <f>IFERROR(VLOOKUP(J495,Feature_Mappings!$D$2:$E$5,2,FALSE()),"")</f>
        <v>Liam Carter</v>
      </c>
      <c r="N495" t="s">
        <v>274</v>
      </c>
      <c r="O495" t="str">
        <f>IFERROR(INDEX(Store_Manager!$A$2:$A$5,MATCH(M495,Store_Manager!$B$2:$B$5,0)),"")</f>
        <v>MGR002</v>
      </c>
    </row>
    <row r="496" spans="1:15" ht="15.75" customHeight="1">
      <c r="A496">
        <v>495</v>
      </c>
      <c r="B496" s="2">
        <v>45131</v>
      </c>
      <c r="C496" t="s">
        <v>518</v>
      </c>
      <c r="D496" t="s">
        <v>16</v>
      </c>
      <c r="E496">
        <v>24</v>
      </c>
      <c r="F496" s="3" t="s">
        <v>17</v>
      </c>
      <c r="G496">
        <v>2</v>
      </c>
      <c r="H496" s="4">
        <v>30</v>
      </c>
      <c r="I496" s="4">
        <v>60</v>
      </c>
      <c r="J496" t="s">
        <v>273</v>
      </c>
      <c r="K496" t="str">
        <f>IFERROR(VLOOKUP(F496&amp;"|"&amp;H496,Feature_Mappings!$A$2:$C$16,2,FALSE()),"")</f>
        <v>Facial Cleanser</v>
      </c>
      <c r="L496" t="str">
        <f>IFERROR(VLOOKUP(F496&amp;"|"&amp;H496,Feature_Mappings!$A$2:$C$16,3,FALSE()),"")</f>
        <v>PureDerma Supplies</v>
      </c>
      <c r="M496" t="str">
        <f>IFERROR(VLOOKUP(J496,Feature_Mappings!$D$2:$E$5,2,FALSE()),"")</f>
        <v>Liam Carter</v>
      </c>
      <c r="N496" t="s">
        <v>274</v>
      </c>
      <c r="O496" t="str">
        <f>IFERROR(INDEX(Store_Manager!$A$2:$A$5,MATCH(M496,Store_Manager!$B$2:$B$5,0)),"")</f>
        <v>MGR002</v>
      </c>
    </row>
    <row r="497" spans="1:15" ht="15.75" customHeight="1">
      <c r="A497">
        <v>496</v>
      </c>
      <c r="B497" s="2">
        <v>45274</v>
      </c>
      <c r="C497" t="s">
        <v>519</v>
      </c>
      <c r="D497" t="s">
        <v>16</v>
      </c>
      <c r="E497">
        <v>23</v>
      </c>
      <c r="F497" s="3" t="s">
        <v>22</v>
      </c>
      <c r="G497">
        <v>2</v>
      </c>
      <c r="H497" s="4">
        <v>300</v>
      </c>
      <c r="I497" s="4">
        <v>600</v>
      </c>
      <c r="J497" t="s">
        <v>273</v>
      </c>
      <c r="K497" t="str">
        <f>IFERROR(VLOOKUP(F497&amp;"|"&amp;H497,Feature_Mappings!$A$2:$C$16,2,FALSE()),"")</f>
        <v>Leather Jacket</v>
      </c>
      <c r="L497" t="str">
        <f>IFERROR(VLOOKUP(F497&amp;"|"&amp;H497,Feature_Mappings!$A$2:$C$16,3,FALSE()),"")</f>
        <v>Metro Style Manufacturing</v>
      </c>
      <c r="M497" t="str">
        <f>IFERROR(VLOOKUP(J497,Feature_Mappings!$D$2:$E$5,2,FALSE()),"")</f>
        <v>Liam Carter</v>
      </c>
      <c r="N497" t="s">
        <v>274</v>
      </c>
      <c r="O497" t="str">
        <f>IFERROR(INDEX(Store_Manager!$A$2:$A$5,MATCH(M497,Store_Manager!$B$2:$B$5,0)),"")</f>
        <v>MGR002</v>
      </c>
    </row>
    <row r="498" spans="1:15" ht="15.75" customHeight="1">
      <c r="A498">
        <v>497</v>
      </c>
      <c r="B498" s="2">
        <v>45201</v>
      </c>
      <c r="C498" t="s">
        <v>520</v>
      </c>
      <c r="D498" t="s">
        <v>16</v>
      </c>
      <c r="E498">
        <v>41</v>
      </c>
      <c r="F498" s="3" t="s">
        <v>22</v>
      </c>
      <c r="G498">
        <v>4</v>
      </c>
      <c r="H498" s="4">
        <v>30</v>
      </c>
      <c r="I498" s="4">
        <v>120</v>
      </c>
      <c r="J498" t="s">
        <v>273</v>
      </c>
      <c r="K498" t="str">
        <f>IFERROR(VLOOKUP(F498&amp;"|"&amp;H498,Feature_Mappings!$A$2:$C$16,2,FALSE()),"")</f>
        <v>Graphic T-Shirt</v>
      </c>
      <c r="L498" t="str">
        <f>IFERROR(VLOOKUP(F498&amp;"|"&amp;H498,Feature_Mappings!$A$2:$C$16,3,FALSE()),"")</f>
        <v>ThreadWorks Apparel</v>
      </c>
      <c r="M498" t="str">
        <f>IFERROR(VLOOKUP(J498,Feature_Mappings!$D$2:$E$5,2,FALSE()),"")</f>
        <v>Liam Carter</v>
      </c>
      <c r="N498" t="s">
        <v>274</v>
      </c>
      <c r="O498" t="str">
        <f>IFERROR(INDEX(Store_Manager!$A$2:$A$5,MATCH(M498,Store_Manager!$B$2:$B$5,0)),"")</f>
        <v>MGR002</v>
      </c>
    </row>
    <row r="499" spans="1:15" ht="15.75" customHeight="1">
      <c r="A499">
        <v>498</v>
      </c>
      <c r="B499" s="2">
        <v>45096</v>
      </c>
      <c r="C499" t="s">
        <v>521</v>
      </c>
      <c r="D499" t="s">
        <v>21</v>
      </c>
      <c r="E499">
        <v>50</v>
      </c>
      <c r="F499" s="3" t="s">
        <v>22</v>
      </c>
      <c r="G499">
        <v>4</v>
      </c>
      <c r="H499" s="4">
        <v>25</v>
      </c>
      <c r="I499" s="4">
        <v>100</v>
      </c>
      <c r="J499" t="s">
        <v>273</v>
      </c>
      <c r="K499" t="str">
        <f>IFERROR(VLOOKUP(F499&amp;"|"&amp;H499,Feature_Mappings!$A$2:$C$16,2,FALSE()),"")</f>
        <v>Cotton Socks</v>
      </c>
      <c r="L499" t="str">
        <f>IFERROR(VLOOKUP(F499&amp;"|"&amp;H499,Feature_Mappings!$A$2:$C$16,3,FALSE()),"")</f>
        <v>Urban Basics Co.</v>
      </c>
      <c r="M499" t="str">
        <f>IFERROR(VLOOKUP(J499,Feature_Mappings!$D$2:$E$5,2,FALSE()),"")</f>
        <v>Liam Carter</v>
      </c>
      <c r="N499" t="s">
        <v>274</v>
      </c>
      <c r="O499" t="str">
        <f>IFERROR(INDEX(Store_Manager!$A$2:$A$5,MATCH(M499,Store_Manager!$B$2:$B$5,0)),"")</f>
        <v>MGR002</v>
      </c>
    </row>
    <row r="500" spans="1:15" ht="15.75" customHeight="1">
      <c r="A500">
        <v>499</v>
      </c>
      <c r="B500" s="2">
        <v>44941</v>
      </c>
      <c r="C500" t="s">
        <v>522</v>
      </c>
      <c r="D500" t="s">
        <v>16</v>
      </c>
      <c r="E500">
        <v>46</v>
      </c>
      <c r="F500" s="3" t="s">
        <v>17</v>
      </c>
      <c r="G500">
        <v>2</v>
      </c>
      <c r="H500" s="4">
        <v>30</v>
      </c>
      <c r="I500" s="4">
        <v>60</v>
      </c>
      <c r="J500" t="s">
        <v>273</v>
      </c>
      <c r="K500" t="str">
        <f>IFERROR(VLOOKUP(F500&amp;"|"&amp;H500,Feature_Mappings!$A$2:$C$16,2,FALSE()),"")</f>
        <v>Facial Cleanser</v>
      </c>
      <c r="L500" t="str">
        <f>IFERROR(VLOOKUP(F500&amp;"|"&amp;H500,Feature_Mappings!$A$2:$C$16,3,FALSE()),"")</f>
        <v>PureDerma Supplies</v>
      </c>
      <c r="M500" t="str">
        <f>IFERROR(VLOOKUP(J500,Feature_Mappings!$D$2:$E$5,2,FALSE()),"")</f>
        <v>Liam Carter</v>
      </c>
      <c r="N500" t="s">
        <v>274</v>
      </c>
      <c r="O500" t="str">
        <f>IFERROR(INDEX(Store_Manager!$A$2:$A$5,MATCH(M500,Store_Manager!$B$2:$B$5,0)),"")</f>
        <v>MGR002</v>
      </c>
    </row>
    <row r="501" spans="1:15" ht="15.75" customHeight="1">
      <c r="A501">
        <v>500</v>
      </c>
      <c r="B501" s="2">
        <v>44986</v>
      </c>
      <c r="C501" t="s">
        <v>523</v>
      </c>
      <c r="D501" t="s">
        <v>21</v>
      </c>
      <c r="E501">
        <v>60</v>
      </c>
      <c r="F501" s="3" t="s">
        <v>17</v>
      </c>
      <c r="G501">
        <v>4</v>
      </c>
      <c r="H501" s="4">
        <v>25</v>
      </c>
      <c r="I501" s="4">
        <v>100</v>
      </c>
      <c r="J501" t="s">
        <v>273</v>
      </c>
      <c r="K501" t="str">
        <f>IFERROR(VLOOKUP(F501&amp;"|"&amp;H501,Feature_Mappings!$A$2:$C$16,2,FALSE()),"")</f>
        <v>Lip Balm</v>
      </c>
      <c r="L501" t="str">
        <f>IFERROR(VLOOKUP(F501&amp;"|"&amp;H501,Feature_Mappings!$A$2:$C$16,3,FALSE()),"")</f>
        <v>GlowSource Cosmetics</v>
      </c>
      <c r="M501" t="str">
        <f>IFERROR(VLOOKUP(J501,Feature_Mappings!$D$2:$E$5,2,FALSE()),"")</f>
        <v>Liam Carter</v>
      </c>
      <c r="N501" t="s">
        <v>274</v>
      </c>
      <c r="O501" t="str">
        <f>IFERROR(INDEX(Store_Manager!$A$2:$A$5,MATCH(M501,Store_Manager!$B$2:$B$5,0)),"")</f>
        <v>MGR002</v>
      </c>
    </row>
    <row r="502" spans="1:15" ht="15.75" customHeight="1">
      <c r="A502">
        <v>501</v>
      </c>
      <c r="B502" s="2">
        <v>45060</v>
      </c>
      <c r="C502" t="s">
        <v>524</v>
      </c>
      <c r="D502" t="s">
        <v>16</v>
      </c>
      <c r="E502">
        <v>39</v>
      </c>
      <c r="F502" s="3" t="s">
        <v>24</v>
      </c>
      <c r="G502">
        <v>2</v>
      </c>
      <c r="H502" s="4">
        <v>30</v>
      </c>
      <c r="I502" s="4">
        <v>60</v>
      </c>
      <c r="J502" t="s">
        <v>525</v>
      </c>
      <c r="K502" t="str">
        <f>IFERROR(VLOOKUP(F502&amp;"|"&amp;H502,Feature_Mappings!$A$2:$C$16,2,FALSE()),"")</f>
        <v>Wireless Mouse</v>
      </c>
      <c r="L502" t="str">
        <f>IFERROR(VLOOKUP(F502&amp;"|"&amp;H502,Feature_Mappings!$A$2:$C$16,3,FALSE()),"")</f>
        <v>ByteWave Distributors</v>
      </c>
      <c r="M502" t="str">
        <f>IFERROR(VLOOKUP(J502,Feature_Mappings!$D$2:$E$5,2,FALSE()),"")</f>
        <v>Sophie Nguyen</v>
      </c>
      <c r="N502" t="s">
        <v>526</v>
      </c>
      <c r="O502" t="str">
        <f>IFERROR(INDEX(Store_Manager!$A$2:$A$5,MATCH(M502,Store_Manager!$B$2:$B$5,0)),"")</f>
        <v>MGR003</v>
      </c>
    </row>
    <row r="503" spans="1:15" ht="15.75" customHeight="1">
      <c r="A503">
        <v>502</v>
      </c>
      <c r="B503" s="2">
        <v>45018</v>
      </c>
      <c r="C503" t="s">
        <v>527</v>
      </c>
      <c r="D503" t="s">
        <v>16</v>
      </c>
      <c r="E503">
        <v>43</v>
      </c>
      <c r="F503" s="3" t="s">
        <v>24</v>
      </c>
      <c r="G503">
        <v>3</v>
      </c>
      <c r="H503" s="4">
        <v>50</v>
      </c>
      <c r="I503" s="4">
        <v>150</v>
      </c>
      <c r="J503" t="s">
        <v>525</v>
      </c>
      <c r="K503" t="str">
        <f>IFERROR(VLOOKUP(F503&amp;"|"&amp;H503,Feature_Mappings!$A$2:$C$16,2,FALSE()),"")</f>
        <v>Bluetooth Speaker</v>
      </c>
      <c r="L503" t="str">
        <f>IFERROR(VLOOKUP(F503&amp;"|"&amp;H503,Feature_Mappings!$A$2:$C$16,3,FALSE()),"")</f>
        <v>SoundSphere Supply</v>
      </c>
      <c r="M503" t="str">
        <f>IFERROR(VLOOKUP(J503,Feature_Mappings!$D$2:$E$5,2,FALSE()),"")</f>
        <v>Sophie Nguyen</v>
      </c>
      <c r="N503" t="s">
        <v>526</v>
      </c>
      <c r="O503" t="str">
        <f>IFERROR(INDEX(Store_Manager!$A$2:$A$5,MATCH(M503,Store_Manager!$B$2:$B$5,0)),"")</f>
        <v>MGR003</v>
      </c>
    </row>
    <row r="504" spans="1:15" ht="15.75" customHeight="1">
      <c r="A504">
        <v>503</v>
      </c>
      <c r="B504" s="2">
        <v>45224</v>
      </c>
      <c r="C504" t="s">
        <v>528</v>
      </c>
      <c r="D504" t="s">
        <v>16</v>
      </c>
      <c r="E504">
        <v>45</v>
      </c>
      <c r="F504" s="3" t="s">
        <v>17</v>
      </c>
      <c r="G504">
        <v>4</v>
      </c>
      <c r="H504" s="4">
        <v>500</v>
      </c>
      <c r="I504" s="4">
        <v>2000</v>
      </c>
      <c r="J504" t="s">
        <v>525</v>
      </c>
      <c r="K504" t="str">
        <f>IFERROR(VLOOKUP(F504&amp;"|"&amp;H504,Feature_Mappings!$A$2:$C$16,2,FALSE()),"")</f>
        <v>LED Beauty Device</v>
      </c>
      <c r="L504" t="str">
        <f>IFERROR(VLOOKUP(F504&amp;"|"&amp;H504,Feature_Mappings!$A$2:$C$16,3,FALSE()),"")</f>
        <v>BeautyTech Pro</v>
      </c>
      <c r="M504" t="str">
        <f>IFERROR(VLOOKUP(J504,Feature_Mappings!$D$2:$E$5,2,FALSE()),"")</f>
        <v>Sophie Nguyen</v>
      </c>
      <c r="N504" t="s">
        <v>526</v>
      </c>
      <c r="O504" t="str">
        <f>IFERROR(INDEX(Store_Manager!$A$2:$A$5,MATCH(M504,Store_Manager!$B$2:$B$5,0)),"")</f>
        <v>MGR003</v>
      </c>
    </row>
    <row r="505" spans="1:15" ht="15.75" customHeight="1">
      <c r="A505">
        <v>504</v>
      </c>
      <c r="B505" s="2">
        <v>45062</v>
      </c>
      <c r="C505" t="s">
        <v>529</v>
      </c>
      <c r="D505" t="s">
        <v>21</v>
      </c>
      <c r="E505">
        <v>38</v>
      </c>
      <c r="F505" s="3" t="s">
        <v>17</v>
      </c>
      <c r="G505">
        <v>3</v>
      </c>
      <c r="H505" s="4">
        <v>50</v>
      </c>
      <c r="I505" s="4">
        <v>150</v>
      </c>
      <c r="J505" t="s">
        <v>525</v>
      </c>
      <c r="K505" t="str">
        <f>IFERROR(VLOOKUP(F505&amp;"|"&amp;H505,Feature_Mappings!$A$2:$C$16,2,FALSE()),"")</f>
        <v>Eau de Parfum</v>
      </c>
      <c r="L505" t="str">
        <f>IFERROR(VLOOKUP(F505&amp;"|"&amp;H505,Feature_Mappings!$A$2:$C$16,3,FALSE()),"")</f>
        <v>Luxe Aroma Labs</v>
      </c>
      <c r="M505" t="str">
        <f>IFERROR(VLOOKUP(J505,Feature_Mappings!$D$2:$E$5,2,FALSE()),"")</f>
        <v>Sophie Nguyen</v>
      </c>
      <c r="N505" t="s">
        <v>526</v>
      </c>
      <c r="O505" t="str">
        <f>IFERROR(INDEX(Store_Manager!$A$2:$A$5,MATCH(M505,Store_Manager!$B$2:$B$5,0)),"")</f>
        <v>MGR003</v>
      </c>
    </row>
    <row r="506" spans="1:15" ht="15.75" customHeight="1">
      <c r="A506">
        <v>505</v>
      </c>
      <c r="B506" s="2">
        <v>44946</v>
      </c>
      <c r="C506" t="s">
        <v>530</v>
      </c>
      <c r="D506" t="s">
        <v>16</v>
      </c>
      <c r="E506">
        <v>24</v>
      </c>
      <c r="F506" s="3" t="s">
        <v>17</v>
      </c>
      <c r="G506">
        <v>1</v>
      </c>
      <c r="H506" s="4">
        <v>50</v>
      </c>
      <c r="I506" s="4">
        <v>50</v>
      </c>
      <c r="J506" t="s">
        <v>525</v>
      </c>
      <c r="K506" t="str">
        <f>IFERROR(VLOOKUP(F506&amp;"|"&amp;H506,Feature_Mappings!$A$2:$C$16,2,FALSE()),"")</f>
        <v>Eau de Parfum</v>
      </c>
      <c r="L506" t="str">
        <f>IFERROR(VLOOKUP(F506&amp;"|"&amp;H506,Feature_Mappings!$A$2:$C$16,3,FALSE()),"")</f>
        <v>Luxe Aroma Labs</v>
      </c>
      <c r="M506" t="str">
        <f>IFERROR(VLOOKUP(J506,Feature_Mappings!$D$2:$E$5,2,FALSE()),"")</f>
        <v>Sophie Nguyen</v>
      </c>
      <c r="N506" t="s">
        <v>526</v>
      </c>
      <c r="O506" t="str">
        <f>IFERROR(INDEX(Store_Manager!$A$2:$A$5,MATCH(M506,Store_Manager!$B$2:$B$5,0)),"")</f>
        <v>MGR003</v>
      </c>
    </row>
    <row r="507" spans="1:15" ht="15.75" customHeight="1">
      <c r="A507">
        <v>506</v>
      </c>
      <c r="B507" s="2">
        <v>44982</v>
      </c>
      <c r="C507" t="s">
        <v>531</v>
      </c>
      <c r="D507" t="s">
        <v>16</v>
      </c>
      <c r="E507">
        <v>34</v>
      </c>
      <c r="F507" s="3" t="s">
        <v>17</v>
      </c>
      <c r="G507">
        <v>3</v>
      </c>
      <c r="H507" s="4">
        <v>500</v>
      </c>
      <c r="I507" s="4">
        <v>1500</v>
      </c>
      <c r="J507" t="s">
        <v>525</v>
      </c>
      <c r="K507" t="str">
        <f>IFERROR(VLOOKUP(F507&amp;"|"&amp;H507,Feature_Mappings!$A$2:$C$16,2,FALSE()),"")</f>
        <v>LED Beauty Device</v>
      </c>
      <c r="L507" t="str">
        <f>IFERROR(VLOOKUP(F507&amp;"|"&amp;H507,Feature_Mappings!$A$2:$C$16,3,FALSE()),"")</f>
        <v>BeautyTech Pro</v>
      </c>
      <c r="M507" t="str">
        <f>IFERROR(VLOOKUP(J507,Feature_Mappings!$D$2:$E$5,2,FALSE()),"")</f>
        <v>Sophie Nguyen</v>
      </c>
      <c r="N507" t="s">
        <v>526</v>
      </c>
      <c r="O507" t="str">
        <f>IFERROR(INDEX(Store_Manager!$A$2:$A$5,MATCH(M507,Store_Manager!$B$2:$B$5,0)),"")</f>
        <v>MGR003</v>
      </c>
    </row>
    <row r="508" spans="1:15" ht="15.75" customHeight="1">
      <c r="A508">
        <v>507</v>
      </c>
      <c r="B508" s="2">
        <v>45232</v>
      </c>
      <c r="C508" t="s">
        <v>532</v>
      </c>
      <c r="D508" t="s">
        <v>21</v>
      </c>
      <c r="E508">
        <v>37</v>
      </c>
      <c r="F508" s="3" t="s">
        <v>24</v>
      </c>
      <c r="G508">
        <v>3</v>
      </c>
      <c r="H508" s="4">
        <v>500</v>
      </c>
      <c r="I508" s="4">
        <v>1500</v>
      </c>
      <c r="J508" t="s">
        <v>525</v>
      </c>
      <c r="K508" t="str">
        <f>IFERROR(VLOOKUP(F508&amp;"|"&amp;H508,Feature_Mappings!$A$2:$C$16,2,FALSE()),"")</f>
        <v>Smartphone</v>
      </c>
      <c r="L508" t="str">
        <f>IFERROR(VLOOKUP(F508&amp;"|"&amp;H508,Feature_Mappings!$A$2:$C$16,3,FALSE()),"")</f>
        <v>NovaTech Wholesale</v>
      </c>
      <c r="M508" t="str">
        <f>IFERROR(VLOOKUP(J508,Feature_Mappings!$D$2:$E$5,2,FALSE()),"")</f>
        <v>Sophie Nguyen</v>
      </c>
      <c r="N508" t="s">
        <v>526</v>
      </c>
      <c r="O508" t="str">
        <f>IFERROR(INDEX(Store_Manager!$A$2:$A$5,MATCH(M508,Store_Manager!$B$2:$B$5,0)),"")</f>
        <v>MGR003</v>
      </c>
    </row>
    <row r="509" spans="1:15" ht="15.75" customHeight="1">
      <c r="A509">
        <v>508</v>
      </c>
      <c r="B509" s="2">
        <v>45149</v>
      </c>
      <c r="C509" t="s">
        <v>533</v>
      </c>
      <c r="D509" t="s">
        <v>16</v>
      </c>
      <c r="E509">
        <v>58</v>
      </c>
      <c r="F509" s="3" t="s">
        <v>17</v>
      </c>
      <c r="G509">
        <v>2</v>
      </c>
      <c r="H509" s="4">
        <v>300</v>
      </c>
      <c r="I509" s="4">
        <v>600</v>
      </c>
      <c r="J509" t="s">
        <v>525</v>
      </c>
      <c r="K509" t="str">
        <f>IFERROR(VLOOKUP(F509&amp;"|"&amp;H509,Feature_Mappings!$A$2:$C$16,2,FALSE()),"")</f>
        <v>Skincare Gift Set</v>
      </c>
      <c r="L509" t="str">
        <f>IFERROR(VLOOKUP(F509&amp;"|"&amp;H509,Feature_Mappings!$A$2:$C$16,3,FALSE()),"")</f>
        <v>Radiant Beauty Wholesale</v>
      </c>
      <c r="M509" t="str">
        <f>IFERROR(VLOOKUP(J509,Feature_Mappings!$D$2:$E$5,2,FALSE()),"")</f>
        <v>Sophie Nguyen</v>
      </c>
      <c r="N509" t="s">
        <v>526</v>
      </c>
      <c r="O509" t="str">
        <f>IFERROR(INDEX(Store_Manager!$A$2:$A$5,MATCH(M509,Store_Manager!$B$2:$B$5,0)),"")</f>
        <v>MGR003</v>
      </c>
    </row>
    <row r="510" spans="1:15" ht="15.75" customHeight="1">
      <c r="A510">
        <v>509</v>
      </c>
      <c r="B510" s="2">
        <v>45103</v>
      </c>
      <c r="C510" t="s">
        <v>534</v>
      </c>
      <c r="D510" t="s">
        <v>21</v>
      </c>
      <c r="E510">
        <v>37</v>
      </c>
      <c r="F510" s="3" t="s">
        <v>24</v>
      </c>
      <c r="G510">
        <v>3</v>
      </c>
      <c r="H510" s="4">
        <v>300</v>
      </c>
      <c r="I510" s="4">
        <v>900</v>
      </c>
      <c r="J510" t="s">
        <v>525</v>
      </c>
      <c r="K510" t="str">
        <f>IFERROR(VLOOKUP(F510&amp;"|"&amp;H510,Feature_Mappings!$A$2:$C$16,2,FALSE()),"")</f>
        <v>Tablet</v>
      </c>
      <c r="L510" t="str">
        <f>IFERROR(VLOOKUP(F510&amp;"|"&amp;H510,Feature_Mappings!$A$2:$C$16,3,FALSE()),"")</f>
        <v>NextGen Devices</v>
      </c>
      <c r="M510" t="str">
        <f>IFERROR(VLOOKUP(J510,Feature_Mappings!$D$2:$E$5,2,FALSE()),"")</f>
        <v>Sophie Nguyen</v>
      </c>
      <c r="N510" t="s">
        <v>526</v>
      </c>
      <c r="O510" t="str">
        <f>IFERROR(INDEX(Store_Manager!$A$2:$A$5,MATCH(M510,Store_Manager!$B$2:$B$5,0)),"")</f>
        <v>MGR003</v>
      </c>
    </row>
    <row r="511" spans="1:15" ht="15.75" customHeight="1">
      <c r="A511">
        <v>510</v>
      </c>
      <c r="B511" s="2">
        <v>45087</v>
      </c>
      <c r="C511" t="s">
        <v>535</v>
      </c>
      <c r="D511" t="s">
        <v>21</v>
      </c>
      <c r="E511">
        <v>39</v>
      </c>
      <c r="F511" s="3" t="s">
        <v>17</v>
      </c>
      <c r="G511">
        <v>4</v>
      </c>
      <c r="H511" s="4">
        <v>50</v>
      </c>
      <c r="I511" s="4">
        <v>200</v>
      </c>
      <c r="J511" t="s">
        <v>525</v>
      </c>
      <c r="K511" t="str">
        <f>IFERROR(VLOOKUP(F511&amp;"|"&amp;H511,Feature_Mappings!$A$2:$C$16,2,FALSE()),"")</f>
        <v>Eau de Parfum</v>
      </c>
      <c r="L511" t="str">
        <f>IFERROR(VLOOKUP(F511&amp;"|"&amp;H511,Feature_Mappings!$A$2:$C$16,3,FALSE()),"")</f>
        <v>Luxe Aroma Labs</v>
      </c>
      <c r="M511" t="str">
        <f>IFERROR(VLOOKUP(J511,Feature_Mappings!$D$2:$E$5,2,FALSE()),"")</f>
        <v>Sophie Nguyen</v>
      </c>
      <c r="N511" t="s">
        <v>526</v>
      </c>
      <c r="O511" t="str">
        <f>IFERROR(INDEX(Store_Manager!$A$2:$A$5,MATCH(M511,Store_Manager!$B$2:$B$5,0)),"")</f>
        <v>MGR003</v>
      </c>
    </row>
    <row r="512" spans="1:15" ht="15.75" customHeight="1">
      <c r="A512">
        <v>511</v>
      </c>
      <c r="B512" s="2">
        <v>45150</v>
      </c>
      <c r="C512" t="s">
        <v>536</v>
      </c>
      <c r="D512" t="s">
        <v>16</v>
      </c>
      <c r="E512">
        <v>45</v>
      </c>
      <c r="F512" s="3" t="s">
        <v>17</v>
      </c>
      <c r="G512">
        <v>2</v>
      </c>
      <c r="H512" s="4">
        <v>50</v>
      </c>
      <c r="I512" s="4">
        <v>100</v>
      </c>
      <c r="J512" t="s">
        <v>525</v>
      </c>
      <c r="K512" t="str">
        <f>IFERROR(VLOOKUP(F512&amp;"|"&amp;H512,Feature_Mappings!$A$2:$C$16,2,FALSE()),"")</f>
        <v>Eau de Parfum</v>
      </c>
      <c r="L512" t="str">
        <f>IFERROR(VLOOKUP(F512&amp;"|"&amp;H512,Feature_Mappings!$A$2:$C$16,3,FALSE()),"")</f>
        <v>Luxe Aroma Labs</v>
      </c>
      <c r="M512" t="str">
        <f>IFERROR(VLOOKUP(J512,Feature_Mappings!$D$2:$E$5,2,FALSE()),"")</f>
        <v>Sophie Nguyen</v>
      </c>
      <c r="N512" t="s">
        <v>526</v>
      </c>
      <c r="O512" t="str">
        <f>IFERROR(INDEX(Store_Manager!$A$2:$A$5,MATCH(M512,Store_Manager!$B$2:$B$5,0)),"")</f>
        <v>MGR003</v>
      </c>
    </row>
    <row r="513" spans="1:15" ht="15.75" customHeight="1">
      <c r="A513">
        <v>512</v>
      </c>
      <c r="B513" s="2">
        <v>45237</v>
      </c>
      <c r="C513" t="s">
        <v>537</v>
      </c>
      <c r="D513" t="s">
        <v>21</v>
      </c>
      <c r="E513">
        <v>57</v>
      </c>
      <c r="F513" s="3" t="s">
        <v>17</v>
      </c>
      <c r="G513">
        <v>1</v>
      </c>
      <c r="H513" s="4">
        <v>25</v>
      </c>
      <c r="I513" s="4">
        <v>25</v>
      </c>
      <c r="J513" t="s">
        <v>525</v>
      </c>
      <c r="K513" t="str">
        <f>IFERROR(VLOOKUP(F513&amp;"|"&amp;H513,Feature_Mappings!$A$2:$C$16,2,FALSE()),"")</f>
        <v>Lip Balm</v>
      </c>
      <c r="L513" t="str">
        <f>IFERROR(VLOOKUP(F513&amp;"|"&amp;H513,Feature_Mappings!$A$2:$C$16,3,FALSE()),"")</f>
        <v>GlowSource Cosmetics</v>
      </c>
      <c r="M513" t="str">
        <f>IFERROR(VLOOKUP(J513,Feature_Mappings!$D$2:$E$5,2,FALSE()),"")</f>
        <v>Sophie Nguyen</v>
      </c>
      <c r="N513" t="s">
        <v>526</v>
      </c>
      <c r="O513" t="str">
        <f>IFERROR(INDEX(Store_Manager!$A$2:$A$5,MATCH(M513,Store_Manager!$B$2:$B$5,0)),"")</f>
        <v>MGR003</v>
      </c>
    </row>
    <row r="514" spans="1:15" ht="15.75" customHeight="1">
      <c r="A514">
        <v>513</v>
      </c>
      <c r="B514" s="2">
        <v>45188</v>
      </c>
      <c r="C514" t="s">
        <v>538</v>
      </c>
      <c r="D514" t="s">
        <v>16</v>
      </c>
      <c r="E514">
        <v>24</v>
      </c>
      <c r="F514" s="3" t="s">
        <v>24</v>
      </c>
      <c r="G514">
        <v>4</v>
      </c>
      <c r="H514" s="4">
        <v>25</v>
      </c>
      <c r="I514" s="4">
        <v>100</v>
      </c>
      <c r="J514" t="s">
        <v>525</v>
      </c>
      <c r="K514" t="str">
        <f>IFERROR(VLOOKUP(F514&amp;"|"&amp;H514,Feature_Mappings!$A$2:$C$16,2,FALSE()),"")</f>
        <v>USB-C Charger</v>
      </c>
      <c r="L514" t="str">
        <f>IFERROR(VLOOKUP(F514&amp;"|"&amp;H514,Feature_Mappings!$A$2:$C$16,3,FALSE()),"")</f>
        <v>VoltEdge Electronics</v>
      </c>
      <c r="M514" t="str">
        <f>IFERROR(VLOOKUP(J514,Feature_Mappings!$D$2:$E$5,2,FALSE()),"")</f>
        <v>Sophie Nguyen</v>
      </c>
      <c r="N514" t="s">
        <v>526</v>
      </c>
      <c r="O514" t="str">
        <f>IFERROR(INDEX(Store_Manager!$A$2:$A$5,MATCH(M514,Store_Manager!$B$2:$B$5,0)),"")</f>
        <v>MGR003</v>
      </c>
    </row>
    <row r="515" spans="1:15" ht="15.75" customHeight="1">
      <c r="A515">
        <v>514</v>
      </c>
      <c r="B515" s="2">
        <v>44986</v>
      </c>
      <c r="C515" t="s">
        <v>539</v>
      </c>
      <c r="D515" t="s">
        <v>21</v>
      </c>
      <c r="E515">
        <v>18</v>
      </c>
      <c r="F515" s="3" t="s">
        <v>24</v>
      </c>
      <c r="G515">
        <v>1</v>
      </c>
      <c r="H515" s="4">
        <v>300</v>
      </c>
      <c r="I515" s="4">
        <v>300</v>
      </c>
      <c r="J515" t="s">
        <v>525</v>
      </c>
      <c r="K515" t="str">
        <f>IFERROR(VLOOKUP(F515&amp;"|"&amp;H515,Feature_Mappings!$A$2:$C$16,2,FALSE()),"")</f>
        <v>Tablet</v>
      </c>
      <c r="L515" t="str">
        <f>IFERROR(VLOOKUP(F515&amp;"|"&amp;H515,Feature_Mappings!$A$2:$C$16,3,FALSE()),"")</f>
        <v>NextGen Devices</v>
      </c>
      <c r="M515" t="str">
        <f>IFERROR(VLOOKUP(J515,Feature_Mappings!$D$2:$E$5,2,FALSE()),"")</f>
        <v>Sophie Nguyen</v>
      </c>
      <c r="N515" t="s">
        <v>526</v>
      </c>
      <c r="O515" t="str">
        <f>IFERROR(INDEX(Store_Manager!$A$2:$A$5,MATCH(M515,Store_Manager!$B$2:$B$5,0)),"")</f>
        <v>MGR003</v>
      </c>
    </row>
    <row r="516" spans="1:15" ht="15.75" customHeight="1">
      <c r="A516">
        <v>515</v>
      </c>
      <c r="B516" s="2">
        <v>45124</v>
      </c>
      <c r="C516" t="s">
        <v>540</v>
      </c>
      <c r="D516" t="s">
        <v>21</v>
      </c>
      <c r="E516">
        <v>49</v>
      </c>
      <c r="F516" s="3" t="s">
        <v>22</v>
      </c>
      <c r="G516">
        <v>3</v>
      </c>
      <c r="H516" s="4">
        <v>300</v>
      </c>
      <c r="I516" s="4">
        <v>900</v>
      </c>
      <c r="J516" t="s">
        <v>525</v>
      </c>
      <c r="K516" t="str">
        <f>IFERROR(VLOOKUP(F516&amp;"|"&amp;H516,Feature_Mappings!$A$2:$C$16,2,FALSE()),"")</f>
        <v>Leather Jacket</v>
      </c>
      <c r="L516" t="str">
        <f>IFERROR(VLOOKUP(F516&amp;"|"&amp;H516,Feature_Mappings!$A$2:$C$16,3,FALSE()),"")</f>
        <v>Metro Style Manufacturing</v>
      </c>
      <c r="M516" t="str">
        <f>IFERROR(VLOOKUP(J516,Feature_Mappings!$D$2:$E$5,2,FALSE()),"")</f>
        <v>Sophie Nguyen</v>
      </c>
      <c r="N516" t="s">
        <v>526</v>
      </c>
      <c r="O516" t="str">
        <f>IFERROR(INDEX(Store_Manager!$A$2:$A$5,MATCH(M516,Store_Manager!$B$2:$B$5,0)),"")</f>
        <v>MGR003</v>
      </c>
    </row>
    <row r="517" spans="1:15" ht="15.75" customHeight="1">
      <c r="A517">
        <v>516</v>
      </c>
      <c r="B517" s="2">
        <v>45222</v>
      </c>
      <c r="C517" t="s">
        <v>541</v>
      </c>
      <c r="D517" t="s">
        <v>16</v>
      </c>
      <c r="E517">
        <v>30</v>
      </c>
      <c r="F517" s="3" t="s">
        <v>17</v>
      </c>
      <c r="G517">
        <v>4</v>
      </c>
      <c r="H517" s="4">
        <v>25</v>
      </c>
      <c r="I517" s="4">
        <v>100</v>
      </c>
      <c r="J517" t="s">
        <v>525</v>
      </c>
      <c r="K517" t="str">
        <f>IFERROR(VLOOKUP(F517&amp;"|"&amp;H517,Feature_Mappings!$A$2:$C$16,2,FALSE()),"")</f>
        <v>Lip Balm</v>
      </c>
      <c r="L517" t="str">
        <f>IFERROR(VLOOKUP(F517&amp;"|"&amp;H517,Feature_Mappings!$A$2:$C$16,3,FALSE()),"")</f>
        <v>GlowSource Cosmetics</v>
      </c>
      <c r="M517" t="str">
        <f>IFERROR(VLOOKUP(J517,Feature_Mappings!$D$2:$E$5,2,FALSE()),"")</f>
        <v>Sophie Nguyen</v>
      </c>
      <c r="N517" t="s">
        <v>526</v>
      </c>
      <c r="O517" t="str">
        <f>IFERROR(INDEX(Store_Manager!$A$2:$A$5,MATCH(M517,Store_Manager!$B$2:$B$5,0)),"")</f>
        <v>MGR003</v>
      </c>
    </row>
    <row r="518" spans="1:15" ht="15.75" customHeight="1">
      <c r="A518">
        <v>517</v>
      </c>
      <c r="B518" s="2">
        <v>45024</v>
      </c>
      <c r="C518" t="s">
        <v>542</v>
      </c>
      <c r="D518" t="s">
        <v>21</v>
      </c>
      <c r="E518">
        <v>47</v>
      </c>
      <c r="F518" s="3" t="s">
        <v>22</v>
      </c>
      <c r="G518">
        <v>4</v>
      </c>
      <c r="H518" s="4">
        <v>25</v>
      </c>
      <c r="I518" s="4">
        <v>100</v>
      </c>
      <c r="J518" t="s">
        <v>525</v>
      </c>
      <c r="K518" t="str">
        <f>IFERROR(VLOOKUP(F518&amp;"|"&amp;H518,Feature_Mappings!$A$2:$C$16,2,FALSE()),"")</f>
        <v>Cotton Socks</v>
      </c>
      <c r="L518" t="str">
        <f>IFERROR(VLOOKUP(F518&amp;"|"&amp;H518,Feature_Mappings!$A$2:$C$16,3,FALSE()),"")</f>
        <v>Urban Basics Co.</v>
      </c>
      <c r="M518" t="str">
        <f>IFERROR(VLOOKUP(J518,Feature_Mappings!$D$2:$E$5,2,FALSE()),"")</f>
        <v>Sophie Nguyen</v>
      </c>
      <c r="N518" t="s">
        <v>526</v>
      </c>
      <c r="O518" t="str">
        <f>IFERROR(INDEX(Store_Manager!$A$2:$A$5,MATCH(M518,Store_Manager!$B$2:$B$5,0)),"")</f>
        <v>MGR003</v>
      </c>
    </row>
    <row r="519" spans="1:15" ht="15.75" customHeight="1">
      <c r="A519">
        <v>518</v>
      </c>
      <c r="B519" s="2">
        <v>45057</v>
      </c>
      <c r="C519" t="s">
        <v>543</v>
      </c>
      <c r="D519" t="s">
        <v>21</v>
      </c>
      <c r="E519">
        <v>40</v>
      </c>
      <c r="F519" s="3" t="s">
        <v>22</v>
      </c>
      <c r="G519">
        <v>1</v>
      </c>
      <c r="H519" s="4">
        <v>30</v>
      </c>
      <c r="I519" s="4">
        <v>30</v>
      </c>
      <c r="J519" t="s">
        <v>525</v>
      </c>
      <c r="K519" t="str">
        <f>IFERROR(VLOOKUP(F519&amp;"|"&amp;H519,Feature_Mappings!$A$2:$C$16,2,FALSE()),"")</f>
        <v>Graphic T-Shirt</v>
      </c>
      <c r="L519" t="str">
        <f>IFERROR(VLOOKUP(F519&amp;"|"&amp;H519,Feature_Mappings!$A$2:$C$16,3,FALSE()),"")</f>
        <v>ThreadWorks Apparel</v>
      </c>
      <c r="M519" t="str">
        <f>IFERROR(VLOOKUP(J519,Feature_Mappings!$D$2:$E$5,2,FALSE()),"")</f>
        <v>Sophie Nguyen</v>
      </c>
      <c r="N519" t="s">
        <v>526</v>
      </c>
      <c r="O519" t="str">
        <f>IFERROR(INDEX(Store_Manager!$A$2:$A$5,MATCH(M519,Store_Manager!$B$2:$B$5,0)),"")</f>
        <v>MGR003</v>
      </c>
    </row>
    <row r="520" spans="1:15" ht="15.75" customHeight="1">
      <c r="A520">
        <v>519</v>
      </c>
      <c r="B520" s="2">
        <v>44949</v>
      </c>
      <c r="C520" t="s">
        <v>544</v>
      </c>
      <c r="D520" t="s">
        <v>21</v>
      </c>
      <c r="E520">
        <v>36</v>
      </c>
      <c r="F520" s="3" t="s">
        <v>24</v>
      </c>
      <c r="G520">
        <v>4</v>
      </c>
      <c r="H520" s="4">
        <v>30</v>
      </c>
      <c r="I520" s="4">
        <v>120</v>
      </c>
      <c r="J520" t="s">
        <v>525</v>
      </c>
      <c r="K520" t="str">
        <f>IFERROR(VLOOKUP(F520&amp;"|"&amp;H520,Feature_Mappings!$A$2:$C$16,2,FALSE()),"")</f>
        <v>Wireless Mouse</v>
      </c>
      <c r="L520" t="str">
        <f>IFERROR(VLOOKUP(F520&amp;"|"&amp;H520,Feature_Mappings!$A$2:$C$16,3,FALSE()),"")</f>
        <v>ByteWave Distributors</v>
      </c>
      <c r="M520" t="str">
        <f>IFERROR(VLOOKUP(J520,Feature_Mappings!$D$2:$E$5,2,FALSE()),"")</f>
        <v>Sophie Nguyen</v>
      </c>
      <c r="N520" t="s">
        <v>526</v>
      </c>
      <c r="O520" t="str">
        <f>IFERROR(INDEX(Store_Manager!$A$2:$A$5,MATCH(M520,Store_Manager!$B$2:$B$5,0)),"")</f>
        <v>MGR003</v>
      </c>
    </row>
    <row r="521" spans="1:15" ht="15.75" customHeight="1">
      <c r="A521">
        <v>520</v>
      </c>
      <c r="B521" s="2">
        <v>45289</v>
      </c>
      <c r="C521" t="s">
        <v>545</v>
      </c>
      <c r="D521" t="s">
        <v>21</v>
      </c>
      <c r="E521">
        <v>49</v>
      </c>
      <c r="F521" s="3" t="s">
        <v>24</v>
      </c>
      <c r="G521">
        <v>4</v>
      </c>
      <c r="H521" s="4">
        <v>25</v>
      </c>
      <c r="I521" s="4">
        <v>100</v>
      </c>
      <c r="J521" t="s">
        <v>525</v>
      </c>
      <c r="K521" t="str">
        <f>IFERROR(VLOOKUP(F521&amp;"|"&amp;H521,Feature_Mappings!$A$2:$C$16,2,FALSE()),"")</f>
        <v>USB-C Charger</v>
      </c>
      <c r="L521" t="str">
        <f>IFERROR(VLOOKUP(F521&amp;"|"&amp;H521,Feature_Mappings!$A$2:$C$16,3,FALSE()),"")</f>
        <v>VoltEdge Electronics</v>
      </c>
      <c r="M521" t="str">
        <f>IFERROR(VLOOKUP(J521,Feature_Mappings!$D$2:$E$5,2,FALSE()),"")</f>
        <v>Sophie Nguyen</v>
      </c>
      <c r="N521" t="s">
        <v>526</v>
      </c>
      <c r="O521" t="str">
        <f>IFERROR(INDEX(Store_Manager!$A$2:$A$5,MATCH(M521,Store_Manager!$B$2:$B$5,0)),"")</f>
        <v>MGR003</v>
      </c>
    </row>
    <row r="522" spans="1:15" ht="15.75" customHeight="1">
      <c r="A522">
        <v>521</v>
      </c>
      <c r="B522" s="2">
        <v>45150</v>
      </c>
      <c r="C522" t="s">
        <v>546</v>
      </c>
      <c r="D522" t="s">
        <v>21</v>
      </c>
      <c r="E522">
        <v>47</v>
      </c>
      <c r="F522" s="3" t="s">
        <v>22</v>
      </c>
      <c r="G522">
        <v>4</v>
      </c>
      <c r="H522" s="4">
        <v>30</v>
      </c>
      <c r="I522" s="4">
        <v>120</v>
      </c>
      <c r="J522" t="s">
        <v>525</v>
      </c>
      <c r="K522" t="str">
        <f>IFERROR(VLOOKUP(F522&amp;"|"&amp;H522,Feature_Mappings!$A$2:$C$16,2,FALSE()),"")</f>
        <v>Graphic T-Shirt</v>
      </c>
      <c r="L522" t="str">
        <f>IFERROR(VLOOKUP(F522&amp;"|"&amp;H522,Feature_Mappings!$A$2:$C$16,3,FALSE()),"")</f>
        <v>ThreadWorks Apparel</v>
      </c>
      <c r="M522" t="str">
        <f>IFERROR(VLOOKUP(J522,Feature_Mappings!$D$2:$E$5,2,FALSE()),"")</f>
        <v>Sophie Nguyen</v>
      </c>
      <c r="N522" t="s">
        <v>526</v>
      </c>
      <c r="O522" t="str">
        <f>IFERROR(INDEX(Store_Manager!$A$2:$A$5,MATCH(M522,Store_Manager!$B$2:$B$5,0)),"")</f>
        <v>MGR003</v>
      </c>
    </row>
    <row r="523" spans="1:15" ht="15.75" customHeight="1">
      <c r="A523">
        <v>522</v>
      </c>
      <c r="B523" s="2">
        <v>44927</v>
      </c>
      <c r="C523" t="s">
        <v>547</v>
      </c>
      <c r="D523" t="s">
        <v>16</v>
      </c>
      <c r="E523">
        <v>46</v>
      </c>
      <c r="F523" s="3" t="s">
        <v>17</v>
      </c>
      <c r="G523">
        <v>3</v>
      </c>
      <c r="H523" s="4">
        <v>500</v>
      </c>
      <c r="I523" s="4">
        <v>1500</v>
      </c>
      <c r="J523" t="s">
        <v>525</v>
      </c>
      <c r="K523" t="str">
        <f>IFERROR(VLOOKUP(F523&amp;"|"&amp;H523,Feature_Mappings!$A$2:$C$16,2,FALSE()),"")</f>
        <v>LED Beauty Device</v>
      </c>
      <c r="L523" t="str">
        <f>IFERROR(VLOOKUP(F523&amp;"|"&amp;H523,Feature_Mappings!$A$2:$C$16,3,FALSE()),"")</f>
        <v>BeautyTech Pro</v>
      </c>
      <c r="M523" t="str">
        <f>IFERROR(VLOOKUP(J523,Feature_Mappings!$D$2:$E$5,2,FALSE()),"")</f>
        <v>Sophie Nguyen</v>
      </c>
      <c r="N523" t="s">
        <v>526</v>
      </c>
      <c r="O523" t="str">
        <f>IFERROR(INDEX(Store_Manager!$A$2:$A$5,MATCH(M523,Store_Manager!$B$2:$B$5,0)),"")</f>
        <v>MGR003</v>
      </c>
    </row>
    <row r="524" spans="1:15" ht="15.75" customHeight="1">
      <c r="A524">
        <v>523</v>
      </c>
      <c r="B524" s="2">
        <v>45193</v>
      </c>
      <c r="C524" t="s">
        <v>548</v>
      </c>
      <c r="D524" t="s">
        <v>21</v>
      </c>
      <c r="E524">
        <v>62</v>
      </c>
      <c r="F524" s="3" t="s">
        <v>24</v>
      </c>
      <c r="G524">
        <v>1</v>
      </c>
      <c r="H524" s="4">
        <v>300</v>
      </c>
      <c r="I524" s="4">
        <v>300</v>
      </c>
      <c r="J524" t="s">
        <v>525</v>
      </c>
      <c r="K524" t="str">
        <f>IFERROR(VLOOKUP(F524&amp;"|"&amp;H524,Feature_Mappings!$A$2:$C$16,2,FALSE()),"")</f>
        <v>Tablet</v>
      </c>
      <c r="L524" t="str">
        <f>IFERROR(VLOOKUP(F524&amp;"|"&amp;H524,Feature_Mappings!$A$2:$C$16,3,FALSE()),"")</f>
        <v>NextGen Devices</v>
      </c>
      <c r="M524" t="str">
        <f>IFERROR(VLOOKUP(J524,Feature_Mappings!$D$2:$E$5,2,FALSE()),"")</f>
        <v>Sophie Nguyen</v>
      </c>
      <c r="N524" t="s">
        <v>526</v>
      </c>
      <c r="O524" t="str">
        <f>IFERROR(INDEX(Store_Manager!$A$2:$A$5,MATCH(M524,Store_Manager!$B$2:$B$5,0)),"")</f>
        <v>MGR003</v>
      </c>
    </row>
    <row r="525" spans="1:15" ht="15.75" customHeight="1">
      <c r="A525">
        <v>524</v>
      </c>
      <c r="B525" s="2">
        <v>45202</v>
      </c>
      <c r="C525" t="s">
        <v>549</v>
      </c>
      <c r="D525" t="s">
        <v>16</v>
      </c>
      <c r="E525">
        <v>46</v>
      </c>
      <c r="F525" s="3" t="s">
        <v>17</v>
      </c>
      <c r="G525">
        <v>4</v>
      </c>
      <c r="H525" s="4">
        <v>300</v>
      </c>
      <c r="I525" s="4">
        <v>1200</v>
      </c>
      <c r="J525" t="s">
        <v>525</v>
      </c>
      <c r="K525" t="str">
        <f>IFERROR(VLOOKUP(F525&amp;"|"&amp;H525,Feature_Mappings!$A$2:$C$16,2,FALSE()),"")</f>
        <v>Skincare Gift Set</v>
      </c>
      <c r="L525" t="str">
        <f>IFERROR(VLOOKUP(F525&amp;"|"&amp;H525,Feature_Mappings!$A$2:$C$16,3,FALSE()),"")</f>
        <v>Radiant Beauty Wholesale</v>
      </c>
      <c r="M525" t="str">
        <f>IFERROR(VLOOKUP(J525,Feature_Mappings!$D$2:$E$5,2,FALSE()),"")</f>
        <v>Sophie Nguyen</v>
      </c>
      <c r="N525" t="s">
        <v>526</v>
      </c>
      <c r="O525" t="str">
        <f>IFERROR(INDEX(Store_Manager!$A$2:$A$5,MATCH(M525,Store_Manager!$B$2:$B$5,0)),"")</f>
        <v>MGR003</v>
      </c>
    </row>
    <row r="526" spans="1:15" ht="15.75" customHeight="1">
      <c r="A526">
        <v>525</v>
      </c>
      <c r="B526" s="2">
        <v>45278</v>
      </c>
      <c r="C526" t="s">
        <v>550</v>
      </c>
      <c r="D526" t="s">
        <v>21</v>
      </c>
      <c r="E526">
        <v>47</v>
      </c>
      <c r="F526" s="3" t="s">
        <v>17</v>
      </c>
      <c r="G526">
        <v>2</v>
      </c>
      <c r="H526" s="4">
        <v>25</v>
      </c>
      <c r="I526" s="4">
        <v>50</v>
      </c>
      <c r="J526" t="s">
        <v>525</v>
      </c>
      <c r="K526" t="str">
        <f>IFERROR(VLOOKUP(F526&amp;"|"&amp;H526,Feature_Mappings!$A$2:$C$16,2,FALSE()),"")</f>
        <v>Lip Balm</v>
      </c>
      <c r="L526" t="str">
        <f>IFERROR(VLOOKUP(F526&amp;"|"&amp;H526,Feature_Mappings!$A$2:$C$16,3,FALSE()),"")</f>
        <v>GlowSource Cosmetics</v>
      </c>
      <c r="M526" t="str">
        <f>IFERROR(VLOOKUP(J526,Feature_Mappings!$D$2:$E$5,2,FALSE()),"")</f>
        <v>Sophie Nguyen</v>
      </c>
      <c r="N526" t="s">
        <v>526</v>
      </c>
      <c r="O526" t="str">
        <f>IFERROR(INDEX(Store_Manager!$A$2:$A$5,MATCH(M526,Store_Manager!$B$2:$B$5,0)),"")</f>
        <v>MGR003</v>
      </c>
    </row>
    <row r="527" spans="1:15" ht="15.75" customHeight="1">
      <c r="A527">
        <v>526</v>
      </c>
      <c r="B527" s="2">
        <v>45270</v>
      </c>
      <c r="C527" t="s">
        <v>551</v>
      </c>
      <c r="D527" t="s">
        <v>16</v>
      </c>
      <c r="E527">
        <v>33</v>
      </c>
      <c r="F527" s="3" t="s">
        <v>22</v>
      </c>
      <c r="G527">
        <v>2</v>
      </c>
      <c r="H527" s="4">
        <v>50</v>
      </c>
      <c r="I527" s="4">
        <v>100</v>
      </c>
      <c r="J527" t="s">
        <v>525</v>
      </c>
      <c r="K527" t="str">
        <f>IFERROR(VLOOKUP(F527&amp;"|"&amp;H527,Feature_Mappings!$A$2:$C$16,2,FALSE()),"")</f>
        <v>Denim Jeans</v>
      </c>
      <c r="L527" t="str">
        <f>IFERROR(VLOOKUP(F527&amp;"|"&amp;H527,Feature_Mappings!$A$2:$C$16,3,FALSE()),"")</f>
        <v>BlueFit Garments</v>
      </c>
      <c r="M527" t="str">
        <f>IFERROR(VLOOKUP(J527,Feature_Mappings!$D$2:$E$5,2,FALSE()),"")</f>
        <v>Sophie Nguyen</v>
      </c>
      <c r="N527" t="s">
        <v>526</v>
      </c>
      <c r="O527" t="str">
        <f>IFERROR(INDEX(Store_Manager!$A$2:$A$5,MATCH(M527,Store_Manager!$B$2:$B$5,0)),"")</f>
        <v>MGR003</v>
      </c>
    </row>
    <row r="528" spans="1:15" ht="15.75" customHeight="1">
      <c r="A528">
        <v>527</v>
      </c>
      <c r="B528" s="2">
        <v>45027</v>
      </c>
      <c r="C528" t="s">
        <v>552</v>
      </c>
      <c r="D528" t="s">
        <v>16</v>
      </c>
      <c r="E528">
        <v>57</v>
      </c>
      <c r="F528" s="3" t="s">
        <v>22</v>
      </c>
      <c r="G528">
        <v>2</v>
      </c>
      <c r="H528" s="4">
        <v>25</v>
      </c>
      <c r="I528" s="4">
        <v>50</v>
      </c>
      <c r="J528" t="s">
        <v>525</v>
      </c>
      <c r="K528" t="str">
        <f>IFERROR(VLOOKUP(F528&amp;"|"&amp;H528,Feature_Mappings!$A$2:$C$16,2,FALSE()),"")</f>
        <v>Cotton Socks</v>
      </c>
      <c r="L528" t="str">
        <f>IFERROR(VLOOKUP(F528&amp;"|"&amp;H528,Feature_Mappings!$A$2:$C$16,3,FALSE()),"")</f>
        <v>Urban Basics Co.</v>
      </c>
      <c r="M528" t="str">
        <f>IFERROR(VLOOKUP(J528,Feature_Mappings!$D$2:$E$5,2,FALSE()),"")</f>
        <v>Sophie Nguyen</v>
      </c>
      <c r="N528" t="s">
        <v>526</v>
      </c>
      <c r="O528" t="str">
        <f>IFERROR(INDEX(Store_Manager!$A$2:$A$5,MATCH(M528,Store_Manager!$B$2:$B$5,0)),"")</f>
        <v>MGR003</v>
      </c>
    </row>
    <row r="529" spans="1:15" ht="15.75" customHeight="1">
      <c r="A529">
        <v>528</v>
      </c>
      <c r="B529" s="2">
        <v>45113</v>
      </c>
      <c r="C529" t="s">
        <v>553</v>
      </c>
      <c r="D529" t="s">
        <v>21</v>
      </c>
      <c r="E529">
        <v>36</v>
      </c>
      <c r="F529" s="3" t="s">
        <v>22</v>
      </c>
      <c r="G529">
        <v>2</v>
      </c>
      <c r="H529" s="4">
        <v>30</v>
      </c>
      <c r="I529" s="4">
        <v>60</v>
      </c>
      <c r="J529" t="s">
        <v>525</v>
      </c>
      <c r="K529" t="str">
        <f>IFERROR(VLOOKUP(F529&amp;"|"&amp;H529,Feature_Mappings!$A$2:$C$16,2,FALSE()),"")</f>
        <v>Graphic T-Shirt</v>
      </c>
      <c r="L529" t="str">
        <f>IFERROR(VLOOKUP(F529&amp;"|"&amp;H529,Feature_Mappings!$A$2:$C$16,3,FALSE()),"")</f>
        <v>ThreadWorks Apparel</v>
      </c>
      <c r="M529" t="str">
        <f>IFERROR(VLOOKUP(J529,Feature_Mappings!$D$2:$E$5,2,FALSE()),"")</f>
        <v>Sophie Nguyen</v>
      </c>
      <c r="N529" t="s">
        <v>526</v>
      </c>
      <c r="O529" t="str">
        <f>IFERROR(INDEX(Store_Manager!$A$2:$A$5,MATCH(M529,Store_Manager!$B$2:$B$5,0)),"")</f>
        <v>MGR003</v>
      </c>
    </row>
    <row r="530" spans="1:15" ht="15.75" customHeight="1">
      <c r="A530">
        <v>529</v>
      </c>
      <c r="B530" s="2">
        <v>45147</v>
      </c>
      <c r="C530" t="s">
        <v>554</v>
      </c>
      <c r="D530" t="s">
        <v>21</v>
      </c>
      <c r="E530">
        <v>35</v>
      </c>
      <c r="F530" s="3" t="s">
        <v>22</v>
      </c>
      <c r="G530">
        <v>3</v>
      </c>
      <c r="H530" s="4">
        <v>50</v>
      </c>
      <c r="I530" s="4">
        <v>150</v>
      </c>
      <c r="J530" t="s">
        <v>525</v>
      </c>
      <c r="K530" t="str">
        <f>IFERROR(VLOOKUP(F530&amp;"|"&amp;H530,Feature_Mappings!$A$2:$C$16,2,FALSE()),"")</f>
        <v>Denim Jeans</v>
      </c>
      <c r="L530" t="str">
        <f>IFERROR(VLOOKUP(F530&amp;"|"&amp;H530,Feature_Mappings!$A$2:$C$16,3,FALSE()),"")</f>
        <v>BlueFit Garments</v>
      </c>
      <c r="M530" t="str">
        <f>IFERROR(VLOOKUP(J530,Feature_Mappings!$D$2:$E$5,2,FALSE()),"")</f>
        <v>Sophie Nguyen</v>
      </c>
      <c r="N530" t="s">
        <v>526</v>
      </c>
      <c r="O530" t="str">
        <f>IFERROR(INDEX(Store_Manager!$A$2:$A$5,MATCH(M530,Store_Manager!$B$2:$B$5,0)),"")</f>
        <v>MGR003</v>
      </c>
    </row>
    <row r="531" spans="1:15" ht="15.75" customHeight="1">
      <c r="A531">
        <v>530</v>
      </c>
      <c r="B531" s="2">
        <v>44962</v>
      </c>
      <c r="C531" t="s">
        <v>555</v>
      </c>
      <c r="D531" t="s">
        <v>21</v>
      </c>
      <c r="E531">
        <v>18</v>
      </c>
      <c r="F531" s="3" t="s">
        <v>24</v>
      </c>
      <c r="G531">
        <v>4</v>
      </c>
      <c r="H531" s="4">
        <v>30</v>
      </c>
      <c r="I531" s="4">
        <v>120</v>
      </c>
      <c r="J531" t="s">
        <v>525</v>
      </c>
      <c r="K531" t="str">
        <f>IFERROR(VLOOKUP(F531&amp;"|"&amp;H531,Feature_Mappings!$A$2:$C$16,2,FALSE()),"")</f>
        <v>Wireless Mouse</v>
      </c>
      <c r="L531" t="str">
        <f>IFERROR(VLOOKUP(F531&amp;"|"&amp;H531,Feature_Mappings!$A$2:$C$16,3,FALSE()),"")</f>
        <v>ByteWave Distributors</v>
      </c>
      <c r="M531" t="str">
        <f>IFERROR(VLOOKUP(J531,Feature_Mappings!$D$2:$E$5,2,FALSE()),"")</f>
        <v>Sophie Nguyen</v>
      </c>
      <c r="N531" t="s">
        <v>526</v>
      </c>
      <c r="O531" t="str">
        <f>IFERROR(INDEX(Store_Manager!$A$2:$A$5,MATCH(M531,Store_Manager!$B$2:$B$5,0)),"")</f>
        <v>MGR003</v>
      </c>
    </row>
    <row r="532" spans="1:15" ht="15.75" customHeight="1">
      <c r="A532">
        <v>531</v>
      </c>
      <c r="B532" s="2">
        <v>45267</v>
      </c>
      <c r="C532" t="s">
        <v>556</v>
      </c>
      <c r="D532" t="s">
        <v>16</v>
      </c>
      <c r="E532">
        <v>31</v>
      </c>
      <c r="F532" s="3" t="s">
        <v>24</v>
      </c>
      <c r="G532">
        <v>1</v>
      </c>
      <c r="H532" s="4">
        <v>500</v>
      </c>
      <c r="I532" s="4">
        <v>500</v>
      </c>
      <c r="J532" t="s">
        <v>525</v>
      </c>
      <c r="K532" t="str">
        <f>IFERROR(VLOOKUP(F532&amp;"|"&amp;H532,Feature_Mappings!$A$2:$C$16,2,FALSE()),"")</f>
        <v>Smartphone</v>
      </c>
      <c r="L532" t="str">
        <f>IFERROR(VLOOKUP(F532&amp;"|"&amp;H532,Feature_Mappings!$A$2:$C$16,3,FALSE()),"")</f>
        <v>NovaTech Wholesale</v>
      </c>
      <c r="M532" t="str">
        <f>IFERROR(VLOOKUP(J532,Feature_Mappings!$D$2:$E$5,2,FALSE()),"")</f>
        <v>Sophie Nguyen</v>
      </c>
      <c r="N532" t="s">
        <v>526</v>
      </c>
      <c r="O532" t="str">
        <f>IFERROR(INDEX(Store_Manager!$A$2:$A$5,MATCH(M532,Store_Manager!$B$2:$B$5,0)),"")</f>
        <v>MGR003</v>
      </c>
    </row>
    <row r="533" spans="1:15" ht="15.75" customHeight="1">
      <c r="A533">
        <v>532</v>
      </c>
      <c r="B533" s="2">
        <v>45096</v>
      </c>
      <c r="C533" t="s">
        <v>557</v>
      </c>
      <c r="D533" t="s">
        <v>21</v>
      </c>
      <c r="E533">
        <v>64</v>
      </c>
      <c r="F533" s="3" t="s">
        <v>22</v>
      </c>
      <c r="G533">
        <v>4</v>
      </c>
      <c r="H533" s="4">
        <v>30</v>
      </c>
      <c r="I533" s="4">
        <v>120</v>
      </c>
      <c r="J533" t="s">
        <v>525</v>
      </c>
      <c r="K533" t="str">
        <f>IFERROR(VLOOKUP(F533&amp;"|"&amp;H533,Feature_Mappings!$A$2:$C$16,2,FALSE()),"")</f>
        <v>Graphic T-Shirt</v>
      </c>
      <c r="L533" t="str">
        <f>IFERROR(VLOOKUP(F533&amp;"|"&amp;H533,Feature_Mappings!$A$2:$C$16,3,FALSE()),"")</f>
        <v>ThreadWorks Apparel</v>
      </c>
      <c r="M533" t="str">
        <f>IFERROR(VLOOKUP(J533,Feature_Mappings!$D$2:$E$5,2,FALSE()),"")</f>
        <v>Sophie Nguyen</v>
      </c>
      <c r="N533" t="s">
        <v>526</v>
      </c>
      <c r="O533" t="str">
        <f>IFERROR(INDEX(Store_Manager!$A$2:$A$5,MATCH(M533,Store_Manager!$B$2:$B$5,0)),"")</f>
        <v>MGR003</v>
      </c>
    </row>
    <row r="534" spans="1:15" ht="15.75" customHeight="1">
      <c r="A534">
        <v>533</v>
      </c>
      <c r="B534" s="2">
        <v>45246</v>
      </c>
      <c r="C534" t="s">
        <v>558</v>
      </c>
      <c r="D534" t="s">
        <v>16</v>
      </c>
      <c r="E534">
        <v>19</v>
      </c>
      <c r="F534" s="3" t="s">
        <v>24</v>
      </c>
      <c r="G534">
        <v>3</v>
      </c>
      <c r="H534" s="4">
        <v>500</v>
      </c>
      <c r="I534" s="4">
        <v>1500</v>
      </c>
      <c r="J534" t="s">
        <v>525</v>
      </c>
      <c r="K534" t="str">
        <f>IFERROR(VLOOKUP(F534&amp;"|"&amp;H534,Feature_Mappings!$A$2:$C$16,2,FALSE()),"")</f>
        <v>Smartphone</v>
      </c>
      <c r="L534" t="str">
        <f>IFERROR(VLOOKUP(F534&amp;"|"&amp;H534,Feature_Mappings!$A$2:$C$16,3,FALSE()),"")</f>
        <v>NovaTech Wholesale</v>
      </c>
      <c r="M534" t="str">
        <f>IFERROR(VLOOKUP(J534,Feature_Mappings!$D$2:$E$5,2,FALSE()),"")</f>
        <v>Sophie Nguyen</v>
      </c>
      <c r="N534" t="s">
        <v>526</v>
      </c>
      <c r="O534" t="str">
        <f>IFERROR(INDEX(Store_Manager!$A$2:$A$5,MATCH(M534,Store_Manager!$B$2:$B$5,0)),"")</f>
        <v>MGR003</v>
      </c>
    </row>
    <row r="535" spans="1:15" ht="15.75" customHeight="1">
      <c r="A535">
        <v>534</v>
      </c>
      <c r="B535" s="2">
        <v>45087</v>
      </c>
      <c r="C535" t="s">
        <v>559</v>
      </c>
      <c r="D535" t="s">
        <v>16</v>
      </c>
      <c r="E535">
        <v>45</v>
      </c>
      <c r="F535" s="3" t="s">
        <v>22</v>
      </c>
      <c r="G535">
        <v>2</v>
      </c>
      <c r="H535" s="4">
        <v>500</v>
      </c>
      <c r="I535" s="4">
        <v>1000</v>
      </c>
      <c r="J535" t="s">
        <v>525</v>
      </c>
      <c r="K535" t="str">
        <f>IFERROR(VLOOKUP(F535&amp;"|"&amp;H535,Feature_Mappings!$A$2:$C$16,2,FALSE()),"")</f>
        <v>Designer Coat</v>
      </c>
      <c r="L535" t="str">
        <f>IFERROR(VLOOKUP(F535&amp;"|"&amp;H535,Feature_Mappings!$A$2:$C$16,3,FALSE()),"")</f>
        <v>Prestige Fashion House</v>
      </c>
      <c r="M535" t="str">
        <f>IFERROR(VLOOKUP(J535,Feature_Mappings!$D$2:$E$5,2,FALSE()),"")</f>
        <v>Sophie Nguyen</v>
      </c>
      <c r="N535" t="s">
        <v>526</v>
      </c>
      <c r="O535" t="str">
        <f>IFERROR(INDEX(Store_Manager!$A$2:$A$5,MATCH(M535,Store_Manager!$B$2:$B$5,0)),"")</f>
        <v>MGR003</v>
      </c>
    </row>
    <row r="536" spans="1:15" ht="15.75" customHeight="1">
      <c r="A536">
        <v>535</v>
      </c>
      <c r="B536" s="2">
        <v>45266</v>
      </c>
      <c r="C536" t="s">
        <v>560</v>
      </c>
      <c r="D536" t="s">
        <v>16</v>
      </c>
      <c r="E536">
        <v>47</v>
      </c>
      <c r="F536" s="3" t="s">
        <v>17</v>
      </c>
      <c r="G536">
        <v>3</v>
      </c>
      <c r="H536" s="4">
        <v>30</v>
      </c>
      <c r="I536" s="4">
        <v>90</v>
      </c>
      <c r="J536" t="s">
        <v>525</v>
      </c>
      <c r="K536" t="str">
        <f>IFERROR(VLOOKUP(F536&amp;"|"&amp;H536,Feature_Mappings!$A$2:$C$16,2,FALSE()),"")</f>
        <v>Facial Cleanser</v>
      </c>
      <c r="L536" t="str">
        <f>IFERROR(VLOOKUP(F536&amp;"|"&amp;H536,Feature_Mappings!$A$2:$C$16,3,FALSE()),"")</f>
        <v>PureDerma Supplies</v>
      </c>
      <c r="M536" t="str">
        <f>IFERROR(VLOOKUP(J536,Feature_Mappings!$D$2:$E$5,2,FALSE()),"")</f>
        <v>Sophie Nguyen</v>
      </c>
      <c r="N536" t="s">
        <v>526</v>
      </c>
      <c r="O536" t="str">
        <f>IFERROR(INDEX(Store_Manager!$A$2:$A$5,MATCH(M536,Store_Manager!$B$2:$B$5,0)),"")</f>
        <v>MGR003</v>
      </c>
    </row>
    <row r="537" spans="1:15" ht="15.75" customHeight="1">
      <c r="A537">
        <v>536</v>
      </c>
      <c r="B537" s="2">
        <v>44990</v>
      </c>
      <c r="C537" t="s">
        <v>561</v>
      </c>
      <c r="D537" t="s">
        <v>21</v>
      </c>
      <c r="E537">
        <v>55</v>
      </c>
      <c r="F537" s="3" t="s">
        <v>17</v>
      </c>
      <c r="G537">
        <v>4</v>
      </c>
      <c r="H537" s="4">
        <v>30</v>
      </c>
      <c r="I537" s="4">
        <v>120</v>
      </c>
      <c r="J537" t="s">
        <v>525</v>
      </c>
      <c r="K537" t="str">
        <f>IFERROR(VLOOKUP(F537&amp;"|"&amp;H537,Feature_Mappings!$A$2:$C$16,2,FALSE()),"")</f>
        <v>Facial Cleanser</v>
      </c>
      <c r="L537" t="str">
        <f>IFERROR(VLOOKUP(F537&amp;"|"&amp;H537,Feature_Mappings!$A$2:$C$16,3,FALSE()),"")</f>
        <v>PureDerma Supplies</v>
      </c>
      <c r="M537" t="str">
        <f>IFERROR(VLOOKUP(J537,Feature_Mappings!$D$2:$E$5,2,FALSE()),"")</f>
        <v>Sophie Nguyen</v>
      </c>
      <c r="N537" t="s">
        <v>526</v>
      </c>
      <c r="O537" t="str">
        <f>IFERROR(INDEX(Store_Manager!$A$2:$A$5,MATCH(M537,Store_Manager!$B$2:$B$5,0)),"")</f>
        <v>MGR003</v>
      </c>
    </row>
    <row r="538" spans="1:15" ht="15.75" customHeight="1">
      <c r="A538">
        <v>537</v>
      </c>
      <c r="B538" s="2">
        <v>45080</v>
      </c>
      <c r="C538" t="s">
        <v>562</v>
      </c>
      <c r="D538" t="s">
        <v>21</v>
      </c>
      <c r="E538">
        <v>21</v>
      </c>
      <c r="F538" s="3" t="s">
        <v>17</v>
      </c>
      <c r="G538">
        <v>1</v>
      </c>
      <c r="H538" s="4">
        <v>500</v>
      </c>
      <c r="I538" s="4">
        <v>500</v>
      </c>
      <c r="J538" t="s">
        <v>525</v>
      </c>
      <c r="K538" t="str">
        <f>IFERROR(VLOOKUP(F538&amp;"|"&amp;H538,Feature_Mappings!$A$2:$C$16,2,FALSE()),"")</f>
        <v>LED Beauty Device</v>
      </c>
      <c r="L538" t="str">
        <f>IFERROR(VLOOKUP(F538&amp;"|"&amp;H538,Feature_Mappings!$A$2:$C$16,3,FALSE()),"")</f>
        <v>BeautyTech Pro</v>
      </c>
      <c r="M538" t="str">
        <f>IFERROR(VLOOKUP(J538,Feature_Mappings!$D$2:$E$5,2,FALSE()),"")</f>
        <v>Sophie Nguyen</v>
      </c>
      <c r="N538" t="s">
        <v>526</v>
      </c>
      <c r="O538" t="str">
        <f>IFERROR(INDEX(Store_Manager!$A$2:$A$5,MATCH(M538,Store_Manager!$B$2:$B$5,0)),"")</f>
        <v>MGR003</v>
      </c>
    </row>
    <row r="539" spans="1:15" ht="15.75" customHeight="1">
      <c r="A539">
        <v>538</v>
      </c>
      <c r="B539" s="2">
        <v>45186</v>
      </c>
      <c r="C539" t="s">
        <v>563</v>
      </c>
      <c r="D539" t="s">
        <v>16</v>
      </c>
      <c r="E539">
        <v>18</v>
      </c>
      <c r="F539" s="3" t="s">
        <v>22</v>
      </c>
      <c r="G539">
        <v>3</v>
      </c>
      <c r="H539" s="4">
        <v>50</v>
      </c>
      <c r="I539" s="4">
        <v>150</v>
      </c>
      <c r="J539" t="s">
        <v>525</v>
      </c>
      <c r="K539" t="str">
        <f>IFERROR(VLOOKUP(F539&amp;"|"&amp;H539,Feature_Mappings!$A$2:$C$16,2,FALSE()),"")</f>
        <v>Denim Jeans</v>
      </c>
      <c r="L539" t="str">
        <f>IFERROR(VLOOKUP(F539&amp;"|"&amp;H539,Feature_Mappings!$A$2:$C$16,3,FALSE()),"")</f>
        <v>BlueFit Garments</v>
      </c>
      <c r="M539" t="str">
        <f>IFERROR(VLOOKUP(J539,Feature_Mappings!$D$2:$E$5,2,FALSE()),"")</f>
        <v>Sophie Nguyen</v>
      </c>
      <c r="N539" t="s">
        <v>526</v>
      </c>
      <c r="O539" t="str">
        <f>IFERROR(INDEX(Store_Manager!$A$2:$A$5,MATCH(M539,Store_Manager!$B$2:$B$5,0)),"")</f>
        <v>MGR003</v>
      </c>
    </row>
    <row r="540" spans="1:15" ht="15.75" customHeight="1">
      <c r="A540">
        <v>539</v>
      </c>
      <c r="B540" s="2">
        <v>45085</v>
      </c>
      <c r="C540" t="s">
        <v>564</v>
      </c>
      <c r="D540" t="s">
        <v>16</v>
      </c>
      <c r="E540">
        <v>25</v>
      </c>
      <c r="F540" s="3" t="s">
        <v>17</v>
      </c>
      <c r="G540">
        <v>1</v>
      </c>
      <c r="H540" s="4">
        <v>500</v>
      </c>
      <c r="I540" s="4">
        <v>500</v>
      </c>
      <c r="J540" t="s">
        <v>525</v>
      </c>
      <c r="K540" t="str">
        <f>IFERROR(VLOOKUP(F540&amp;"|"&amp;H540,Feature_Mappings!$A$2:$C$16,2,FALSE()),"")</f>
        <v>LED Beauty Device</v>
      </c>
      <c r="L540" t="str">
        <f>IFERROR(VLOOKUP(F540&amp;"|"&amp;H540,Feature_Mappings!$A$2:$C$16,3,FALSE()),"")</f>
        <v>BeautyTech Pro</v>
      </c>
      <c r="M540" t="str">
        <f>IFERROR(VLOOKUP(J540,Feature_Mappings!$D$2:$E$5,2,FALSE()),"")</f>
        <v>Sophie Nguyen</v>
      </c>
      <c r="N540" t="s">
        <v>526</v>
      </c>
      <c r="O540" t="str">
        <f>IFERROR(INDEX(Store_Manager!$A$2:$A$5,MATCH(M540,Store_Manager!$B$2:$B$5,0)),"")</f>
        <v>MGR003</v>
      </c>
    </row>
    <row r="541" spans="1:15" ht="15.75" customHeight="1">
      <c r="A541">
        <v>540</v>
      </c>
      <c r="B541" s="2">
        <v>45268</v>
      </c>
      <c r="C541" t="s">
        <v>565</v>
      </c>
      <c r="D541" t="s">
        <v>21</v>
      </c>
      <c r="E541">
        <v>46</v>
      </c>
      <c r="F541" s="3" t="s">
        <v>24</v>
      </c>
      <c r="G541">
        <v>3</v>
      </c>
      <c r="H541" s="4">
        <v>300</v>
      </c>
      <c r="I541" s="4">
        <v>900</v>
      </c>
      <c r="J541" t="s">
        <v>525</v>
      </c>
      <c r="K541" t="str">
        <f>IFERROR(VLOOKUP(F541&amp;"|"&amp;H541,Feature_Mappings!$A$2:$C$16,2,FALSE()),"")</f>
        <v>Tablet</v>
      </c>
      <c r="L541" t="str">
        <f>IFERROR(VLOOKUP(F541&amp;"|"&amp;H541,Feature_Mappings!$A$2:$C$16,3,FALSE()),"")</f>
        <v>NextGen Devices</v>
      </c>
      <c r="M541" t="str">
        <f>IFERROR(VLOOKUP(J541,Feature_Mappings!$D$2:$E$5,2,FALSE()),"")</f>
        <v>Sophie Nguyen</v>
      </c>
      <c r="N541" t="s">
        <v>526</v>
      </c>
      <c r="O541" t="str">
        <f>IFERROR(INDEX(Store_Manager!$A$2:$A$5,MATCH(M541,Store_Manager!$B$2:$B$5,0)),"")</f>
        <v>MGR003</v>
      </c>
    </row>
    <row r="542" spans="1:15" ht="15.75" customHeight="1">
      <c r="A542">
        <v>541</v>
      </c>
      <c r="B542" s="2">
        <v>45136</v>
      </c>
      <c r="C542" t="s">
        <v>566</v>
      </c>
      <c r="D542" t="s">
        <v>16</v>
      </c>
      <c r="E542">
        <v>56</v>
      </c>
      <c r="F542" s="3" t="s">
        <v>17</v>
      </c>
      <c r="G542">
        <v>1</v>
      </c>
      <c r="H542" s="4">
        <v>500</v>
      </c>
      <c r="I542" s="4">
        <v>500</v>
      </c>
      <c r="J542" t="s">
        <v>525</v>
      </c>
      <c r="K542" t="str">
        <f>IFERROR(VLOOKUP(F542&amp;"|"&amp;H542,Feature_Mappings!$A$2:$C$16,2,FALSE()),"")</f>
        <v>LED Beauty Device</v>
      </c>
      <c r="L542" t="str">
        <f>IFERROR(VLOOKUP(F542&amp;"|"&amp;H542,Feature_Mappings!$A$2:$C$16,3,FALSE()),"")</f>
        <v>BeautyTech Pro</v>
      </c>
      <c r="M542" t="str">
        <f>IFERROR(VLOOKUP(J542,Feature_Mappings!$D$2:$E$5,2,FALSE()),"")</f>
        <v>Sophie Nguyen</v>
      </c>
      <c r="N542" t="s">
        <v>526</v>
      </c>
      <c r="O542" t="str">
        <f>IFERROR(INDEX(Store_Manager!$A$2:$A$5,MATCH(M542,Store_Manager!$B$2:$B$5,0)),"")</f>
        <v>MGR003</v>
      </c>
    </row>
    <row r="543" spans="1:15" ht="15.75" customHeight="1">
      <c r="A543">
        <v>542</v>
      </c>
      <c r="B543" s="2">
        <v>45094</v>
      </c>
      <c r="C543" t="s">
        <v>567</v>
      </c>
      <c r="D543" t="s">
        <v>21</v>
      </c>
      <c r="E543">
        <v>20</v>
      </c>
      <c r="F543" s="3" t="s">
        <v>17</v>
      </c>
      <c r="G543">
        <v>1</v>
      </c>
      <c r="H543" s="4">
        <v>50</v>
      </c>
      <c r="I543" s="4">
        <v>50</v>
      </c>
      <c r="J543" t="s">
        <v>525</v>
      </c>
      <c r="K543" t="str">
        <f>IFERROR(VLOOKUP(F543&amp;"|"&amp;H543,Feature_Mappings!$A$2:$C$16,2,FALSE()),"")</f>
        <v>Eau de Parfum</v>
      </c>
      <c r="L543" t="str">
        <f>IFERROR(VLOOKUP(F543&amp;"|"&amp;H543,Feature_Mappings!$A$2:$C$16,3,FALSE()),"")</f>
        <v>Luxe Aroma Labs</v>
      </c>
      <c r="M543" t="str">
        <f>IFERROR(VLOOKUP(J543,Feature_Mappings!$D$2:$E$5,2,FALSE()),"")</f>
        <v>Sophie Nguyen</v>
      </c>
      <c r="N543" t="s">
        <v>526</v>
      </c>
      <c r="O543" t="str">
        <f>IFERROR(INDEX(Store_Manager!$A$2:$A$5,MATCH(M543,Store_Manager!$B$2:$B$5,0)),"")</f>
        <v>MGR003</v>
      </c>
    </row>
    <row r="544" spans="1:15" ht="15.75" customHeight="1">
      <c r="A544">
        <v>543</v>
      </c>
      <c r="B544" s="2">
        <v>45133</v>
      </c>
      <c r="C544" t="s">
        <v>568</v>
      </c>
      <c r="D544" t="s">
        <v>16</v>
      </c>
      <c r="E544">
        <v>49</v>
      </c>
      <c r="F544" s="3" t="s">
        <v>17</v>
      </c>
      <c r="G544">
        <v>2</v>
      </c>
      <c r="H544" s="4">
        <v>300</v>
      </c>
      <c r="I544" s="4">
        <v>600</v>
      </c>
      <c r="J544" t="s">
        <v>525</v>
      </c>
      <c r="K544" t="str">
        <f>IFERROR(VLOOKUP(F544&amp;"|"&amp;H544,Feature_Mappings!$A$2:$C$16,2,FALSE()),"")</f>
        <v>Skincare Gift Set</v>
      </c>
      <c r="L544" t="str">
        <f>IFERROR(VLOOKUP(F544&amp;"|"&amp;H544,Feature_Mappings!$A$2:$C$16,3,FALSE()),"")</f>
        <v>Radiant Beauty Wholesale</v>
      </c>
      <c r="M544" t="str">
        <f>IFERROR(VLOOKUP(J544,Feature_Mappings!$D$2:$E$5,2,FALSE()),"")</f>
        <v>Sophie Nguyen</v>
      </c>
      <c r="N544" t="s">
        <v>526</v>
      </c>
      <c r="O544" t="str">
        <f>IFERROR(INDEX(Store_Manager!$A$2:$A$5,MATCH(M544,Store_Manager!$B$2:$B$5,0)),"")</f>
        <v>MGR003</v>
      </c>
    </row>
    <row r="545" spans="1:15" ht="15.75" customHeight="1">
      <c r="A545">
        <v>544</v>
      </c>
      <c r="B545" s="2">
        <v>45283</v>
      </c>
      <c r="C545" t="s">
        <v>569</v>
      </c>
      <c r="D545" t="s">
        <v>21</v>
      </c>
      <c r="E545">
        <v>27</v>
      </c>
      <c r="F545" s="3" t="s">
        <v>24</v>
      </c>
      <c r="G545">
        <v>1</v>
      </c>
      <c r="H545" s="4">
        <v>25</v>
      </c>
      <c r="I545" s="4">
        <v>25</v>
      </c>
      <c r="J545" t="s">
        <v>525</v>
      </c>
      <c r="K545" t="str">
        <f>IFERROR(VLOOKUP(F545&amp;"|"&amp;H545,Feature_Mappings!$A$2:$C$16,2,FALSE()),"")</f>
        <v>USB-C Charger</v>
      </c>
      <c r="L545" t="str">
        <f>IFERROR(VLOOKUP(F545&amp;"|"&amp;H545,Feature_Mappings!$A$2:$C$16,3,FALSE()),"")</f>
        <v>VoltEdge Electronics</v>
      </c>
      <c r="M545" t="str">
        <f>IFERROR(VLOOKUP(J545,Feature_Mappings!$D$2:$E$5,2,FALSE()),"")</f>
        <v>Sophie Nguyen</v>
      </c>
      <c r="N545" t="s">
        <v>526</v>
      </c>
      <c r="O545" t="str">
        <f>IFERROR(INDEX(Store_Manager!$A$2:$A$5,MATCH(M545,Store_Manager!$B$2:$B$5,0)),"")</f>
        <v>MGR003</v>
      </c>
    </row>
    <row r="546" spans="1:15" ht="15.75" customHeight="1">
      <c r="A546">
        <v>545</v>
      </c>
      <c r="B546" s="2">
        <v>45078</v>
      </c>
      <c r="C546" t="s">
        <v>570</v>
      </c>
      <c r="D546" t="s">
        <v>16</v>
      </c>
      <c r="E546">
        <v>27</v>
      </c>
      <c r="F546" s="3" t="s">
        <v>22</v>
      </c>
      <c r="G546">
        <v>2</v>
      </c>
      <c r="H546" s="4">
        <v>25</v>
      </c>
      <c r="I546" s="4">
        <v>50</v>
      </c>
      <c r="J546" t="s">
        <v>525</v>
      </c>
      <c r="K546" t="str">
        <f>IFERROR(VLOOKUP(F546&amp;"|"&amp;H546,Feature_Mappings!$A$2:$C$16,2,FALSE()),"")</f>
        <v>Cotton Socks</v>
      </c>
      <c r="L546" t="str">
        <f>IFERROR(VLOOKUP(F546&amp;"|"&amp;H546,Feature_Mappings!$A$2:$C$16,3,FALSE()),"")</f>
        <v>Urban Basics Co.</v>
      </c>
      <c r="M546" t="str">
        <f>IFERROR(VLOOKUP(J546,Feature_Mappings!$D$2:$E$5,2,FALSE()),"")</f>
        <v>Sophie Nguyen</v>
      </c>
      <c r="N546" t="s">
        <v>526</v>
      </c>
      <c r="O546" t="str">
        <f>IFERROR(INDEX(Store_Manager!$A$2:$A$5,MATCH(M546,Store_Manager!$B$2:$B$5,0)),"")</f>
        <v>MGR003</v>
      </c>
    </row>
    <row r="547" spans="1:15" ht="15.75" customHeight="1">
      <c r="A547">
        <v>546</v>
      </c>
      <c r="B547" s="2">
        <v>45210</v>
      </c>
      <c r="C547" t="s">
        <v>571</v>
      </c>
      <c r="D547" t="s">
        <v>21</v>
      </c>
      <c r="E547">
        <v>36</v>
      </c>
      <c r="F547" s="3" t="s">
        <v>24</v>
      </c>
      <c r="G547">
        <v>4</v>
      </c>
      <c r="H547" s="4">
        <v>50</v>
      </c>
      <c r="I547" s="4">
        <v>200</v>
      </c>
      <c r="J547" t="s">
        <v>525</v>
      </c>
      <c r="K547" t="str">
        <f>IFERROR(VLOOKUP(F547&amp;"|"&amp;H547,Feature_Mappings!$A$2:$C$16,2,FALSE()),"")</f>
        <v>Bluetooth Speaker</v>
      </c>
      <c r="L547" t="str">
        <f>IFERROR(VLOOKUP(F547&amp;"|"&amp;H547,Feature_Mappings!$A$2:$C$16,3,FALSE()),"")</f>
        <v>SoundSphere Supply</v>
      </c>
      <c r="M547" t="str">
        <f>IFERROR(VLOOKUP(J547,Feature_Mappings!$D$2:$E$5,2,FALSE()),"")</f>
        <v>Sophie Nguyen</v>
      </c>
      <c r="N547" t="s">
        <v>526</v>
      </c>
      <c r="O547" t="str">
        <f>IFERROR(INDEX(Store_Manager!$A$2:$A$5,MATCH(M547,Store_Manager!$B$2:$B$5,0)),"")</f>
        <v>MGR003</v>
      </c>
    </row>
    <row r="548" spans="1:15" ht="15.75" customHeight="1">
      <c r="A548">
        <v>547</v>
      </c>
      <c r="B548" s="2">
        <v>44992</v>
      </c>
      <c r="C548" t="s">
        <v>572</v>
      </c>
      <c r="D548" t="s">
        <v>16</v>
      </c>
      <c r="E548">
        <v>63</v>
      </c>
      <c r="F548" s="3" t="s">
        <v>22</v>
      </c>
      <c r="G548">
        <v>4</v>
      </c>
      <c r="H548" s="4">
        <v>500</v>
      </c>
      <c r="I548" s="4">
        <v>2000</v>
      </c>
      <c r="J548" t="s">
        <v>525</v>
      </c>
      <c r="K548" t="str">
        <f>IFERROR(VLOOKUP(F548&amp;"|"&amp;H548,Feature_Mappings!$A$2:$C$16,2,FALSE()),"")</f>
        <v>Designer Coat</v>
      </c>
      <c r="L548" t="str">
        <f>IFERROR(VLOOKUP(F548&amp;"|"&amp;H548,Feature_Mappings!$A$2:$C$16,3,FALSE()),"")</f>
        <v>Prestige Fashion House</v>
      </c>
      <c r="M548" t="str">
        <f>IFERROR(VLOOKUP(J548,Feature_Mappings!$D$2:$E$5,2,FALSE()),"")</f>
        <v>Sophie Nguyen</v>
      </c>
      <c r="N548" t="s">
        <v>526</v>
      </c>
      <c r="O548" t="str">
        <f>IFERROR(INDEX(Store_Manager!$A$2:$A$5,MATCH(M548,Store_Manager!$B$2:$B$5,0)),"")</f>
        <v>MGR003</v>
      </c>
    </row>
    <row r="549" spans="1:15" ht="15.75" customHeight="1">
      <c r="A549">
        <v>548</v>
      </c>
      <c r="B549" s="2">
        <v>45025</v>
      </c>
      <c r="C549" t="s">
        <v>573</v>
      </c>
      <c r="D549" t="s">
        <v>21</v>
      </c>
      <c r="E549">
        <v>51</v>
      </c>
      <c r="F549" s="3" t="s">
        <v>22</v>
      </c>
      <c r="G549">
        <v>2</v>
      </c>
      <c r="H549" s="4">
        <v>30</v>
      </c>
      <c r="I549" s="4">
        <v>60</v>
      </c>
      <c r="J549" t="s">
        <v>525</v>
      </c>
      <c r="K549" t="str">
        <f>IFERROR(VLOOKUP(F549&amp;"|"&amp;H549,Feature_Mappings!$A$2:$C$16,2,FALSE()),"")</f>
        <v>Graphic T-Shirt</v>
      </c>
      <c r="L549" t="str">
        <f>IFERROR(VLOOKUP(F549&amp;"|"&amp;H549,Feature_Mappings!$A$2:$C$16,3,FALSE()),"")</f>
        <v>ThreadWorks Apparel</v>
      </c>
      <c r="M549" t="str">
        <f>IFERROR(VLOOKUP(J549,Feature_Mappings!$D$2:$E$5,2,FALSE()),"")</f>
        <v>Sophie Nguyen</v>
      </c>
      <c r="N549" t="s">
        <v>526</v>
      </c>
      <c r="O549" t="str">
        <f>IFERROR(INDEX(Store_Manager!$A$2:$A$5,MATCH(M549,Store_Manager!$B$2:$B$5,0)),"")</f>
        <v>MGR003</v>
      </c>
    </row>
    <row r="550" spans="1:15" ht="15.75" customHeight="1">
      <c r="A550">
        <v>549</v>
      </c>
      <c r="B550" s="2">
        <v>45142</v>
      </c>
      <c r="C550" t="s">
        <v>574</v>
      </c>
      <c r="D550" t="s">
        <v>21</v>
      </c>
      <c r="E550">
        <v>50</v>
      </c>
      <c r="F550" s="3" t="s">
        <v>17</v>
      </c>
      <c r="G550">
        <v>2</v>
      </c>
      <c r="H550" s="4">
        <v>50</v>
      </c>
      <c r="I550" s="4">
        <v>100</v>
      </c>
      <c r="J550" t="s">
        <v>525</v>
      </c>
      <c r="K550" t="str">
        <f>IFERROR(VLOOKUP(F550&amp;"|"&amp;H550,Feature_Mappings!$A$2:$C$16,2,FALSE()),"")</f>
        <v>Eau de Parfum</v>
      </c>
      <c r="L550" t="str">
        <f>IFERROR(VLOOKUP(F550&amp;"|"&amp;H550,Feature_Mappings!$A$2:$C$16,3,FALSE()),"")</f>
        <v>Luxe Aroma Labs</v>
      </c>
      <c r="M550" t="str">
        <f>IFERROR(VLOOKUP(J550,Feature_Mappings!$D$2:$E$5,2,FALSE()),"")</f>
        <v>Sophie Nguyen</v>
      </c>
      <c r="N550" t="s">
        <v>526</v>
      </c>
      <c r="O550" t="str">
        <f>IFERROR(INDEX(Store_Manager!$A$2:$A$5,MATCH(M550,Store_Manager!$B$2:$B$5,0)),"")</f>
        <v>MGR003</v>
      </c>
    </row>
    <row r="551" spans="1:15" ht="15.75" customHeight="1">
      <c r="A551">
        <v>550</v>
      </c>
      <c r="B551" s="2">
        <v>45267</v>
      </c>
      <c r="C551" t="s">
        <v>575</v>
      </c>
      <c r="D551" t="s">
        <v>16</v>
      </c>
      <c r="E551">
        <v>40</v>
      </c>
      <c r="F551" s="3" t="s">
        <v>22</v>
      </c>
      <c r="G551">
        <v>3</v>
      </c>
      <c r="H551" s="4">
        <v>300</v>
      </c>
      <c r="I551" s="4">
        <v>900</v>
      </c>
      <c r="J551" t="s">
        <v>525</v>
      </c>
      <c r="K551" t="str">
        <f>IFERROR(VLOOKUP(F551&amp;"|"&amp;H551,Feature_Mappings!$A$2:$C$16,2,FALSE()),"")</f>
        <v>Leather Jacket</v>
      </c>
      <c r="L551" t="str">
        <f>IFERROR(VLOOKUP(F551&amp;"|"&amp;H551,Feature_Mappings!$A$2:$C$16,3,FALSE()),"")</f>
        <v>Metro Style Manufacturing</v>
      </c>
      <c r="M551" t="str">
        <f>IFERROR(VLOOKUP(J551,Feature_Mappings!$D$2:$E$5,2,FALSE()),"")</f>
        <v>Sophie Nguyen</v>
      </c>
      <c r="N551" t="s">
        <v>526</v>
      </c>
      <c r="O551" t="str">
        <f>IFERROR(INDEX(Store_Manager!$A$2:$A$5,MATCH(M551,Store_Manager!$B$2:$B$5,0)),"")</f>
        <v>MGR003</v>
      </c>
    </row>
    <row r="552" spans="1:15" ht="15.75" customHeight="1">
      <c r="A552">
        <v>551</v>
      </c>
      <c r="B552" s="2">
        <v>45121</v>
      </c>
      <c r="C552" t="s">
        <v>576</v>
      </c>
      <c r="D552" t="s">
        <v>16</v>
      </c>
      <c r="E552">
        <v>45</v>
      </c>
      <c r="F552" s="3" t="s">
        <v>24</v>
      </c>
      <c r="G552">
        <v>3</v>
      </c>
      <c r="H552" s="4">
        <v>300</v>
      </c>
      <c r="I552" s="4">
        <v>900</v>
      </c>
      <c r="J552" t="s">
        <v>525</v>
      </c>
      <c r="K552" t="str">
        <f>IFERROR(VLOOKUP(F552&amp;"|"&amp;H552,Feature_Mappings!$A$2:$C$16,2,FALSE()),"")</f>
        <v>Tablet</v>
      </c>
      <c r="L552" t="str">
        <f>IFERROR(VLOOKUP(F552&amp;"|"&amp;H552,Feature_Mappings!$A$2:$C$16,3,FALSE()),"")</f>
        <v>NextGen Devices</v>
      </c>
      <c r="M552" t="str">
        <f>IFERROR(VLOOKUP(J552,Feature_Mappings!$D$2:$E$5,2,FALSE()),"")</f>
        <v>Sophie Nguyen</v>
      </c>
      <c r="N552" t="s">
        <v>526</v>
      </c>
      <c r="O552" t="str">
        <f>IFERROR(INDEX(Store_Manager!$A$2:$A$5,MATCH(M552,Store_Manager!$B$2:$B$5,0)),"")</f>
        <v>MGR003</v>
      </c>
    </row>
    <row r="553" spans="1:15" ht="15.75" customHeight="1">
      <c r="A553">
        <v>552</v>
      </c>
      <c r="B553" s="2">
        <v>45273</v>
      </c>
      <c r="C553" t="s">
        <v>577</v>
      </c>
      <c r="D553" t="s">
        <v>21</v>
      </c>
      <c r="E553">
        <v>49</v>
      </c>
      <c r="F553" s="3" t="s">
        <v>24</v>
      </c>
      <c r="G553">
        <v>3</v>
      </c>
      <c r="H553" s="4">
        <v>25</v>
      </c>
      <c r="I553" s="4">
        <v>75</v>
      </c>
      <c r="J553" t="s">
        <v>525</v>
      </c>
      <c r="K553" t="str">
        <f>IFERROR(VLOOKUP(F553&amp;"|"&amp;H553,Feature_Mappings!$A$2:$C$16,2,FALSE()),"")</f>
        <v>USB-C Charger</v>
      </c>
      <c r="L553" t="str">
        <f>IFERROR(VLOOKUP(F553&amp;"|"&amp;H553,Feature_Mappings!$A$2:$C$16,3,FALSE()),"")</f>
        <v>VoltEdge Electronics</v>
      </c>
      <c r="M553" t="str">
        <f>IFERROR(VLOOKUP(J553,Feature_Mappings!$D$2:$E$5,2,FALSE()),"")</f>
        <v>Sophie Nguyen</v>
      </c>
      <c r="N553" t="s">
        <v>526</v>
      </c>
      <c r="O553" t="str">
        <f>IFERROR(INDEX(Store_Manager!$A$2:$A$5,MATCH(M553,Store_Manager!$B$2:$B$5,0)),"")</f>
        <v>MGR003</v>
      </c>
    </row>
    <row r="554" spans="1:15" ht="15.75" customHeight="1">
      <c r="A554">
        <v>553</v>
      </c>
      <c r="B554" s="2">
        <v>45016</v>
      </c>
      <c r="C554" t="s">
        <v>578</v>
      </c>
      <c r="D554" t="s">
        <v>16</v>
      </c>
      <c r="E554">
        <v>24</v>
      </c>
      <c r="F554" s="3" t="s">
        <v>22</v>
      </c>
      <c r="G554">
        <v>4</v>
      </c>
      <c r="H554" s="4">
        <v>300</v>
      </c>
      <c r="I554" s="4">
        <v>1200</v>
      </c>
      <c r="J554" t="s">
        <v>525</v>
      </c>
      <c r="K554" t="str">
        <f>IFERROR(VLOOKUP(F554&amp;"|"&amp;H554,Feature_Mappings!$A$2:$C$16,2,FALSE()),"")</f>
        <v>Leather Jacket</v>
      </c>
      <c r="L554" t="str">
        <f>IFERROR(VLOOKUP(F554&amp;"|"&amp;H554,Feature_Mappings!$A$2:$C$16,3,FALSE()),"")</f>
        <v>Metro Style Manufacturing</v>
      </c>
      <c r="M554" t="str">
        <f>IFERROR(VLOOKUP(J554,Feature_Mappings!$D$2:$E$5,2,FALSE()),"")</f>
        <v>Sophie Nguyen</v>
      </c>
      <c r="N554" t="s">
        <v>526</v>
      </c>
      <c r="O554" t="str">
        <f>IFERROR(INDEX(Store_Manager!$A$2:$A$5,MATCH(M554,Store_Manager!$B$2:$B$5,0)),"")</f>
        <v>MGR003</v>
      </c>
    </row>
    <row r="555" spans="1:15" ht="15.75" customHeight="1">
      <c r="A555">
        <v>554</v>
      </c>
      <c r="B555" s="2">
        <v>45242</v>
      </c>
      <c r="C555" t="s">
        <v>579</v>
      </c>
      <c r="D555" t="s">
        <v>21</v>
      </c>
      <c r="E555">
        <v>46</v>
      </c>
      <c r="F555" s="3" t="s">
        <v>17</v>
      </c>
      <c r="G555">
        <v>3</v>
      </c>
      <c r="H555" s="4">
        <v>50</v>
      </c>
      <c r="I555" s="4">
        <v>150</v>
      </c>
      <c r="J555" t="s">
        <v>525</v>
      </c>
      <c r="K555" t="str">
        <f>IFERROR(VLOOKUP(F555&amp;"|"&amp;H555,Feature_Mappings!$A$2:$C$16,2,FALSE()),"")</f>
        <v>Eau de Parfum</v>
      </c>
      <c r="L555" t="str">
        <f>IFERROR(VLOOKUP(F555&amp;"|"&amp;H555,Feature_Mappings!$A$2:$C$16,3,FALSE()),"")</f>
        <v>Luxe Aroma Labs</v>
      </c>
      <c r="M555" t="str">
        <f>IFERROR(VLOOKUP(J555,Feature_Mappings!$D$2:$E$5,2,FALSE()),"")</f>
        <v>Sophie Nguyen</v>
      </c>
      <c r="N555" t="s">
        <v>526</v>
      </c>
      <c r="O555" t="str">
        <f>IFERROR(INDEX(Store_Manager!$A$2:$A$5,MATCH(M555,Store_Manager!$B$2:$B$5,0)),"")</f>
        <v>MGR003</v>
      </c>
    </row>
    <row r="556" spans="1:15" ht="15.75" customHeight="1">
      <c r="A556">
        <v>555</v>
      </c>
      <c r="B556" s="2">
        <v>45218</v>
      </c>
      <c r="C556" t="s">
        <v>580</v>
      </c>
      <c r="D556" t="s">
        <v>16</v>
      </c>
      <c r="E556">
        <v>25</v>
      </c>
      <c r="F556" s="3" t="s">
        <v>17</v>
      </c>
      <c r="G556">
        <v>1</v>
      </c>
      <c r="H556" s="4">
        <v>300</v>
      </c>
      <c r="I556" s="4">
        <v>300</v>
      </c>
      <c r="J556" t="s">
        <v>525</v>
      </c>
      <c r="K556" t="str">
        <f>IFERROR(VLOOKUP(F556&amp;"|"&amp;H556,Feature_Mappings!$A$2:$C$16,2,FALSE()),"")</f>
        <v>Skincare Gift Set</v>
      </c>
      <c r="L556" t="str">
        <f>IFERROR(VLOOKUP(F556&amp;"|"&amp;H556,Feature_Mappings!$A$2:$C$16,3,FALSE()),"")</f>
        <v>Radiant Beauty Wholesale</v>
      </c>
      <c r="M556" t="str">
        <f>IFERROR(VLOOKUP(J556,Feature_Mappings!$D$2:$E$5,2,FALSE()),"")</f>
        <v>Sophie Nguyen</v>
      </c>
      <c r="N556" t="s">
        <v>526</v>
      </c>
      <c r="O556" t="str">
        <f>IFERROR(INDEX(Store_Manager!$A$2:$A$5,MATCH(M556,Store_Manager!$B$2:$B$5,0)),"")</f>
        <v>MGR003</v>
      </c>
    </row>
    <row r="557" spans="1:15" ht="15.75" customHeight="1">
      <c r="A557">
        <v>556</v>
      </c>
      <c r="B557" s="2">
        <v>45081</v>
      </c>
      <c r="C557" t="s">
        <v>581</v>
      </c>
      <c r="D557" t="s">
        <v>21</v>
      </c>
      <c r="E557">
        <v>18</v>
      </c>
      <c r="F557" s="3" t="s">
        <v>24</v>
      </c>
      <c r="G557">
        <v>1</v>
      </c>
      <c r="H557" s="4">
        <v>50</v>
      </c>
      <c r="I557" s="4">
        <v>50</v>
      </c>
      <c r="J557" t="s">
        <v>525</v>
      </c>
      <c r="K557" t="str">
        <f>IFERROR(VLOOKUP(F557&amp;"|"&amp;H557,Feature_Mappings!$A$2:$C$16,2,FALSE()),"")</f>
        <v>Bluetooth Speaker</v>
      </c>
      <c r="L557" t="str">
        <f>IFERROR(VLOOKUP(F557&amp;"|"&amp;H557,Feature_Mappings!$A$2:$C$16,3,FALSE()),"")</f>
        <v>SoundSphere Supply</v>
      </c>
      <c r="M557" t="str">
        <f>IFERROR(VLOOKUP(J557,Feature_Mappings!$D$2:$E$5,2,FALSE()),"")</f>
        <v>Sophie Nguyen</v>
      </c>
      <c r="N557" t="s">
        <v>526</v>
      </c>
      <c r="O557" t="str">
        <f>IFERROR(INDEX(Store_Manager!$A$2:$A$5,MATCH(M557,Store_Manager!$B$2:$B$5,0)),"")</f>
        <v>MGR003</v>
      </c>
    </row>
    <row r="558" spans="1:15" ht="15.75" customHeight="1">
      <c r="A558">
        <v>557</v>
      </c>
      <c r="B558" s="2">
        <v>45134</v>
      </c>
      <c r="C558" t="s">
        <v>582</v>
      </c>
      <c r="D558" t="s">
        <v>21</v>
      </c>
      <c r="E558">
        <v>20</v>
      </c>
      <c r="F558" s="3" t="s">
        <v>17</v>
      </c>
      <c r="G558">
        <v>3</v>
      </c>
      <c r="H558" s="4">
        <v>30</v>
      </c>
      <c r="I558" s="4">
        <v>90</v>
      </c>
      <c r="J558" t="s">
        <v>525</v>
      </c>
      <c r="K558" t="str">
        <f>IFERROR(VLOOKUP(F558&amp;"|"&amp;H558,Feature_Mappings!$A$2:$C$16,2,FALSE()),"")</f>
        <v>Facial Cleanser</v>
      </c>
      <c r="L558" t="str">
        <f>IFERROR(VLOOKUP(F558&amp;"|"&amp;H558,Feature_Mappings!$A$2:$C$16,3,FALSE()),"")</f>
        <v>PureDerma Supplies</v>
      </c>
      <c r="M558" t="str">
        <f>IFERROR(VLOOKUP(J558,Feature_Mappings!$D$2:$E$5,2,FALSE()),"")</f>
        <v>Sophie Nguyen</v>
      </c>
      <c r="N558" t="s">
        <v>526</v>
      </c>
      <c r="O558" t="str">
        <f>IFERROR(INDEX(Store_Manager!$A$2:$A$5,MATCH(M558,Store_Manager!$B$2:$B$5,0)),"")</f>
        <v>MGR003</v>
      </c>
    </row>
    <row r="559" spans="1:15" ht="15.75" customHeight="1">
      <c r="A559">
        <v>558</v>
      </c>
      <c r="B559" s="2">
        <v>45207</v>
      </c>
      <c r="C559" t="s">
        <v>583</v>
      </c>
      <c r="D559" t="s">
        <v>21</v>
      </c>
      <c r="E559">
        <v>41</v>
      </c>
      <c r="F559" s="3" t="s">
        <v>22</v>
      </c>
      <c r="G559">
        <v>1</v>
      </c>
      <c r="H559" s="4">
        <v>25</v>
      </c>
      <c r="I559" s="4">
        <v>25</v>
      </c>
      <c r="J559" t="s">
        <v>525</v>
      </c>
      <c r="K559" t="str">
        <f>IFERROR(VLOOKUP(F559&amp;"|"&amp;H559,Feature_Mappings!$A$2:$C$16,2,FALSE()),"")</f>
        <v>Cotton Socks</v>
      </c>
      <c r="L559" t="str">
        <f>IFERROR(VLOOKUP(F559&amp;"|"&amp;H559,Feature_Mappings!$A$2:$C$16,3,FALSE()),"")</f>
        <v>Urban Basics Co.</v>
      </c>
      <c r="M559" t="str">
        <f>IFERROR(VLOOKUP(J559,Feature_Mappings!$D$2:$E$5,2,FALSE()),"")</f>
        <v>Sophie Nguyen</v>
      </c>
      <c r="N559" t="s">
        <v>526</v>
      </c>
      <c r="O559" t="str">
        <f>IFERROR(INDEX(Store_Manager!$A$2:$A$5,MATCH(M559,Store_Manager!$B$2:$B$5,0)),"")</f>
        <v>MGR003</v>
      </c>
    </row>
    <row r="560" spans="1:15" ht="15.75" customHeight="1">
      <c r="A560">
        <v>559</v>
      </c>
      <c r="B560" s="2">
        <v>44927</v>
      </c>
      <c r="C560" t="s">
        <v>584</v>
      </c>
      <c r="D560" t="s">
        <v>21</v>
      </c>
      <c r="E560">
        <v>40</v>
      </c>
      <c r="F560" s="3" t="s">
        <v>22</v>
      </c>
      <c r="G560">
        <v>4</v>
      </c>
      <c r="H560" s="4">
        <v>300</v>
      </c>
      <c r="I560" s="4">
        <v>1200</v>
      </c>
      <c r="J560" t="s">
        <v>525</v>
      </c>
      <c r="K560" t="str">
        <f>IFERROR(VLOOKUP(F560&amp;"|"&amp;H560,Feature_Mappings!$A$2:$C$16,2,FALSE()),"")</f>
        <v>Leather Jacket</v>
      </c>
      <c r="L560" t="str">
        <f>IFERROR(VLOOKUP(F560&amp;"|"&amp;H560,Feature_Mappings!$A$2:$C$16,3,FALSE()),"")</f>
        <v>Metro Style Manufacturing</v>
      </c>
      <c r="M560" t="str">
        <f>IFERROR(VLOOKUP(J560,Feature_Mappings!$D$2:$E$5,2,FALSE()),"")</f>
        <v>Sophie Nguyen</v>
      </c>
      <c r="N560" t="s">
        <v>526</v>
      </c>
      <c r="O560" t="str">
        <f>IFERROR(INDEX(Store_Manager!$A$2:$A$5,MATCH(M560,Store_Manager!$B$2:$B$5,0)),"")</f>
        <v>MGR003</v>
      </c>
    </row>
    <row r="561" spans="1:15" ht="15.75" customHeight="1">
      <c r="A561">
        <v>560</v>
      </c>
      <c r="B561" s="2">
        <v>45082</v>
      </c>
      <c r="C561" t="s">
        <v>585</v>
      </c>
      <c r="D561" t="s">
        <v>21</v>
      </c>
      <c r="E561">
        <v>25</v>
      </c>
      <c r="F561" s="3" t="s">
        <v>24</v>
      </c>
      <c r="G561">
        <v>1</v>
      </c>
      <c r="H561" s="4">
        <v>50</v>
      </c>
      <c r="I561" s="4">
        <v>50</v>
      </c>
      <c r="J561" t="s">
        <v>525</v>
      </c>
      <c r="K561" t="str">
        <f>IFERROR(VLOOKUP(F561&amp;"|"&amp;H561,Feature_Mappings!$A$2:$C$16,2,FALSE()),"")</f>
        <v>Bluetooth Speaker</v>
      </c>
      <c r="L561" t="str">
        <f>IFERROR(VLOOKUP(F561&amp;"|"&amp;H561,Feature_Mappings!$A$2:$C$16,3,FALSE()),"")</f>
        <v>SoundSphere Supply</v>
      </c>
      <c r="M561" t="str">
        <f>IFERROR(VLOOKUP(J561,Feature_Mappings!$D$2:$E$5,2,FALSE()),"")</f>
        <v>Sophie Nguyen</v>
      </c>
      <c r="N561" t="s">
        <v>526</v>
      </c>
      <c r="O561" t="str">
        <f>IFERROR(INDEX(Store_Manager!$A$2:$A$5,MATCH(M561,Store_Manager!$B$2:$B$5,0)),"")</f>
        <v>MGR003</v>
      </c>
    </row>
    <row r="562" spans="1:15" ht="15.75" customHeight="1">
      <c r="A562">
        <v>561</v>
      </c>
      <c r="B562" s="2">
        <v>45073</v>
      </c>
      <c r="C562" t="s">
        <v>586</v>
      </c>
      <c r="D562" t="s">
        <v>21</v>
      </c>
      <c r="E562">
        <v>64</v>
      </c>
      <c r="F562" s="3" t="s">
        <v>22</v>
      </c>
      <c r="G562">
        <v>4</v>
      </c>
      <c r="H562" s="4">
        <v>500</v>
      </c>
      <c r="I562" s="4">
        <v>2000</v>
      </c>
      <c r="J562" t="s">
        <v>525</v>
      </c>
      <c r="K562" t="str">
        <f>IFERROR(VLOOKUP(F562&amp;"|"&amp;H562,Feature_Mappings!$A$2:$C$16,2,FALSE()),"")</f>
        <v>Designer Coat</v>
      </c>
      <c r="L562" t="str">
        <f>IFERROR(VLOOKUP(F562&amp;"|"&amp;H562,Feature_Mappings!$A$2:$C$16,3,FALSE()),"")</f>
        <v>Prestige Fashion House</v>
      </c>
      <c r="M562" t="str">
        <f>IFERROR(VLOOKUP(J562,Feature_Mappings!$D$2:$E$5,2,FALSE()),"")</f>
        <v>Sophie Nguyen</v>
      </c>
      <c r="N562" t="s">
        <v>526</v>
      </c>
      <c r="O562" t="str">
        <f>IFERROR(INDEX(Store_Manager!$A$2:$A$5,MATCH(M562,Store_Manager!$B$2:$B$5,0)),"")</f>
        <v>MGR003</v>
      </c>
    </row>
    <row r="563" spans="1:15" ht="15.75" customHeight="1">
      <c r="A563">
        <v>562</v>
      </c>
      <c r="B563" s="2">
        <v>45034</v>
      </c>
      <c r="C563" t="s">
        <v>587</v>
      </c>
      <c r="D563" t="s">
        <v>16</v>
      </c>
      <c r="E563">
        <v>54</v>
      </c>
      <c r="F563" s="3" t="s">
        <v>24</v>
      </c>
      <c r="G563">
        <v>2</v>
      </c>
      <c r="H563" s="4">
        <v>25</v>
      </c>
      <c r="I563" s="4">
        <v>50</v>
      </c>
      <c r="J563" t="s">
        <v>525</v>
      </c>
      <c r="K563" t="str">
        <f>IFERROR(VLOOKUP(F563&amp;"|"&amp;H563,Feature_Mappings!$A$2:$C$16,2,FALSE()),"")</f>
        <v>USB-C Charger</v>
      </c>
      <c r="L563" t="str">
        <f>IFERROR(VLOOKUP(F563&amp;"|"&amp;H563,Feature_Mappings!$A$2:$C$16,3,FALSE()),"")</f>
        <v>VoltEdge Electronics</v>
      </c>
      <c r="M563" t="str">
        <f>IFERROR(VLOOKUP(J563,Feature_Mappings!$D$2:$E$5,2,FALSE()),"")</f>
        <v>Sophie Nguyen</v>
      </c>
      <c r="N563" t="s">
        <v>526</v>
      </c>
      <c r="O563" t="str">
        <f>IFERROR(INDEX(Store_Manager!$A$2:$A$5,MATCH(M563,Store_Manager!$B$2:$B$5,0)),"")</f>
        <v>MGR003</v>
      </c>
    </row>
    <row r="564" spans="1:15" ht="15.75" customHeight="1">
      <c r="A564">
        <v>563</v>
      </c>
      <c r="B564" s="2">
        <v>45147</v>
      </c>
      <c r="C564" t="s">
        <v>588</v>
      </c>
      <c r="D564" t="s">
        <v>16</v>
      </c>
      <c r="E564">
        <v>20</v>
      </c>
      <c r="F564" s="3" t="s">
        <v>22</v>
      </c>
      <c r="G564">
        <v>2</v>
      </c>
      <c r="H564" s="4">
        <v>30</v>
      </c>
      <c r="I564" s="4">
        <v>60</v>
      </c>
      <c r="J564" t="s">
        <v>525</v>
      </c>
      <c r="K564" t="str">
        <f>IFERROR(VLOOKUP(F564&amp;"|"&amp;H564,Feature_Mappings!$A$2:$C$16,2,FALSE()),"")</f>
        <v>Graphic T-Shirt</v>
      </c>
      <c r="L564" t="str">
        <f>IFERROR(VLOOKUP(F564&amp;"|"&amp;H564,Feature_Mappings!$A$2:$C$16,3,FALSE()),"")</f>
        <v>ThreadWorks Apparel</v>
      </c>
      <c r="M564" t="str">
        <f>IFERROR(VLOOKUP(J564,Feature_Mappings!$D$2:$E$5,2,FALSE()),"")</f>
        <v>Sophie Nguyen</v>
      </c>
      <c r="N564" t="s">
        <v>526</v>
      </c>
      <c r="O564" t="str">
        <f>IFERROR(INDEX(Store_Manager!$A$2:$A$5,MATCH(M564,Store_Manager!$B$2:$B$5,0)),"")</f>
        <v>MGR003</v>
      </c>
    </row>
    <row r="565" spans="1:15" ht="15.75" customHeight="1">
      <c r="A565">
        <v>564</v>
      </c>
      <c r="B565" s="2">
        <v>45223</v>
      </c>
      <c r="C565" t="s">
        <v>589</v>
      </c>
      <c r="D565" t="s">
        <v>16</v>
      </c>
      <c r="E565">
        <v>50</v>
      </c>
      <c r="F565" s="3" t="s">
        <v>24</v>
      </c>
      <c r="G565">
        <v>2</v>
      </c>
      <c r="H565" s="4">
        <v>50</v>
      </c>
      <c r="I565" s="4">
        <v>100</v>
      </c>
      <c r="J565" t="s">
        <v>525</v>
      </c>
      <c r="K565" t="str">
        <f>IFERROR(VLOOKUP(F565&amp;"|"&amp;H565,Feature_Mappings!$A$2:$C$16,2,FALSE()),"")</f>
        <v>Bluetooth Speaker</v>
      </c>
      <c r="L565" t="str">
        <f>IFERROR(VLOOKUP(F565&amp;"|"&amp;H565,Feature_Mappings!$A$2:$C$16,3,FALSE()),"")</f>
        <v>SoundSphere Supply</v>
      </c>
      <c r="M565" t="str">
        <f>IFERROR(VLOOKUP(J565,Feature_Mappings!$D$2:$E$5,2,FALSE()),"")</f>
        <v>Sophie Nguyen</v>
      </c>
      <c r="N565" t="s">
        <v>526</v>
      </c>
      <c r="O565" t="str">
        <f>IFERROR(INDEX(Store_Manager!$A$2:$A$5,MATCH(M565,Store_Manager!$B$2:$B$5,0)),"")</f>
        <v>MGR003</v>
      </c>
    </row>
    <row r="566" spans="1:15" ht="15.75" customHeight="1">
      <c r="A566">
        <v>565</v>
      </c>
      <c r="B566" s="2">
        <v>45237</v>
      </c>
      <c r="C566" t="s">
        <v>590</v>
      </c>
      <c r="D566" t="s">
        <v>21</v>
      </c>
      <c r="E566">
        <v>45</v>
      </c>
      <c r="F566" s="3" t="s">
        <v>17</v>
      </c>
      <c r="G566">
        <v>2</v>
      </c>
      <c r="H566" s="4">
        <v>30</v>
      </c>
      <c r="I566" s="4">
        <v>60</v>
      </c>
      <c r="J566" t="s">
        <v>525</v>
      </c>
      <c r="K566" t="str">
        <f>IFERROR(VLOOKUP(F566&amp;"|"&amp;H566,Feature_Mappings!$A$2:$C$16,2,FALSE()),"")</f>
        <v>Facial Cleanser</v>
      </c>
      <c r="L566" t="str">
        <f>IFERROR(VLOOKUP(F566&amp;"|"&amp;H566,Feature_Mappings!$A$2:$C$16,3,FALSE()),"")</f>
        <v>PureDerma Supplies</v>
      </c>
      <c r="M566" t="str">
        <f>IFERROR(VLOOKUP(J566,Feature_Mappings!$D$2:$E$5,2,FALSE()),"")</f>
        <v>Sophie Nguyen</v>
      </c>
      <c r="N566" t="s">
        <v>526</v>
      </c>
      <c r="O566" t="str">
        <f>IFERROR(INDEX(Store_Manager!$A$2:$A$5,MATCH(M566,Store_Manager!$B$2:$B$5,0)),"")</f>
        <v>MGR003</v>
      </c>
    </row>
    <row r="567" spans="1:15" ht="15.75" customHeight="1">
      <c r="A567">
        <v>566</v>
      </c>
      <c r="B567" s="2">
        <v>45262</v>
      </c>
      <c r="C567" t="s">
        <v>591</v>
      </c>
      <c r="D567" t="s">
        <v>21</v>
      </c>
      <c r="E567">
        <v>64</v>
      </c>
      <c r="F567" s="3" t="s">
        <v>22</v>
      </c>
      <c r="G567">
        <v>1</v>
      </c>
      <c r="H567" s="4">
        <v>30</v>
      </c>
      <c r="I567" s="4">
        <v>30</v>
      </c>
      <c r="J567" t="s">
        <v>525</v>
      </c>
      <c r="K567" t="str">
        <f>IFERROR(VLOOKUP(F567&amp;"|"&amp;H567,Feature_Mappings!$A$2:$C$16,2,FALSE()),"")</f>
        <v>Graphic T-Shirt</v>
      </c>
      <c r="L567" t="str">
        <f>IFERROR(VLOOKUP(F567&amp;"|"&amp;H567,Feature_Mappings!$A$2:$C$16,3,FALSE()),"")</f>
        <v>ThreadWorks Apparel</v>
      </c>
      <c r="M567" t="str">
        <f>IFERROR(VLOOKUP(J567,Feature_Mappings!$D$2:$E$5,2,FALSE()),"")</f>
        <v>Sophie Nguyen</v>
      </c>
      <c r="N567" t="s">
        <v>526</v>
      </c>
      <c r="O567" t="str">
        <f>IFERROR(INDEX(Store_Manager!$A$2:$A$5,MATCH(M567,Store_Manager!$B$2:$B$5,0)),"")</f>
        <v>MGR003</v>
      </c>
    </row>
    <row r="568" spans="1:15" ht="15.75" customHeight="1">
      <c r="A568">
        <v>567</v>
      </c>
      <c r="B568" s="2">
        <v>45091</v>
      </c>
      <c r="C568" t="s">
        <v>592</v>
      </c>
      <c r="D568" t="s">
        <v>21</v>
      </c>
      <c r="E568">
        <v>25</v>
      </c>
      <c r="F568" s="3" t="s">
        <v>22</v>
      </c>
      <c r="G568">
        <v>3</v>
      </c>
      <c r="H568" s="4">
        <v>300</v>
      </c>
      <c r="I568" s="4">
        <v>900</v>
      </c>
      <c r="J568" t="s">
        <v>525</v>
      </c>
      <c r="K568" t="str">
        <f>IFERROR(VLOOKUP(F568&amp;"|"&amp;H568,Feature_Mappings!$A$2:$C$16,2,FALSE()),"")</f>
        <v>Leather Jacket</v>
      </c>
      <c r="L568" t="str">
        <f>IFERROR(VLOOKUP(F568&amp;"|"&amp;H568,Feature_Mappings!$A$2:$C$16,3,FALSE()),"")</f>
        <v>Metro Style Manufacturing</v>
      </c>
      <c r="M568" t="str">
        <f>IFERROR(VLOOKUP(J568,Feature_Mappings!$D$2:$E$5,2,FALSE()),"")</f>
        <v>Sophie Nguyen</v>
      </c>
      <c r="N568" t="s">
        <v>526</v>
      </c>
      <c r="O568" t="str">
        <f>IFERROR(INDEX(Store_Manager!$A$2:$A$5,MATCH(M568,Store_Manager!$B$2:$B$5,0)),"")</f>
        <v>MGR003</v>
      </c>
    </row>
    <row r="569" spans="1:15" ht="15.75" customHeight="1">
      <c r="A569">
        <v>568</v>
      </c>
      <c r="B569" s="2">
        <v>45165</v>
      </c>
      <c r="C569" t="s">
        <v>593</v>
      </c>
      <c r="D569" t="s">
        <v>21</v>
      </c>
      <c r="E569">
        <v>51</v>
      </c>
      <c r="F569" s="3" t="s">
        <v>24</v>
      </c>
      <c r="G569">
        <v>1</v>
      </c>
      <c r="H569" s="4">
        <v>300</v>
      </c>
      <c r="I569" s="4">
        <v>300</v>
      </c>
      <c r="J569" t="s">
        <v>525</v>
      </c>
      <c r="K569" t="str">
        <f>IFERROR(VLOOKUP(F569&amp;"|"&amp;H569,Feature_Mappings!$A$2:$C$16,2,FALSE()),"")</f>
        <v>Tablet</v>
      </c>
      <c r="L569" t="str">
        <f>IFERROR(VLOOKUP(F569&amp;"|"&amp;H569,Feature_Mappings!$A$2:$C$16,3,FALSE()),"")</f>
        <v>NextGen Devices</v>
      </c>
      <c r="M569" t="str">
        <f>IFERROR(VLOOKUP(J569,Feature_Mappings!$D$2:$E$5,2,FALSE()),"")</f>
        <v>Sophie Nguyen</v>
      </c>
      <c r="N569" t="s">
        <v>526</v>
      </c>
      <c r="O569" t="str">
        <f>IFERROR(INDEX(Store_Manager!$A$2:$A$5,MATCH(M569,Store_Manager!$B$2:$B$5,0)),"")</f>
        <v>MGR003</v>
      </c>
    </row>
    <row r="570" spans="1:15" ht="15.75" customHeight="1">
      <c r="A570">
        <v>569</v>
      </c>
      <c r="B570" s="2">
        <v>45153</v>
      </c>
      <c r="C570" t="s">
        <v>594</v>
      </c>
      <c r="D570" t="s">
        <v>16</v>
      </c>
      <c r="E570">
        <v>52</v>
      </c>
      <c r="F570" s="3" t="s">
        <v>24</v>
      </c>
      <c r="G570">
        <v>4</v>
      </c>
      <c r="H570" s="4">
        <v>50</v>
      </c>
      <c r="I570" s="4">
        <v>200</v>
      </c>
      <c r="J570" t="s">
        <v>525</v>
      </c>
      <c r="K570" t="str">
        <f>IFERROR(VLOOKUP(F570&amp;"|"&amp;H570,Feature_Mappings!$A$2:$C$16,2,FALSE()),"")</f>
        <v>Bluetooth Speaker</v>
      </c>
      <c r="L570" t="str">
        <f>IFERROR(VLOOKUP(F570&amp;"|"&amp;H570,Feature_Mappings!$A$2:$C$16,3,FALSE()),"")</f>
        <v>SoundSphere Supply</v>
      </c>
      <c r="M570" t="str">
        <f>IFERROR(VLOOKUP(J570,Feature_Mappings!$D$2:$E$5,2,FALSE()),"")</f>
        <v>Sophie Nguyen</v>
      </c>
      <c r="N570" t="s">
        <v>526</v>
      </c>
      <c r="O570" t="str">
        <f>IFERROR(INDEX(Store_Manager!$A$2:$A$5,MATCH(M570,Store_Manager!$B$2:$B$5,0)),"")</f>
        <v>MGR003</v>
      </c>
    </row>
    <row r="571" spans="1:15" ht="15.75" customHeight="1">
      <c r="A571">
        <v>570</v>
      </c>
      <c r="B571" s="2">
        <v>45153</v>
      </c>
      <c r="C571" t="s">
        <v>595</v>
      </c>
      <c r="D571" t="s">
        <v>16</v>
      </c>
      <c r="E571">
        <v>49</v>
      </c>
      <c r="F571" s="3" t="s">
        <v>22</v>
      </c>
      <c r="G571">
        <v>1</v>
      </c>
      <c r="H571" s="4">
        <v>500</v>
      </c>
      <c r="I571" s="4">
        <v>500</v>
      </c>
      <c r="J571" t="s">
        <v>525</v>
      </c>
      <c r="K571" t="str">
        <f>IFERROR(VLOOKUP(F571&amp;"|"&amp;H571,Feature_Mappings!$A$2:$C$16,2,FALSE()),"")</f>
        <v>Designer Coat</v>
      </c>
      <c r="L571" t="str">
        <f>IFERROR(VLOOKUP(F571&amp;"|"&amp;H571,Feature_Mappings!$A$2:$C$16,3,FALSE()),"")</f>
        <v>Prestige Fashion House</v>
      </c>
      <c r="M571" t="str">
        <f>IFERROR(VLOOKUP(J571,Feature_Mappings!$D$2:$E$5,2,FALSE()),"")</f>
        <v>Sophie Nguyen</v>
      </c>
      <c r="N571" t="s">
        <v>526</v>
      </c>
      <c r="O571" t="str">
        <f>IFERROR(INDEX(Store_Manager!$A$2:$A$5,MATCH(M571,Store_Manager!$B$2:$B$5,0)),"")</f>
        <v>MGR003</v>
      </c>
    </row>
    <row r="572" spans="1:15" ht="15.75" customHeight="1">
      <c r="A572">
        <v>571</v>
      </c>
      <c r="B572" s="2">
        <v>45272</v>
      </c>
      <c r="C572" t="s">
        <v>596</v>
      </c>
      <c r="D572" t="s">
        <v>21</v>
      </c>
      <c r="E572">
        <v>41</v>
      </c>
      <c r="F572" s="3" t="s">
        <v>24</v>
      </c>
      <c r="G572">
        <v>1</v>
      </c>
      <c r="H572" s="4">
        <v>50</v>
      </c>
      <c r="I572" s="4">
        <v>50</v>
      </c>
      <c r="J572" t="s">
        <v>525</v>
      </c>
      <c r="K572" t="str">
        <f>IFERROR(VLOOKUP(F572&amp;"|"&amp;H572,Feature_Mappings!$A$2:$C$16,2,FALSE()),"")</f>
        <v>Bluetooth Speaker</v>
      </c>
      <c r="L572" t="str">
        <f>IFERROR(VLOOKUP(F572&amp;"|"&amp;H572,Feature_Mappings!$A$2:$C$16,3,FALSE()),"")</f>
        <v>SoundSphere Supply</v>
      </c>
      <c r="M572" t="str">
        <f>IFERROR(VLOOKUP(J572,Feature_Mappings!$D$2:$E$5,2,FALSE()),"")</f>
        <v>Sophie Nguyen</v>
      </c>
      <c r="N572" t="s">
        <v>526</v>
      </c>
      <c r="O572" t="str">
        <f>IFERROR(INDEX(Store_Manager!$A$2:$A$5,MATCH(M572,Store_Manager!$B$2:$B$5,0)),"")</f>
        <v>MGR003</v>
      </c>
    </row>
    <row r="573" spans="1:15" ht="15.75" customHeight="1">
      <c r="A573">
        <v>572</v>
      </c>
      <c r="B573" s="2">
        <v>45036</v>
      </c>
      <c r="C573" t="s">
        <v>597</v>
      </c>
      <c r="D573" t="s">
        <v>16</v>
      </c>
      <c r="E573">
        <v>31</v>
      </c>
      <c r="F573" s="3" t="s">
        <v>22</v>
      </c>
      <c r="G573">
        <v>4</v>
      </c>
      <c r="H573" s="4">
        <v>500</v>
      </c>
      <c r="I573" s="4">
        <v>2000</v>
      </c>
      <c r="J573" t="s">
        <v>525</v>
      </c>
      <c r="K573" t="str">
        <f>IFERROR(VLOOKUP(F573&amp;"|"&amp;H573,Feature_Mappings!$A$2:$C$16,2,FALSE()),"")</f>
        <v>Designer Coat</v>
      </c>
      <c r="L573" t="str">
        <f>IFERROR(VLOOKUP(F573&amp;"|"&amp;H573,Feature_Mappings!$A$2:$C$16,3,FALSE()),"")</f>
        <v>Prestige Fashion House</v>
      </c>
      <c r="M573" t="str">
        <f>IFERROR(VLOOKUP(J573,Feature_Mappings!$D$2:$E$5,2,FALSE()),"")</f>
        <v>Sophie Nguyen</v>
      </c>
      <c r="N573" t="s">
        <v>526</v>
      </c>
      <c r="O573" t="str">
        <f>IFERROR(INDEX(Store_Manager!$A$2:$A$5,MATCH(M573,Store_Manager!$B$2:$B$5,0)),"")</f>
        <v>MGR003</v>
      </c>
    </row>
    <row r="574" spans="1:15" ht="15.75" customHeight="1">
      <c r="A574">
        <v>573</v>
      </c>
      <c r="B574" s="2">
        <v>45188</v>
      </c>
      <c r="C574" t="s">
        <v>598</v>
      </c>
      <c r="D574" t="s">
        <v>16</v>
      </c>
      <c r="E574">
        <v>49</v>
      </c>
      <c r="F574" s="3" t="s">
        <v>17</v>
      </c>
      <c r="G574">
        <v>2</v>
      </c>
      <c r="H574" s="4">
        <v>30</v>
      </c>
      <c r="I574" s="4">
        <v>60</v>
      </c>
      <c r="J574" t="s">
        <v>525</v>
      </c>
      <c r="K574" t="str">
        <f>IFERROR(VLOOKUP(F574&amp;"|"&amp;H574,Feature_Mappings!$A$2:$C$16,2,FALSE()),"")</f>
        <v>Facial Cleanser</v>
      </c>
      <c r="L574" t="str">
        <f>IFERROR(VLOOKUP(F574&amp;"|"&amp;H574,Feature_Mappings!$A$2:$C$16,3,FALSE()),"")</f>
        <v>PureDerma Supplies</v>
      </c>
      <c r="M574" t="str">
        <f>IFERROR(VLOOKUP(J574,Feature_Mappings!$D$2:$E$5,2,FALSE()),"")</f>
        <v>Sophie Nguyen</v>
      </c>
      <c r="N574" t="s">
        <v>526</v>
      </c>
      <c r="O574" t="str">
        <f>IFERROR(INDEX(Store_Manager!$A$2:$A$5,MATCH(M574,Store_Manager!$B$2:$B$5,0)),"")</f>
        <v>MGR003</v>
      </c>
    </row>
    <row r="575" spans="1:15" ht="15.75" customHeight="1">
      <c r="A575">
        <v>574</v>
      </c>
      <c r="B575" s="2">
        <v>45169</v>
      </c>
      <c r="C575" t="s">
        <v>599</v>
      </c>
      <c r="D575" t="s">
        <v>21</v>
      </c>
      <c r="E575">
        <v>63</v>
      </c>
      <c r="F575" s="3" t="s">
        <v>24</v>
      </c>
      <c r="G575">
        <v>2</v>
      </c>
      <c r="H575" s="4">
        <v>25</v>
      </c>
      <c r="I575" s="4">
        <v>50</v>
      </c>
      <c r="J575" t="s">
        <v>525</v>
      </c>
      <c r="K575" t="str">
        <f>IFERROR(VLOOKUP(F575&amp;"|"&amp;H575,Feature_Mappings!$A$2:$C$16,2,FALSE()),"")</f>
        <v>USB-C Charger</v>
      </c>
      <c r="L575" t="str">
        <f>IFERROR(VLOOKUP(F575&amp;"|"&amp;H575,Feature_Mappings!$A$2:$C$16,3,FALSE()),"")</f>
        <v>VoltEdge Electronics</v>
      </c>
      <c r="M575" t="str">
        <f>IFERROR(VLOOKUP(J575,Feature_Mappings!$D$2:$E$5,2,FALSE()),"")</f>
        <v>Sophie Nguyen</v>
      </c>
      <c r="N575" t="s">
        <v>526</v>
      </c>
      <c r="O575" t="str">
        <f>IFERROR(INDEX(Store_Manager!$A$2:$A$5,MATCH(M575,Store_Manager!$B$2:$B$5,0)),"")</f>
        <v>MGR003</v>
      </c>
    </row>
    <row r="576" spans="1:15" ht="15.75" customHeight="1">
      <c r="A576">
        <v>575</v>
      </c>
      <c r="B576" s="2">
        <v>45013</v>
      </c>
      <c r="C576" t="s">
        <v>600</v>
      </c>
      <c r="D576" t="s">
        <v>16</v>
      </c>
      <c r="E576">
        <v>60</v>
      </c>
      <c r="F576" s="3" t="s">
        <v>22</v>
      </c>
      <c r="G576">
        <v>2</v>
      </c>
      <c r="H576" s="4">
        <v>50</v>
      </c>
      <c r="I576" s="4">
        <v>100</v>
      </c>
      <c r="J576" t="s">
        <v>525</v>
      </c>
      <c r="K576" t="str">
        <f>IFERROR(VLOOKUP(F576&amp;"|"&amp;H576,Feature_Mappings!$A$2:$C$16,2,FALSE()),"")</f>
        <v>Denim Jeans</v>
      </c>
      <c r="L576" t="str">
        <f>IFERROR(VLOOKUP(F576&amp;"|"&amp;H576,Feature_Mappings!$A$2:$C$16,3,FALSE()),"")</f>
        <v>BlueFit Garments</v>
      </c>
      <c r="M576" t="str">
        <f>IFERROR(VLOOKUP(J576,Feature_Mappings!$D$2:$E$5,2,FALSE()),"")</f>
        <v>Sophie Nguyen</v>
      </c>
      <c r="N576" t="s">
        <v>526</v>
      </c>
      <c r="O576" t="str">
        <f>IFERROR(INDEX(Store_Manager!$A$2:$A$5,MATCH(M576,Store_Manager!$B$2:$B$5,0)),"")</f>
        <v>MGR003</v>
      </c>
    </row>
    <row r="577" spans="1:15" ht="15.75" customHeight="1">
      <c r="A577">
        <v>576</v>
      </c>
      <c r="B577" s="2">
        <v>45264</v>
      </c>
      <c r="C577" t="s">
        <v>601</v>
      </c>
      <c r="D577" t="s">
        <v>21</v>
      </c>
      <c r="E577">
        <v>33</v>
      </c>
      <c r="F577" s="3" t="s">
        <v>17</v>
      </c>
      <c r="G577">
        <v>3</v>
      </c>
      <c r="H577" s="4">
        <v>50</v>
      </c>
      <c r="I577" s="4">
        <v>150</v>
      </c>
      <c r="J577" t="s">
        <v>525</v>
      </c>
      <c r="K577" t="str">
        <f>IFERROR(VLOOKUP(F577&amp;"|"&amp;H577,Feature_Mappings!$A$2:$C$16,2,FALSE()),"")</f>
        <v>Eau de Parfum</v>
      </c>
      <c r="L577" t="str">
        <f>IFERROR(VLOOKUP(F577&amp;"|"&amp;H577,Feature_Mappings!$A$2:$C$16,3,FALSE()),"")</f>
        <v>Luxe Aroma Labs</v>
      </c>
      <c r="M577" t="str">
        <f>IFERROR(VLOOKUP(J577,Feature_Mappings!$D$2:$E$5,2,FALSE()),"")</f>
        <v>Sophie Nguyen</v>
      </c>
      <c r="N577" t="s">
        <v>526</v>
      </c>
      <c r="O577" t="str">
        <f>IFERROR(INDEX(Store_Manager!$A$2:$A$5,MATCH(M577,Store_Manager!$B$2:$B$5,0)),"")</f>
        <v>MGR003</v>
      </c>
    </row>
    <row r="578" spans="1:15" ht="15.75" customHeight="1">
      <c r="A578">
        <v>577</v>
      </c>
      <c r="B578" s="2">
        <v>44970</v>
      </c>
      <c r="C578" t="s">
        <v>602</v>
      </c>
      <c r="D578" t="s">
        <v>16</v>
      </c>
      <c r="E578">
        <v>21</v>
      </c>
      <c r="F578" s="3" t="s">
        <v>17</v>
      </c>
      <c r="G578">
        <v>4</v>
      </c>
      <c r="H578" s="4">
        <v>500</v>
      </c>
      <c r="I578" s="4">
        <v>2000</v>
      </c>
      <c r="J578" t="s">
        <v>525</v>
      </c>
      <c r="K578" t="str">
        <f>IFERROR(VLOOKUP(F578&amp;"|"&amp;H578,Feature_Mappings!$A$2:$C$16,2,FALSE()),"")</f>
        <v>LED Beauty Device</v>
      </c>
      <c r="L578" t="str">
        <f>IFERROR(VLOOKUP(F578&amp;"|"&amp;H578,Feature_Mappings!$A$2:$C$16,3,FALSE()),"")</f>
        <v>BeautyTech Pro</v>
      </c>
      <c r="M578" t="str">
        <f>IFERROR(VLOOKUP(J578,Feature_Mappings!$D$2:$E$5,2,FALSE()),"")</f>
        <v>Sophie Nguyen</v>
      </c>
      <c r="N578" t="s">
        <v>526</v>
      </c>
      <c r="O578" t="str">
        <f>IFERROR(INDEX(Store_Manager!$A$2:$A$5,MATCH(M578,Store_Manager!$B$2:$B$5,0)),"")</f>
        <v>MGR003</v>
      </c>
    </row>
    <row r="579" spans="1:15" ht="15.75" customHeight="1">
      <c r="A579">
        <v>578</v>
      </c>
      <c r="B579" s="2">
        <v>45072</v>
      </c>
      <c r="C579" t="s">
        <v>603</v>
      </c>
      <c r="D579" t="s">
        <v>21</v>
      </c>
      <c r="E579">
        <v>54</v>
      </c>
      <c r="F579" s="3" t="s">
        <v>22</v>
      </c>
      <c r="G579">
        <v>4</v>
      </c>
      <c r="H579" s="4">
        <v>30</v>
      </c>
      <c r="I579" s="4">
        <v>120</v>
      </c>
      <c r="J579" t="s">
        <v>525</v>
      </c>
      <c r="K579" t="str">
        <f>IFERROR(VLOOKUP(F579&amp;"|"&amp;H579,Feature_Mappings!$A$2:$C$16,2,FALSE()),"")</f>
        <v>Graphic T-Shirt</v>
      </c>
      <c r="L579" t="str">
        <f>IFERROR(VLOOKUP(F579&amp;"|"&amp;H579,Feature_Mappings!$A$2:$C$16,3,FALSE()),"")</f>
        <v>ThreadWorks Apparel</v>
      </c>
      <c r="M579" t="str">
        <f>IFERROR(VLOOKUP(J579,Feature_Mappings!$D$2:$E$5,2,FALSE()),"")</f>
        <v>Sophie Nguyen</v>
      </c>
      <c r="N579" t="s">
        <v>526</v>
      </c>
      <c r="O579" t="str">
        <f>IFERROR(INDEX(Store_Manager!$A$2:$A$5,MATCH(M579,Store_Manager!$B$2:$B$5,0)),"")</f>
        <v>MGR003</v>
      </c>
    </row>
    <row r="580" spans="1:15" ht="15.75" customHeight="1">
      <c r="A580">
        <v>579</v>
      </c>
      <c r="B580" s="2">
        <v>45190</v>
      </c>
      <c r="C580" t="s">
        <v>604</v>
      </c>
      <c r="D580" t="s">
        <v>21</v>
      </c>
      <c r="E580">
        <v>38</v>
      </c>
      <c r="F580" s="3" t="s">
        <v>24</v>
      </c>
      <c r="G580">
        <v>1</v>
      </c>
      <c r="H580" s="4">
        <v>30</v>
      </c>
      <c r="I580" s="4">
        <v>30</v>
      </c>
      <c r="J580" t="s">
        <v>525</v>
      </c>
      <c r="K580" t="str">
        <f>IFERROR(VLOOKUP(F580&amp;"|"&amp;H580,Feature_Mappings!$A$2:$C$16,2,FALSE()),"")</f>
        <v>Wireless Mouse</v>
      </c>
      <c r="L580" t="str">
        <f>IFERROR(VLOOKUP(F580&amp;"|"&amp;H580,Feature_Mappings!$A$2:$C$16,3,FALSE()),"")</f>
        <v>ByteWave Distributors</v>
      </c>
      <c r="M580" t="str">
        <f>IFERROR(VLOOKUP(J580,Feature_Mappings!$D$2:$E$5,2,FALSE()),"")</f>
        <v>Sophie Nguyen</v>
      </c>
      <c r="N580" t="s">
        <v>526</v>
      </c>
      <c r="O580" t="str">
        <f>IFERROR(INDEX(Store_Manager!$A$2:$A$5,MATCH(M580,Store_Manager!$B$2:$B$5,0)),"")</f>
        <v>MGR003</v>
      </c>
    </row>
    <row r="581" spans="1:15" ht="15.75" customHeight="1">
      <c r="A581">
        <v>580</v>
      </c>
      <c r="B581" s="2">
        <v>45266</v>
      </c>
      <c r="C581" t="s">
        <v>605</v>
      </c>
      <c r="D581" t="s">
        <v>21</v>
      </c>
      <c r="E581">
        <v>31</v>
      </c>
      <c r="F581" s="3" t="s">
        <v>22</v>
      </c>
      <c r="G581">
        <v>3</v>
      </c>
      <c r="H581" s="4">
        <v>500</v>
      </c>
      <c r="I581" s="4">
        <v>1500</v>
      </c>
      <c r="J581" t="s">
        <v>525</v>
      </c>
      <c r="K581" t="str">
        <f>IFERROR(VLOOKUP(F581&amp;"|"&amp;H581,Feature_Mappings!$A$2:$C$16,2,FALSE()),"")</f>
        <v>Designer Coat</v>
      </c>
      <c r="L581" t="str">
        <f>IFERROR(VLOOKUP(F581&amp;"|"&amp;H581,Feature_Mappings!$A$2:$C$16,3,FALSE()),"")</f>
        <v>Prestige Fashion House</v>
      </c>
      <c r="M581" t="str">
        <f>IFERROR(VLOOKUP(J581,Feature_Mappings!$D$2:$E$5,2,FALSE()),"")</f>
        <v>Sophie Nguyen</v>
      </c>
      <c r="N581" t="s">
        <v>526</v>
      </c>
      <c r="O581" t="str">
        <f>IFERROR(INDEX(Store_Manager!$A$2:$A$5,MATCH(M581,Store_Manager!$B$2:$B$5,0)),"")</f>
        <v>MGR003</v>
      </c>
    </row>
    <row r="582" spans="1:15" ht="15.75" customHeight="1">
      <c r="A582">
        <v>581</v>
      </c>
      <c r="B582" s="2">
        <v>45251</v>
      </c>
      <c r="C582" t="s">
        <v>606</v>
      </c>
      <c r="D582" t="s">
        <v>21</v>
      </c>
      <c r="E582">
        <v>48</v>
      </c>
      <c r="F582" s="3" t="s">
        <v>17</v>
      </c>
      <c r="G582">
        <v>2</v>
      </c>
      <c r="H582" s="4">
        <v>30</v>
      </c>
      <c r="I582" s="4">
        <v>60</v>
      </c>
      <c r="J582" t="s">
        <v>525</v>
      </c>
      <c r="K582" t="str">
        <f>IFERROR(VLOOKUP(F582&amp;"|"&amp;H582,Feature_Mappings!$A$2:$C$16,2,FALSE()),"")</f>
        <v>Facial Cleanser</v>
      </c>
      <c r="L582" t="str">
        <f>IFERROR(VLOOKUP(F582&amp;"|"&amp;H582,Feature_Mappings!$A$2:$C$16,3,FALSE()),"")</f>
        <v>PureDerma Supplies</v>
      </c>
      <c r="M582" t="str">
        <f>IFERROR(VLOOKUP(J582,Feature_Mappings!$D$2:$E$5,2,FALSE()),"")</f>
        <v>Sophie Nguyen</v>
      </c>
      <c r="N582" t="s">
        <v>526</v>
      </c>
      <c r="O582" t="str">
        <f>IFERROR(INDEX(Store_Manager!$A$2:$A$5,MATCH(M582,Store_Manager!$B$2:$B$5,0)),"")</f>
        <v>MGR003</v>
      </c>
    </row>
    <row r="583" spans="1:15" ht="15.75" customHeight="1">
      <c r="A583">
        <v>582</v>
      </c>
      <c r="B583" s="2">
        <v>45244</v>
      </c>
      <c r="C583" t="s">
        <v>607</v>
      </c>
      <c r="D583" t="s">
        <v>16</v>
      </c>
      <c r="E583">
        <v>35</v>
      </c>
      <c r="F583" s="3" t="s">
        <v>22</v>
      </c>
      <c r="G583">
        <v>3</v>
      </c>
      <c r="H583" s="4">
        <v>300</v>
      </c>
      <c r="I583" s="4">
        <v>900</v>
      </c>
      <c r="J583" t="s">
        <v>525</v>
      </c>
      <c r="K583" t="str">
        <f>IFERROR(VLOOKUP(F583&amp;"|"&amp;H583,Feature_Mappings!$A$2:$C$16,2,FALSE()),"")</f>
        <v>Leather Jacket</v>
      </c>
      <c r="L583" t="str">
        <f>IFERROR(VLOOKUP(F583&amp;"|"&amp;H583,Feature_Mappings!$A$2:$C$16,3,FALSE()),"")</f>
        <v>Metro Style Manufacturing</v>
      </c>
      <c r="M583" t="str">
        <f>IFERROR(VLOOKUP(J583,Feature_Mappings!$D$2:$E$5,2,FALSE()),"")</f>
        <v>Sophie Nguyen</v>
      </c>
      <c r="N583" t="s">
        <v>526</v>
      </c>
      <c r="O583" t="str">
        <f>IFERROR(INDEX(Store_Manager!$A$2:$A$5,MATCH(M583,Store_Manager!$B$2:$B$5,0)),"")</f>
        <v>MGR003</v>
      </c>
    </row>
    <row r="584" spans="1:15" ht="15.75" customHeight="1">
      <c r="A584">
        <v>583</v>
      </c>
      <c r="B584" s="2">
        <v>45098</v>
      </c>
      <c r="C584" t="s">
        <v>608</v>
      </c>
      <c r="D584" t="s">
        <v>21</v>
      </c>
      <c r="E584">
        <v>24</v>
      </c>
      <c r="F584" s="3" t="s">
        <v>24</v>
      </c>
      <c r="G584">
        <v>4</v>
      </c>
      <c r="H584" s="4">
        <v>25</v>
      </c>
      <c r="I584" s="4">
        <v>100</v>
      </c>
      <c r="J584" t="s">
        <v>525</v>
      </c>
      <c r="K584" t="str">
        <f>IFERROR(VLOOKUP(F584&amp;"|"&amp;H584,Feature_Mappings!$A$2:$C$16,2,FALSE()),"")</f>
        <v>USB-C Charger</v>
      </c>
      <c r="L584" t="str">
        <f>IFERROR(VLOOKUP(F584&amp;"|"&amp;H584,Feature_Mappings!$A$2:$C$16,3,FALSE()),"")</f>
        <v>VoltEdge Electronics</v>
      </c>
      <c r="M584" t="str">
        <f>IFERROR(VLOOKUP(J584,Feature_Mappings!$D$2:$E$5,2,FALSE()),"")</f>
        <v>Sophie Nguyen</v>
      </c>
      <c r="N584" t="s">
        <v>526</v>
      </c>
      <c r="O584" t="str">
        <f>IFERROR(INDEX(Store_Manager!$A$2:$A$5,MATCH(M584,Store_Manager!$B$2:$B$5,0)),"")</f>
        <v>MGR003</v>
      </c>
    </row>
    <row r="585" spans="1:15" ht="15.75" customHeight="1">
      <c r="A585">
        <v>584</v>
      </c>
      <c r="B585" s="2">
        <v>44974</v>
      </c>
      <c r="C585" t="s">
        <v>609</v>
      </c>
      <c r="D585" t="s">
        <v>21</v>
      </c>
      <c r="E585">
        <v>27</v>
      </c>
      <c r="F585" s="3" t="s">
        <v>17</v>
      </c>
      <c r="G585">
        <v>4</v>
      </c>
      <c r="H585" s="4">
        <v>50</v>
      </c>
      <c r="I585" s="4">
        <v>200</v>
      </c>
      <c r="J585" t="s">
        <v>525</v>
      </c>
      <c r="K585" t="str">
        <f>IFERROR(VLOOKUP(F585&amp;"|"&amp;H585,Feature_Mappings!$A$2:$C$16,2,FALSE()),"")</f>
        <v>Eau de Parfum</v>
      </c>
      <c r="L585" t="str">
        <f>IFERROR(VLOOKUP(F585&amp;"|"&amp;H585,Feature_Mappings!$A$2:$C$16,3,FALSE()),"")</f>
        <v>Luxe Aroma Labs</v>
      </c>
      <c r="M585" t="str">
        <f>IFERROR(VLOOKUP(J585,Feature_Mappings!$D$2:$E$5,2,FALSE()),"")</f>
        <v>Sophie Nguyen</v>
      </c>
      <c r="N585" t="s">
        <v>526</v>
      </c>
      <c r="O585" t="str">
        <f>IFERROR(INDEX(Store_Manager!$A$2:$A$5,MATCH(M585,Store_Manager!$B$2:$B$5,0)),"")</f>
        <v>MGR003</v>
      </c>
    </row>
    <row r="586" spans="1:15" ht="15.75" customHeight="1">
      <c r="A586">
        <v>585</v>
      </c>
      <c r="B586" s="2">
        <v>45047</v>
      </c>
      <c r="C586" t="s">
        <v>610</v>
      </c>
      <c r="D586" t="s">
        <v>21</v>
      </c>
      <c r="E586">
        <v>24</v>
      </c>
      <c r="F586" s="3" t="s">
        <v>22</v>
      </c>
      <c r="G586">
        <v>1</v>
      </c>
      <c r="H586" s="4">
        <v>25</v>
      </c>
      <c r="I586" s="4">
        <v>25</v>
      </c>
      <c r="J586" t="s">
        <v>525</v>
      </c>
      <c r="K586" t="str">
        <f>IFERROR(VLOOKUP(F586&amp;"|"&amp;H586,Feature_Mappings!$A$2:$C$16,2,FALSE()),"")</f>
        <v>Cotton Socks</v>
      </c>
      <c r="L586" t="str">
        <f>IFERROR(VLOOKUP(F586&amp;"|"&amp;H586,Feature_Mappings!$A$2:$C$16,3,FALSE()),"")</f>
        <v>Urban Basics Co.</v>
      </c>
      <c r="M586" t="str">
        <f>IFERROR(VLOOKUP(J586,Feature_Mappings!$D$2:$E$5,2,FALSE()),"")</f>
        <v>Sophie Nguyen</v>
      </c>
      <c r="N586" t="s">
        <v>526</v>
      </c>
      <c r="O586" t="str">
        <f>IFERROR(INDEX(Store_Manager!$A$2:$A$5,MATCH(M586,Store_Manager!$B$2:$B$5,0)),"")</f>
        <v>MGR003</v>
      </c>
    </row>
    <row r="587" spans="1:15" ht="15.75" customHeight="1">
      <c r="A587">
        <v>586</v>
      </c>
      <c r="B587" s="2">
        <v>45271</v>
      </c>
      <c r="C587" t="s">
        <v>611</v>
      </c>
      <c r="D587" t="s">
        <v>16</v>
      </c>
      <c r="E587">
        <v>50</v>
      </c>
      <c r="F587" s="3" t="s">
        <v>24</v>
      </c>
      <c r="G587">
        <v>1</v>
      </c>
      <c r="H587" s="4">
        <v>50</v>
      </c>
      <c r="I587" s="4">
        <v>50</v>
      </c>
      <c r="J587" t="s">
        <v>525</v>
      </c>
      <c r="K587" t="str">
        <f>IFERROR(VLOOKUP(F587&amp;"|"&amp;H587,Feature_Mappings!$A$2:$C$16,2,FALSE()),"")</f>
        <v>Bluetooth Speaker</v>
      </c>
      <c r="L587" t="str">
        <f>IFERROR(VLOOKUP(F587&amp;"|"&amp;H587,Feature_Mappings!$A$2:$C$16,3,FALSE()),"")</f>
        <v>SoundSphere Supply</v>
      </c>
      <c r="M587" t="str">
        <f>IFERROR(VLOOKUP(J587,Feature_Mappings!$D$2:$E$5,2,FALSE()),"")</f>
        <v>Sophie Nguyen</v>
      </c>
      <c r="N587" t="s">
        <v>526</v>
      </c>
      <c r="O587" t="str">
        <f>IFERROR(INDEX(Store_Manager!$A$2:$A$5,MATCH(M587,Store_Manager!$B$2:$B$5,0)),"")</f>
        <v>MGR003</v>
      </c>
    </row>
    <row r="588" spans="1:15" ht="15.75" customHeight="1">
      <c r="A588">
        <v>587</v>
      </c>
      <c r="B588" s="2">
        <v>45085</v>
      </c>
      <c r="C588" t="s">
        <v>612</v>
      </c>
      <c r="D588" t="s">
        <v>21</v>
      </c>
      <c r="E588">
        <v>40</v>
      </c>
      <c r="F588" s="3" t="s">
        <v>17</v>
      </c>
      <c r="G588">
        <v>4</v>
      </c>
      <c r="H588" s="4">
        <v>300</v>
      </c>
      <c r="I588" s="4">
        <v>1200</v>
      </c>
      <c r="J588" t="s">
        <v>525</v>
      </c>
      <c r="K588" t="str">
        <f>IFERROR(VLOOKUP(F588&amp;"|"&amp;H588,Feature_Mappings!$A$2:$C$16,2,FALSE()),"")</f>
        <v>Skincare Gift Set</v>
      </c>
      <c r="L588" t="str">
        <f>IFERROR(VLOOKUP(F588&amp;"|"&amp;H588,Feature_Mappings!$A$2:$C$16,3,FALSE()),"")</f>
        <v>Radiant Beauty Wholesale</v>
      </c>
      <c r="M588" t="str">
        <f>IFERROR(VLOOKUP(J588,Feature_Mappings!$D$2:$E$5,2,FALSE()),"")</f>
        <v>Sophie Nguyen</v>
      </c>
      <c r="N588" t="s">
        <v>526</v>
      </c>
      <c r="O588" t="str">
        <f>IFERROR(INDEX(Store_Manager!$A$2:$A$5,MATCH(M588,Store_Manager!$B$2:$B$5,0)),"")</f>
        <v>MGR003</v>
      </c>
    </row>
    <row r="589" spans="1:15" ht="15.75" customHeight="1">
      <c r="A589">
        <v>588</v>
      </c>
      <c r="B589" s="2">
        <v>45042</v>
      </c>
      <c r="C589" t="s">
        <v>613</v>
      </c>
      <c r="D589" t="s">
        <v>16</v>
      </c>
      <c r="E589">
        <v>38</v>
      </c>
      <c r="F589" s="3" t="s">
        <v>24</v>
      </c>
      <c r="G589">
        <v>2</v>
      </c>
      <c r="H589" s="4">
        <v>30</v>
      </c>
      <c r="I589" s="4">
        <v>60</v>
      </c>
      <c r="J589" t="s">
        <v>525</v>
      </c>
      <c r="K589" t="str">
        <f>IFERROR(VLOOKUP(F589&amp;"|"&amp;H589,Feature_Mappings!$A$2:$C$16,2,FALSE()),"")</f>
        <v>Wireless Mouse</v>
      </c>
      <c r="L589" t="str">
        <f>IFERROR(VLOOKUP(F589&amp;"|"&amp;H589,Feature_Mappings!$A$2:$C$16,3,FALSE()),"")</f>
        <v>ByteWave Distributors</v>
      </c>
      <c r="M589" t="str">
        <f>IFERROR(VLOOKUP(J589,Feature_Mappings!$D$2:$E$5,2,FALSE()),"")</f>
        <v>Sophie Nguyen</v>
      </c>
      <c r="N589" t="s">
        <v>526</v>
      </c>
      <c r="O589" t="str">
        <f>IFERROR(INDEX(Store_Manager!$A$2:$A$5,MATCH(M589,Store_Manager!$B$2:$B$5,0)),"")</f>
        <v>MGR003</v>
      </c>
    </row>
    <row r="590" spans="1:15" ht="15.75" customHeight="1">
      <c r="A590">
        <v>589</v>
      </c>
      <c r="B590" s="2">
        <v>45028</v>
      </c>
      <c r="C590" t="s">
        <v>614</v>
      </c>
      <c r="D590" t="s">
        <v>21</v>
      </c>
      <c r="E590">
        <v>36</v>
      </c>
      <c r="F590" s="3" t="s">
        <v>17</v>
      </c>
      <c r="G590">
        <v>2</v>
      </c>
      <c r="H590" s="4">
        <v>500</v>
      </c>
      <c r="I590" s="4">
        <v>1000</v>
      </c>
      <c r="J590" t="s">
        <v>525</v>
      </c>
      <c r="K590" t="str">
        <f>IFERROR(VLOOKUP(F590&amp;"|"&amp;H590,Feature_Mappings!$A$2:$C$16,2,FALSE()),"")</f>
        <v>LED Beauty Device</v>
      </c>
      <c r="L590" t="str">
        <f>IFERROR(VLOOKUP(F590&amp;"|"&amp;H590,Feature_Mappings!$A$2:$C$16,3,FALSE()),"")</f>
        <v>BeautyTech Pro</v>
      </c>
      <c r="M590" t="str">
        <f>IFERROR(VLOOKUP(J590,Feature_Mappings!$D$2:$E$5,2,FALSE()),"")</f>
        <v>Sophie Nguyen</v>
      </c>
      <c r="N590" t="s">
        <v>526</v>
      </c>
      <c r="O590" t="str">
        <f>IFERROR(INDEX(Store_Manager!$A$2:$A$5,MATCH(M590,Store_Manager!$B$2:$B$5,0)),"")</f>
        <v>MGR003</v>
      </c>
    </row>
    <row r="591" spans="1:15" ht="15.75" customHeight="1">
      <c r="A591">
        <v>590</v>
      </c>
      <c r="B591" s="2">
        <v>45002</v>
      </c>
      <c r="C591" t="s">
        <v>615</v>
      </c>
      <c r="D591" t="s">
        <v>16</v>
      </c>
      <c r="E591">
        <v>36</v>
      </c>
      <c r="F591" s="3" t="s">
        <v>22</v>
      </c>
      <c r="G591">
        <v>3</v>
      </c>
      <c r="H591" s="4">
        <v>300</v>
      </c>
      <c r="I591" s="4">
        <v>900</v>
      </c>
      <c r="J591" t="s">
        <v>525</v>
      </c>
      <c r="K591" t="str">
        <f>IFERROR(VLOOKUP(F591&amp;"|"&amp;H591,Feature_Mappings!$A$2:$C$16,2,FALSE()),"")</f>
        <v>Leather Jacket</v>
      </c>
      <c r="L591" t="str">
        <f>IFERROR(VLOOKUP(F591&amp;"|"&amp;H591,Feature_Mappings!$A$2:$C$16,3,FALSE()),"")</f>
        <v>Metro Style Manufacturing</v>
      </c>
      <c r="M591" t="str">
        <f>IFERROR(VLOOKUP(J591,Feature_Mappings!$D$2:$E$5,2,FALSE()),"")</f>
        <v>Sophie Nguyen</v>
      </c>
      <c r="N591" t="s">
        <v>526</v>
      </c>
      <c r="O591" t="str">
        <f>IFERROR(INDEX(Store_Manager!$A$2:$A$5,MATCH(M591,Store_Manager!$B$2:$B$5,0)),"")</f>
        <v>MGR003</v>
      </c>
    </row>
    <row r="592" spans="1:15" ht="15.75" customHeight="1">
      <c r="A592">
        <v>591</v>
      </c>
      <c r="B592" s="2">
        <v>44939</v>
      </c>
      <c r="C592" t="s">
        <v>616</v>
      </c>
      <c r="D592" t="s">
        <v>16</v>
      </c>
      <c r="E592">
        <v>53</v>
      </c>
      <c r="F592" s="3" t="s">
        <v>24</v>
      </c>
      <c r="G592">
        <v>4</v>
      </c>
      <c r="H592" s="4">
        <v>25</v>
      </c>
      <c r="I592" s="4">
        <v>100</v>
      </c>
      <c r="J592" t="s">
        <v>525</v>
      </c>
      <c r="K592" t="str">
        <f>IFERROR(VLOOKUP(F592&amp;"|"&amp;H592,Feature_Mappings!$A$2:$C$16,2,FALSE()),"")</f>
        <v>USB-C Charger</v>
      </c>
      <c r="L592" t="str">
        <f>IFERROR(VLOOKUP(F592&amp;"|"&amp;H592,Feature_Mappings!$A$2:$C$16,3,FALSE()),"")</f>
        <v>VoltEdge Electronics</v>
      </c>
      <c r="M592" t="str">
        <f>IFERROR(VLOOKUP(J592,Feature_Mappings!$D$2:$E$5,2,FALSE()),"")</f>
        <v>Sophie Nguyen</v>
      </c>
      <c r="N592" t="s">
        <v>526</v>
      </c>
      <c r="O592" t="str">
        <f>IFERROR(INDEX(Store_Manager!$A$2:$A$5,MATCH(M592,Store_Manager!$B$2:$B$5,0)),"")</f>
        <v>MGR003</v>
      </c>
    </row>
    <row r="593" spans="1:15" ht="15.75" customHeight="1">
      <c r="A593">
        <v>592</v>
      </c>
      <c r="B593" s="2">
        <v>44950</v>
      </c>
      <c r="C593" t="s">
        <v>617</v>
      </c>
      <c r="D593" t="s">
        <v>21</v>
      </c>
      <c r="E593">
        <v>46</v>
      </c>
      <c r="F593" s="3" t="s">
        <v>17</v>
      </c>
      <c r="G593">
        <v>4</v>
      </c>
      <c r="H593" s="4">
        <v>500</v>
      </c>
      <c r="I593" s="4">
        <v>2000</v>
      </c>
      <c r="J593" t="s">
        <v>525</v>
      </c>
      <c r="K593" t="str">
        <f>IFERROR(VLOOKUP(F593&amp;"|"&amp;H593,Feature_Mappings!$A$2:$C$16,2,FALSE()),"")</f>
        <v>LED Beauty Device</v>
      </c>
      <c r="L593" t="str">
        <f>IFERROR(VLOOKUP(F593&amp;"|"&amp;H593,Feature_Mappings!$A$2:$C$16,3,FALSE()),"")</f>
        <v>BeautyTech Pro</v>
      </c>
      <c r="M593" t="str">
        <f>IFERROR(VLOOKUP(J593,Feature_Mappings!$D$2:$E$5,2,FALSE()),"")</f>
        <v>Sophie Nguyen</v>
      </c>
      <c r="N593" t="s">
        <v>526</v>
      </c>
      <c r="O593" t="str">
        <f>IFERROR(INDEX(Store_Manager!$A$2:$A$5,MATCH(M593,Store_Manager!$B$2:$B$5,0)),"")</f>
        <v>MGR003</v>
      </c>
    </row>
    <row r="594" spans="1:15" ht="15.75" customHeight="1">
      <c r="A594">
        <v>593</v>
      </c>
      <c r="B594" s="2">
        <v>45052</v>
      </c>
      <c r="C594" t="s">
        <v>618</v>
      </c>
      <c r="D594" t="s">
        <v>16</v>
      </c>
      <c r="E594">
        <v>35</v>
      </c>
      <c r="F594" s="3" t="s">
        <v>24</v>
      </c>
      <c r="G594">
        <v>2</v>
      </c>
      <c r="H594" s="4">
        <v>30</v>
      </c>
      <c r="I594" s="4">
        <v>60</v>
      </c>
      <c r="J594" t="s">
        <v>525</v>
      </c>
      <c r="K594" t="str">
        <f>IFERROR(VLOOKUP(F594&amp;"|"&amp;H594,Feature_Mappings!$A$2:$C$16,2,FALSE()),"")</f>
        <v>Wireless Mouse</v>
      </c>
      <c r="L594" t="str">
        <f>IFERROR(VLOOKUP(F594&amp;"|"&amp;H594,Feature_Mappings!$A$2:$C$16,3,FALSE()),"")</f>
        <v>ByteWave Distributors</v>
      </c>
      <c r="M594" t="str">
        <f>IFERROR(VLOOKUP(J594,Feature_Mappings!$D$2:$E$5,2,FALSE()),"")</f>
        <v>Sophie Nguyen</v>
      </c>
      <c r="N594" t="s">
        <v>526</v>
      </c>
      <c r="O594" t="str">
        <f>IFERROR(INDEX(Store_Manager!$A$2:$A$5,MATCH(M594,Store_Manager!$B$2:$B$5,0)),"")</f>
        <v>MGR003</v>
      </c>
    </row>
    <row r="595" spans="1:15" ht="15.75" customHeight="1">
      <c r="A595">
        <v>594</v>
      </c>
      <c r="B595" s="2">
        <v>45170</v>
      </c>
      <c r="C595" t="s">
        <v>619</v>
      </c>
      <c r="D595" t="s">
        <v>21</v>
      </c>
      <c r="E595">
        <v>19</v>
      </c>
      <c r="F595" s="3" t="s">
        <v>24</v>
      </c>
      <c r="G595">
        <v>2</v>
      </c>
      <c r="H595" s="4">
        <v>300</v>
      </c>
      <c r="I595" s="4">
        <v>600</v>
      </c>
      <c r="J595" t="s">
        <v>525</v>
      </c>
      <c r="K595" t="str">
        <f>IFERROR(VLOOKUP(F595&amp;"|"&amp;H595,Feature_Mappings!$A$2:$C$16,2,FALSE()),"")</f>
        <v>Tablet</v>
      </c>
      <c r="L595" t="str">
        <f>IFERROR(VLOOKUP(F595&amp;"|"&amp;H595,Feature_Mappings!$A$2:$C$16,3,FALSE()),"")</f>
        <v>NextGen Devices</v>
      </c>
      <c r="M595" t="str">
        <f>IFERROR(VLOOKUP(J595,Feature_Mappings!$D$2:$E$5,2,FALSE()),"")</f>
        <v>Sophie Nguyen</v>
      </c>
      <c r="N595" t="s">
        <v>526</v>
      </c>
      <c r="O595" t="str">
        <f>IFERROR(INDEX(Store_Manager!$A$2:$A$5,MATCH(M595,Store_Manager!$B$2:$B$5,0)),"")</f>
        <v>MGR003</v>
      </c>
    </row>
    <row r="596" spans="1:15" ht="15.75" customHeight="1">
      <c r="A596">
        <v>595</v>
      </c>
      <c r="B596" s="2">
        <v>45239</v>
      </c>
      <c r="C596" t="s">
        <v>620</v>
      </c>
      <c r="D596" t="s">
        <v>21</v>
      </c>
      <c r="E596">
        <v>18</v>
      </c>
      <c r="F596" s="3" t="s">
        <v>22</v>
      </c>
      <c r="G596">
        <v>4</v>
      </c>
      <c r="H596" s="4">
        <v>500</v>
      </c>
      <c r="I596" s="4">
        <v>2000</v>
      </c>
      <c r="J596" t="s">
        <v>525</v>
      </c>
      <c r="K596" t="str">
        <f>IFERROR(VLOOKUP(F596&amp;"|"&amp;H596,Feature_Mappings!$A$2:$C$16,2,FALSE()),"")</f>
        <v>Designer Coat</v>
      </c>
      <c r="L596" t="str">
        <f>IFERROR(VLOOKUP(F596&amp;"|"&amp;H596,Feature_Mappings!$A$2:$C$16,3,FALSE()),"")</f>
        <v>Prestige Fashion House</v>
      </c>
      <c r="M596" t="str">
        <f>IFERROR(VLOOKUP(J596,Feature_Mappings!$D$2:$E$5,2,FALSE()),"")</f>
        <v>Sophie Nguyen</v>
      </c>
      <c r="N596" t="s">
        <v>526</v>
      </c>
      <c r="O596" t="str">
        <f>IFERROR(INDEX(Store_Manager!$A$2:$A$5,MATCH(M596,Store_Manager!$B$2:$B$5,0)),"")</f>
        <v>MGR003</v>
      </c>
    </row>
    <row r="597" spans="1:15" ht="15.75" customHeight="1">
      <c r="A597">
        <v>596</v>
      </c>
      <c r="B597" s="2">
        <v>44964</v>
      </c>
      <c r="C597" t="s">
        <v>621</v>
      </c>
      <c r="D597" t="s">
        <v>21</v>
      </c>
      <c r="E597">
        <v>64</v>
      </c>
      <c r="F597" s="3" t="s">
        <v>24</v>
      </c>
      <c r="G597">
        <v>1</v>
      </c>
      <c r="H597" s="4">
        <v>300</v>
      </c>
      <c r="I597" s="4">
        <v>300</v>
      </c>
      <c r="J597" t="s">
        <v>525</v>
      </c>
      <c r="K597" t="str">
        <f>IFERROR(VLOOKUP(F597&amp;"|"&amp;H597,Feature_Mappings!$A$2:$C$16,2,FALSE()),"")</f>
        <v>Tablet</v>
      </c>
      <c r="L597" t="str">
        <f>IFERROR(VLOOKUP(F597&amp;"|"&amp;H597,Feature_Mappings!$A$2:$C$16,3,FALSE()),"")</f>
        <v>NextGen Devices</v>
      </c>
      <c r="M597" t="str">
        <f>IFERROR(VLOOKUP(J597,Feature_Mappings!$D$2:$E$5,2,FALSE()),"")</f>
        <v>Sophie Nguyen</v>
      </c>
      <c r="N597" t="s">
        <v>526</v>
      </c>
      <c r="O597" t="str">
        <f>IFERROR(INDEX(Store_Manager!$A$2:$A$5,MATCH(M597,Store_Manager!$B$2:$B$5,0)),"")</f>
        <v>MGR003</v>
      </c>
    </row>
    <row r="598" spans="1:15" ht="15.75" customHeight="1">
      <c r="A598">
        <v>597</v>
      </c>
      <c r="B598" s="2">
        <v>45160</v>
      </c>
      <c r="C598" t="s">
        <v>622</v>
      </c>
      <c r="D598" t="s">
        <v>16</v>
      </c>
      <c r="E598">
        <v>22</v>
      </c>
      <c r="F598" s="3" t="s">
        <v>17</v>
      </c>
      <c r="G598">
        <v>4</v>
      </c>
      <c r="H598" s="4">
        <v>300</v>
      </c>
      <c r="I598" s="4">
        <v>1200</v>
      </c>
      <c r="J598" t="s">
        <v>525</v>
      </c>
      <c r="K598" t="str">
        <f>IFERROR(VLOOKUP(F598&amp;"|"&amp;H598,Feature_Mappings!$A$2:$C$16,2,FALSE()),"")</f>
        <v>Skincare Gift Set</v>
      </c>
      <c r="L598" t="str">
        <f>IFERROR(VLOOKUP(F598&amp;"|"&amp;H598,Feature_Mappings!$A$2:$C$16,3,FALSE()),"")</f>
        <v>Radiant Beauty Wholesale</v>
      </c>
      <c r="M598" t="str">
        <f>IFERROR(VLOOKUP(J598,Feature_Mappings!$D$2:$E$5,2,FALSE()),"")</f>
        <v>Sophie Nguyen</v>
      </c>
      <c r="N598" t="s">
        <v>526</v>
      </c>
      <c r="O598" t="str">
        <f>IFERROR(INDEX(Store_Manager!$A$2:$A$5,MATCH(M598,Store_Manager!$B$2:$B$5,0)),"")</f>
        <v>MGR003</v>
      </c>
    </row>
    <row r="599" spans="1:15" ht="15.75" customHeight="1">
      <c r="A599">
        <v>598</v>
      </c>
      <c r="B599" s="2">
        <v>45139</v>
      </c>
      <c r="C599" t="s">
        <v>623</v>
      </c>
      <c r="D599" t="s">
        <v>16</v>
      </c>
      <c r="E599">
        <v>37</v>
      </c>
      <c r="F599" s="3" t="s">
        <v>17</v>
      </c>
      <c r="G599">
        <v>4</v>
      </c>
      <c r="H599" s="4">
        <v>30</v>
      </c>
      <c r="I599" s="4">
        <v>120</v>
      </c>
      <c r="J599" t="s">
        <v>525</v>
      </c>
      <c r="K599" t="str">
        <f>IFERROR(VLOOKUP(F599&amp;"|"&amp;H599,Feature_Mappings!$A$2:$C$16,2,FALSE()),"")</f>
        <v>Facial Cleanser</v>
      </c>
      <c r="L599" t="str">
        <f>IFERROR(VLOOKUP(F599&amp;"|"&amp;H599,Feature_Mappings!$A$2:$C$16,3,FALSE()),"")</f>
        <v>PureDerma Supplies</v>
      </c>
      <c r="M599" t="str">
        <f>IFERROR(VLOOKUP(J599,Feature_Mappings!$D$2:$E$5,2,FALSE()),"")</f>
        <v>Sophie Nguyen</v>
      </c>
      <c r="N599" t="s">
        <v>526</v>
      </c>
      <c r="O599" t="str">
        <f>IFERROR(INDEX(Store_Manager!$A$2:$A$5,MATCH(M599,Store_Manager!$B$2:$B$5,0)),"")</f>
        <v>MGR003</v>
      </c>
    </row>
    <row r="600" spans="1:15" ht="15.75" customHeight="1">
      <c r="A600">
        <v>599</v>
      </c>
      <c r="B600" s="2">
        <v>45249</v>
      </c>
      <c r="C600" t="s">
        <v>624</v>
      </c>
      <c r="D600" t="s">
        <v>21</v>
      </c>
      <c r="E600">
        <v>28</v>
      </c>
      <c r="F600" s="3" t="s">
        <v>17</v>
      </c>
      <c r="G600">
        <v>2</v>
      </c>
      <c r="H600" s="4">
        <v>50</v>
      </c>
      <c r="I600" s="4">
        <v>100</v>
      </c>
      <c r="J600" t="s">
        <v>525</v>
      </c>
      <c r="K600" t="str">
        <f>IFERROR(VLOOKUP(F600&amp;"|"&amp;H600,Feature_Mappings!$A$2:$C$16,2,FALSE()),"")</f>
        <v>Eau de Parfum</v>
      </c>
      <c r="L600" t="str">
        <f>IFERROR(VLOOKUP(F600&amp;"|"&amp;H600,Feature_Mappings!$A$2:$C$16,3,FALSE()),"")</f>
        <v>Luxe Aroma Labs</v>
      </c>
      <c r="M600" t="str">
        <f>IFERROR(VLOOKUP(J600,Feature_Mappings!$D$2:$E$5,2,FALSE()),"")</f>
        <v>Sophie Nguyen</v>
      </c>
      <c r="N600" t="s">
        <v>526</v>
      </c>
      <c r="O600" t="str">
        <f>IFERROR(INDEX(Store_Manager!$A$2:$A$5,MATCH(M600,Store_Manager!$B$2:$B$5,0)),"")</f>
        <v>MGR003</v>
      </c>
    </row>
    <row r="601" spans="1:15" ht="15.75" customHeight="1">
      <c r="A601">
        <v>600</v>
      </c>
      <c r="B601" s="2">
        <v>45221</v>
      </c>
      <c r="C601" t="s">
        <v>625</v>
      </c>
      <c r="D601" t="s">
        <v>21</v>
      </c>
      <c r="E601">
        <v>59</v>
      </c>
      <c r="F601" s="3" t="s">
        <v>17</v>
      </c>
      <c r="G601">
        <v>2</v>
      </c>
      <c r="H601" s="4">
        <v>500</v>
      </c>
      <c r="I601" s="4">
        <v>1000</v>
      </c>
      <c r="J601" t="s">
        <v>525</v>
      </c>
      <c r="K601" t="str">
        <f>IFERROR(VLOOKUP(F601&amp;"|"&amp;H601,Feature_Mappings!$A$2:$C$16,2,FALSE()),"")</f>
        <v>LED Beauty Device</v>
      </c>
      <c r="L601" t="str">
        <f>IFERROR(VLOOKUP(F601&amp;"|"&amp;H601,Feature_Mappings!$A$2:$C$16,3,FALSE()),"")</f>
        <v>BeautyTech Pro</v>
      </c>
      <c r="M601" t="str">
        <f>IFERROR(VLOOKUP(J601,Feature_Mappings!$D$2:$E$5,2,FALSE()),"")</f>
        <v>Sophie Nguyen</v>
      </c>
      <c r="N601" t="s">
        <v>526</v>
      </c>
      <c r="O601" t="str">
        <f>IFERROR(INDEX(Store_Manager!$A$2:$A$5,MATCH(M601,Store_Manager!$B$2:$B$5,0)),"")</f>
        <v>MGR003</v>
      </c>
    </row>
    <row r="602" spans="1:15" ht="15.75" customHeight="1">
      <c r="A602">
        <v>601</v>
      </c>
      <c r="B602" s="2">
        <v>45026</v>
      </c>
      <c r="C602" t="s">
        <v>626</v>
      </c>
      <c r="D602" t="s">
        <v>16</v>
      </c>
      <c r="E602">
        <v>19</v>
      </c>
      <c r="F602" s="3" t="s">
        <v>22</v>
      </c>
      <c r="G602">
        <v>1</v>
      </c>
      <c r="H602" s="4">
        <v>30</v>
      </c>
      <c r="I602" s="4">
        <v>30</v>
      </c>
      <c r="J602" t="s">
        <v>525</v>
      </c>
      <c r="K602" t="str">
        <f>IFERROR(VLOOKUP(F602&amp;"|"&amp;H602,Feature_Mappings!$A$2:$C$16,2,FALSE()),"")</f>
        <v>Graphic T-Shirt</v>
      </c>
      <c r="L602" t="str">
        <f>IFERROR(VLOOKUP(F602&amp;"|"&amp;H602,Feature_Mappings!$A$2:$C$16,3,FALSE()),"")</f>
        <v>ThreadWorks Apparel</v>
      </c>
      <c r="M602" t="str">
        <f>IFERROR(VLOOKUP(J602,Feature_Mappings!$D$2:$E$5,2,FALSE()),"")</f>
        <v>Sophie Nguyen</v>
      </c>
      <c r="N602" t="s">
        <v>526</v>
      </c>
      <c r="O602" t="str">
        <f>IFERROR(INDEX(Store_Manager!$A$2:$A$5,MATCH(M602,Store_Manager!$B$2:$B$5,0)),"")</f>
        <v>MGR003</v>
      </c>
    </row>
    <row r="603" spans="1:15" ht="15.75" customHeight="1">
      <c r="A603">
        <v>602</v>
      </c>
      <c r="B603" s="2">
        <v>45283</v>
      </c>
      <c r="C603" t="s">
        <v>627</v>
      </c>
      <c r="D603" t="s">
        <v>21</v>
      </c>
      <c r="E603">
        <v>20</v>
      </c>
      <c r="F603" s="3" t="s">
        <v>24</v>
      </c>
      <c r="G603">
        <v>1</v>
      </c>
      <c r="H603" s="4">
        <v>300</v>
      </c>
      <c r="I603" s="4">
        <v>300</v>
      </c>
      <c r="J603" t="s">
        <v>525</v>
      </c>
      <c r="K603" t="str">
        <f>IFERROR(VLOOKUP(F603&amp;"|"&amp;H603,Feature_Mappings!$A$2:$C$16,2,FALSE()),"")</f>
        <v>Tablet</v>
      </c>
      <c r="L603" t="str">
        <f>IFERROR(VLOOKUP(F603&amp;"|"&amp;H603,Feature_Mappings!$A$2:$C$16,3,FALSE()),"")</f>
        <v>NextGen Devices</v>
      </c>
      <c r="M603" t="str">
        <f>IFERROR(VLOOKUP(J603,Feature_Mappings!$D$2:$E$5,2,FALSE()),"")</f>
        <v>Sophie Nguyen</v>
      </c>
      <c r="N603" t="s">
        <v>526</v>
      </c>
      <c r="O603" t="str">
        <f>IFERROR(INDEX(Store_Manager!$A$2:$A$5,MATCH(M603,Store_Manager!$B$2:$B$5,0)),"")</f>
        <v>MGR003</v>
      </c>
    </row>
    <row r="604" spans="1:15" ht="15.75" customHeight="1">
      <c r="A604">
        <v>603</v>
      </c>
      <c r="B604" s="2">
        <v>45123</v>
      </c>
      <c r="C604" t="s">
        <v>628</v>
      </c>
      <c r="D604" t="s">
        <v>21</v>
      </c>
      <c r="E604">
        <v>40</v>
      </c>
      <c r="F604" s="3" t="s">
        <v>22</v>
      </c>
      <c r="G604">
        <v>3</v>
      </c>
      <c r="H604" s="4">
        <v>30</v>
      </c>
      <c r="I604" s="4">
        <v>90</v>
      </c>
      <c r="J604" t="s">
        <v>525</v>
      </c>
      <c r="K604" t="str">
        <f>IFERROR(VLOOKUP(F604&amp;"|"&amp;H604,Feature_Mappings!$A$2:$C$16,2,FALSE()),"")</f>
        <v>Graphic T-Shirt</v>
      </c>
      <c r="L604" t="str">
        <f>IFERROR(VLOOKUP(F604&amp;"|"&amp;H604,Feature_Mappings!$A$2:$C$16,3,FALSE()),"")</f>
        <v>ThreadWorks Apparel</v>
      </c>
      <c r="M604" t="str">
        <f>IFERROR(VLOOKUP(J604,Feature_Mappings!$D$2:$E$5,2,FALSE()),"")</f>
        <v>Sophie Nguyen</v>
      </c>
      <c r="N604" t="s">
        <v>526</v>
      </c>
      <c r="O604" t="str">
        <f>IFERROR(INDEX(Store_Manager!$A$2:$A$5,MATCH(M604,Store_Manager!$B$2:$B$5,0)),"")</f>
        <v>MGR003</v>
      </c>
    </row>
    <row r="605" spans="1:15" ht="15.75" customHeight="1">
      <c r="A605">
        <v>604</v>
      </c>
      <c r="B605" s="2">
        <v>45180</v>
      </c>
      <c r="C605" t="s">
        <v>629</v>
      </c>
      <c r="D605" t="s">
        <v>21</v>
      </c>
      <c r="E605">
        <v>29</v>
      </c>
      <c r="F605" s="3" t="s">
        <v>24</v>
      </c>
      <c r="G605">
        <v>4</v>
      </c>
      <c r="H605" s="4">
        <v>50</v>
      </c>
      <c r="I605" s="4">
        <v>200</v>
      </c>
      <c r="J605" t="s">
        <v>525</v>
      </c>
      <c r="K605" t="str">
        <f>IFERROR(VLOOKUP(F605&amp;"|"&amp;H605,Feature_Mappings!$A$2:$C$16,2,FALSE()),"")</f>
        <v>Bluetooth Speaker</v>
      </c>
      <c r="L605" t="str">
        <f>IFERROR(VLOOKUP(F605&amp;"|"&amp;H605,Feature_Mappings!$A$2:$C$16,3,FALSE()),"")</f>
        <v>SoundSphere Supply</v>
      </c>
      <c r="M605" t="str">
        <f>IFERROR(VLOOKUP(J605,Feature_Mappings!$D$2:$E$5,2,FALSE()),"")</f>
        <v>Sophie Nguyen</v>
      </c>
      <c r="N605" t="s">
        <v>526</v>
      </c>
      <c r="O605" t="str">
        <f>IFERROR(INDEX(Store_Manager!$A$2:$A$5,MATCH(M605,Store_Manager!$B$2:$B$5,0)),"")</f>
        <v>MGR003</v>
      </c>
    </row>
    <row r="606" spans="1:15" ht="15.75" customHeight="1">
      <c r="A606">
        <v>605</v>
      </c>
      <c r="B606" s="2">
        <v>45131</v>
      </c>
      <c r="C606" t="s">
        <v>630</v>
      </c>
      <c r="D606" t="s">
        <v>16</v>
      </c>
      <c r="E606">
        <v>37</v>
      </c>
      <c r="F606" s="3" t="s">
        <v>24</v>
      </c>
      <c r="G606">
        <v>2</v>
      </c>
      <c r="H606" s="4">
        <v>500</v>
      </c>
      <c r="I606" s="4">
        <v>1000</v>
      </c>
      <c r="J606" t="s">
        <v>525</v>
      </c>
      <c r="K606" t="str">
        <f>IFERROR(VLOOKUP(F606&amp;"|"&amp;H606,Feature_Mappings!$A$2:$C$16,2,FALSE()),"")</f>
        <v>Smartphone</v>
      </c>
      <c r="L606" t="str">
        <f>IFERROR(VLOOKUP(F606&amp;"|"&amp;H606,Feature_Mappings!$A$2:$C$16,3,FALSE()),"")</f>
        <v>NovaTech Wholesale</v>
      </c>
      <c r="M606" t="str">
        <f>IFERROR(VLOOKUP(J606,Feature_Mappings!$D$2:$E$5,2,FALSE()),"")</f>
        <v>Sophie Nguyen</v>
      </c>
      <c r="N606" t="s">
        <v>526</v>
      </c>
      <c r="O606" t="str">
        <f>IFERROR(INDEX(Store_Manager!$A$2:$A$5,MATCH(M606,Store_Manager!$B$2:$B$5,0)),"")</f>
        <v>MGR003</v>
      </c>
    </row>
    <row r="607" spans="1:15" ht="15.75" customHeight="1">
      <c r="A607">
        <v>606</v>
      </c>
      <c r="B607" s="2">
        <v>45051</v>
      </c>
      <c r="C607" t="s">
        <v>631</v>
      </c>
      <c r="D607" t="s">
        <v>16</v>
      </c>
      <c r="E607">
        <v>22</v>
      </c>
      <c r="F607" s="3" t="s">
        <v>24</v>
      </c>
      <c r="G607">
        <v>1</v>
      </c>
      <c r="H607" s="4">
        <v>50</v>
      </c>
      <c r="I607" s="4">
        <v>50</v>
      </c>
      <c r="J607" t="s">
        <v>525</v>
      </c>
      <c r="K607" t="str">
        <f>IFERROR(VLOOKUP(F607&amp;"|"&amp;H607,Feature_Mappings!$A$2:$C$16,2,FALSE()),"")</f>
        <v>Bluetooth Speaker</v>
      </c>
      <c r="L607" t="str">
        <f>IFERROR(VLOOKUP(F607&amp;"|"&amp;H607,Feature_Mappings!$A$2:$C$16,3,FALSE()),"")</f>
        <v>SoundSphere Supply</v>
      </c>
      <c r="M607" t="str">
        <f>IFERROR(VLOOKUP(J607,Feature_Mappings!$D$2:$E$5,2,FALSE()),"")</f>
        <v>Sophie Nguyen</v>
      </c>
      <c r="N607" t="s">
        <v>526</v>
      </c>
      <c r="O607" t="str">
        <f>IFERROR(INDEX(Store_Manager!$A$2:$A$5,MATCH(M607,Store_Manager!$B$2:$B$5,0)),"")</f>
        <v>MGR003</v>
      </c>
    </row>
    <row r="608" spans="1:15" ht="15.75" customHeight="1">
      <c r="A608">
        <v>607</v>
      </c>
      <c r="B608" s="2">
        <v>45002</v>
      </c>
      <c r="C608" t="s">
        <v>632</v>
      </c>
      <c r="D608" t="s">
        <v>16</v>
      </c>
      <c r="E608">
        <v>54</v>
      </c>
      <c r="F608" s="3" t="s">
        <v>22</v>
      </c>
      <c r="G608">
        <v>3</v>
      </c>
      <c r="H608" s="4">
        <v>25</v>
      </c>
      <c r="I608" s="4">
        <v>75</v>
      </c>
      <c r="J608" t="s">
        <v>525</v>
      </c>
      <c r="K608" t="str">
        <f>IFERROR(VLOOKUP(F608&amp;"|"&amp;H608,Feature_Mappings!$A$2:$C$16,2,FALSE()),"")</f>
        <v>Cotton Socks</v>
      </c>
      <c r="L608" t="str">
        <f>IFERROR(VLOOKUP(F608&amp;"|"&amp;H608,Feature_Mappings!$A$2:$C$16,3,FALSE()),"")</f>
        <v>Urban Basics Co.</v>
      </c>
      <c r="M608" t="str">
        <f>IFERROR(VLOOKUP(J608,Feature_Mappings!$D$2:$E$5,2,FALSE()),"")</f>
        <v>Sophie Nguyen</v>
      </c>
      <c r="N608" t="s">
        <v>526</v>
      </c>
      <c r="O608" t="str">
        <f>IFERROR(INDEX(Store_Manager!$A$2:$A$5,MATCH(M608,Store_Manager!$B$2:$B$5,0)),"")</f>
        <v>MGR003</v>
      </c>
    </row>
    <row r="609" spans="1:15" ht="15.75" customHeight="1">
      <c r="A609">
        <v>608</v>
      </c>
      <c r="B609" s="2">
        <v>45262</v>
      </c>
      <c r="C609" t="s">
        <v>633</v>
      </c>
      <c r="D609" t="s">
        <v>21</v>
      </c>
      <c r="E609">
        <v>55</v>
      </c>
      <c r="F609" s="3" t="s">
        <v>24</v>
      </c>
      <c r="G609">
        <v>3</v>
      </c>
      <c r="H609" s="4">
        <v>500</v>
      </c>
      <c r="I609" s="4">
        <v>1500</v>
      </c>
      <c r="J609" t="s">
        <v>525</v>
      </c>
      <c r="K609" t="str">
        <f>IFERROR(VLOOKUP(F609&amp;"|"&amp;H609,Feature_Mappings!$A$2:$C$16,2,FALSE()),"")</f>
        <v>Smartphone</v>
      </c>
      <c r="L609" t="str">
        <f>IFERROR(VLOOKUP(F609&amp;"|"&amp;H609,Feature_Mappings!$A$2:$C$16,3,FALSE()),"")</f>
        <v>NovaTech Wholesale</v>
      </c>
      <c r="M609" t="str">
        <f>IFERROR(VLOOKUP(J609,Feature_Mappings!$D$2:$E$5,2,FALSE()),"")</f>
        <v>Sophie Nguyen</v>
      </c>
      <c r="N609" t="s">
        <v>526</v>
      </c>
      <c r="O609" t="str">
        <f>IFERROR(INDEX(Store_Manager!$A$2:$A$5,MATCH(M609,Store_Manager!$B$2:$B$5,0)),"")</f>
        <v>MGR003</v>
      </c>
    </row>
    <row r="610" spans="1:15" ht="15.75" customHeight="1">
      <c r="A610">
        <v>609</v>
      </c>
      <c r="B610" s="2">
        <v>45279</v>
      </c>
      <c r="C610" t="s">
        <v>634</v>
      </c>
      <c r="D610" t="s">
        <v>21</v>
      </c>
      <c r="E610">
        <v>47</v>
      </c>
      <c r="F610" s="3" t="s">
        <v>22</v>
      </c>
      <c r="G610">
        <v>2</v>
      </c>
      <c r="H610" s="4">
        <v>50</v>
      </c>
      <c r="I610" s="4">
        <v>100</v>
      </c>
      <c r="J610" t="s">
        <v>525</v>
      </c>
      <c r="K610" t="str">
        <f>IFERROR(VLOOKUP(F610&amp;"|"&amp;H610,Feature_Mappings!$A$2:$C$16,2,FALSE()),"")</f>
        <v>Denim Jeans</v>
      </c>
      <c r="L610" t="str">
        <f>IFERROR(VLOOKUP(F610&amp;"|"&amp;H610,Feature_Mappings!$A$2:$C$16,3,FALSE()),"")</f>
        <v>BlueFit Garments</v>
      </c>
      <c r="M610" t="str">
        <f>IFERROR(VLOOKUP(J610,Feature_Mappings!$D$2:$E$5,2,FALSE()),"")</f>
        <v>Sophie Nguyen</v>
      </c>
      <c r="N610" t="s">
        <v>526</v>
      </c>
      <c r="O610" t="str">
        <f>IFERROR(INDEX(Store_Manager!$A$2:$A$5,MATCH(M610,Store_Manager!$B$2:$B$5,0)),"")</f>
        <v>MGR003</v>
      </c>
    </row>
    <row r="611" spans="1:15" ht="15.75" customHeight="1">
      <c r="A611">
        <v>610</v>
      </c>
      <c r="B611" s="2">
        <v>44929</v>
      </c>
      <c r="C611" t="s">
        <v>635</v>
      </c>
      <c r="D611" t="s">
        <v>21</v>
      </c>
      <c r="E611">
        <v>26</v>
      </c>
      <c r="F611" s="3" t="s">
        <v>17</v>
      </c>
      <c r="G611">
        <v>2</v>
      </c>
      <c r="H611" s="4">
        <v>300</v>
      </c>
      <c r="I611" s="4">
        <v>600</v>
      </c>
      <c r="J611" t="s">
        <v>525</v>
      </c>
      <c r="K611" t="str">
        <f>IFERROR(VLOOKUP(F611&amp;"|"&amp;H611,Feature_Mappings!$A$2:$C$16,2,FALSE()),"")</f>
        <v>Skincare Gift Set</v>
      </c>
      <c r="L611" t="str">
        <f>IFERROR(VLOOKUP(F611&amp;"|"&amp;H611,Feature_Mappings!$A$2:$C$16,3,FALSE()),"")</f>
        <v>Radiant Beauty Wholesale</v>
      </c>
      <c r="M611" t="str">
        <f>IFERROR(VLOOKUP(J611,Feature_Mappings!$D$2:$E$5,2,FALSE()),"")</f>
        <v>Sophie Nguyen</v>
      </c>
      <c r="N611" t="s">
        <v>526</v>
      </c>
      <c r="O611" t="str">
        <f>IFERROR(INDEX(Store_Manager!$A$2:$A$5,MATCH(M611,Store_Manager!$B$2:$B$5,0)),"")</f>
        <v>MGR003</v>
      </c>
    </row>
    <row r="612" spans="1:15" ht="15.75" customHeight="1">
      <c r="A612">
        <v>611</v>
      </c>
      <c r="B612" s="2">
        <v>44981</v>
      </c>
      <c r="C612" t="s">
        <v>636</v>
      </c>
      <c r="D612" t="s">
        <v>16</v>
      </c>
      <c r="E612">
        <v>51</v>
      </c>
      <c r="F612" s="3" t="s">
        <v>17</v>
      </c>
      <c r="G612">
        <v>3</v>
      </c>
      <c r="H612" s="4">
        <v>500</v>
      </c>
      <c r="I612" s="4">
        <v>1500</v>
      </c>
      <c r="J612" t="s">
        <v>525</v>
      </c>
      <c r="K612" t="str">
        <f>IFERROR(VLOOKUP(F612&amp;"|"&amp;H612,Feature_Mappings!$A$2:$C$16,2,FALSE()),"")</f>
        <v>LED Beauty Device</v>
      </c>
      <c r="L612" t="str">
        <f>IFERROR(VLOOKUP(F612&amp;"|"&amp;H612,Feature_Mappings!$A$2:$C$16,3,FALSE()),"")</f>
        <v>BeautyTech Pro</v>
      </c>
      <c r="M612" t="str">
        <f>IFERROR(VLOOKUP(J612,Feature_Mappings!$D$2:$E$5,2,FALSE()),"")</f>
        <v>Sophie Nguyen</v>
      </c>
      <c r="N612" t="s">
        <v>526</v>
      </c>
      <c r="O612" t="str">
        <f>IFERROR(INDEX(Store_Manager!$A$2:$A$5,MATCH(M612,Store_Manager!$B$2:$B$5,0)),"")</f>
        <v>MGR003</v>
      </c>
    </row>
    <row r="613" spans="1:15" ht="15.75" customHeight="1">
      <c r="A613">
        <v>612</v>
      </c>
      <c r="B613" s="2">
        <v>45144</v>
      </c>
      <c r="C613" t="s">
        <v>637</v>
      </c>
      <c r="D613" t="s">
        <v>21</v>
      </c>
      <c r="E613">
        <v>61</v>
      </c>
      <c r="F613" s="3" t="s">
        <v>24</v>
      </c>
      <c r="G613">
        <v>1</v>
      </c>
      <c r="H613" s="4">
        <v>500</v>
      </c>
      <c r="I613" s="4">
        <v>500</v>
      </c>
      <c r="J613" t="s">
        <v>525</v>
      </c>
      <c r="K613" t="str">
        <f>IFERROR(VLOOKUP(F613&amp;"|"&amp;H613,Feature_Mappings!$A$2:$C$16,2,FALSE()),"")</f>
        <v>Smartphone</v>
      </c>
      <c r="L613" t="str">
        <f>IFERROR(VLOOKUP(F613&amp;"|"&amp;H613,Feature_Mappings!$A$2:$C$16,3,FALSE()),"")</f>
        <v>NovaTech Wholesale</v>
      </c>
      <c r="M613" t="str">
        <f>IFERROR(VLOOKUP(J613,Feature_Mappings!$D$2:$E$5,2,FALSE()),"")</f>
        <v>Sophie Nguyen</v>
      </c>
      <c r="N613" t="s">
        <v>526</v>
      </c>
      <c r="O613" t="str">
        <f>IFERROR(INDEX(Store_Manager!$A$2:$A$5,MATCH(M613,Store_Manager!$B$2:$B$5,0)),"")</f>
        <v>MGR003</v>
      </c>
    </row>
    <row r="614" spans="1:15" ht="15.75" customHeight="1">
      <c r="A614">
        <v>613</v>
      </c>
      <c r="B614" s="2">
        <v>45039</v>
      </c>
      <c r="C614" t="s">
        <v>638</v>
      </c>
      <c r="D614" t="s">
        <v>21</v>
      </c>
      <c r="E614">
        <v>52</v>
      </c>
      <c r="F614" s="3" t="s">
        <v>22</v>
      </c>
      <c r="G614">
        <v>3</v>
      </c>
      <c r="H614" s="4">
        <v>30</v>
      </c>
      <c r="I614" s="4">
        <v>90</v>
      </c>
      <c r="J614" t="s">
        <v>525</v>
      </c>
      <c r="K614" t="str">
        <f>IFERROR(VLOOKUP(F614&amp;"|"&amp;H614,Feature_Mappings!$A$2:$C$16,2,FALSE()),"")</f>
        <v>Graphic T-Shirt</v>
      </c>
      <c r="L614" t="str">
        <f>IFERROR(VLOOKUP(F614&amp;"|"&amp;H614,Feature_Mappings!$A$2:$C$16,3,FALSE()),"")</f>
        <v>ThreadWorks Apparel</v>
      </c>
      <c r="M614" t="str">
        <f>IFERROR(VLOOKUP(J614,Feature_Mappings!$D$2:$E$5,2,FALSE()),"")</f>
        <v>Sophie Nguyen</v>
      </c>
      <c r="N614" t="s">
        <v>526</v>
      </c>
      <c r="O614" t="str">
        <f>IFERROR(INDEX(Store_Manager!$A$2:$A$5,MATCH(M614,Store_Manager!$B$2:$B$5,0)),"")</f>
        <v>MGR003</v>
      </c>
    </row>
    <row r="615" spans="1:15" ht="15.75" customHeight="1">
      <c r="A615">
        <v>614</v>
      </c>
      <c r="B615" s="2">
        <v>45017</v>
      </c>
      <c r="C615" t="s">
        <v>639</v>
      </c>
      <c r="D615" t="s">
        <v>21</v>
      </c>
      <c r="E615">
        <v>39</v>
      </c>
      <c r="F615" s="3" t="s">
        <v>17</v>
      </c>
      <c r="G615">
        <v>4</v>
      </c>
      <c r="H615" s="4">
        <v>300</v>
      </c>
      <c r="I615" s="4">
        <v>1200</v>
      </c>
      <c r="J615" t="s">
        <v>525</v>
      </c>
      <c r="K615" t="str">
        <f>IFERROR(VLOOKUP(F615&amp;"|"&amp;H615,Feature_Mappings!$A$2:$C$16,2,FALSE()),"")</f>
        <v>Skincare Gift Set</v>
      </c>
      <c r="L615" t="str">
        <f>IFERROR(VLOOKUP(F615&amp;"|"&amp;H615,Feature_Mappings!$A$2:$C$16,3,FALSE()),"")</f>
        <v>Radiant Beauty Wholesale</v>
      </c>
      <c r="M615" t="str">
        <f>IFERROR(VLOOKUP(J615,Feature_Mappings!$D$2:$E$5,2,FALSE()),"")</f>
        <v>Sophie Nguyen</v>
      </c>
      <c r="N615" t="s">
        <v>526</v>
      </c>
      <c r="O615" t="str">
        <f>IFERROR(INDEX(Store_Manager!$A$2:$A$5,MATCH(M615,Store_Manager!$B$2:$B$5,0)),"")</f>
        <v>MGR003</v>
      </c>
    </row>
    <row r="616" spans="1:15" ht="15.75" customHeight="1">
      <c r="A616">
        <v>615</v>
      </c>
      <c r="B616" s="2">
        <v>45283</v>
      </c>
      <c r="C616" t="s">
        <v>640</v>
      </c>
      <c r="D616" t="s">
        <v>21</v>
      </c>
      <c r="E616">
        <v>61</v>
      </c>
      <c r="F616" s="3" t="s">
        <v>22</v>
      </c>
      <c r="G616">
        <v>4</v>
      </c>
      <c r="H616" s="4">
        <v>25</v>
      </c>
      <c r="I616" s="4">
        <v>100</v>
      </c>
      <c r="J616" t="s">
        <v>525</v>
      </c>
      <c r="K616" t="str">
        <f>IFERROR(VLOOKUP(F616&amp;"|"&amp;H616,Feature_Mappings!$A$2:$C$16,2,FALSE()),"")</f>
        <v>Cotton Socks</v>
      </c>
      <c r="L616" t="str">
        <f>IFERROR(VLOOKUP(F616&amp;"|"&amp;H616,Feature_Mappings!$A$2:$C$16,3,FALSE()),"")</f>
        <v>Urban Basics Co.</v>
      </c>
      <c r="M616" t="str">
        <f>IFERROR(VLOOKUP(J616,Feature_Mappings!$D$2:$E$5,2,FALSE()),"")</f>
        <v>Sophie Nguyen</v>
      </c>
      <c r="N616" t="s">
        <v>526</v>
      </c>
      <c r="O616" t="str">
        <f>IFERROR(INDEX(Store_Manager!$A$2:$A$5,MATCH(M616,Store_Manager!$B$2:$B$5,0)),"")</f>
        <v>MGR003</v>
      </c>
    </row>
    <row r="617" spans="1:15" ht="15.75" customHeight="1">
      <c r="A617">
        <v>616</v>
      </c>
      <c r="B617" s="2">
        <v>45192</v>
      </c>
      <c r="C617" t="s">
        <v>641</v>
      </c>
      <c r="D617" t="s">
        <v>16</v>
      </c>
      <c r="E617">
        <v>41</v>
      </c>
      <c r="F617" s="3" t="s">
        <v>22</v>
      </c>
      <c r="G617">
        <v>2</v>
      </c>
      <c r="H617" s="4">
        <v>50</v>
      </c>
      <c r="I617" s="4">
        <v>100</v>
      </c>
      <c r="J617" t="s">
        <v>525</v>
      </c>
      <c r="K617" t="str">
        <f>IFERROR(VLOOKUP(F617&amp;"|"&amp;H617,Feature_Mappings!$A$2:$C$16,2,FALSE()),"")</f>
        <v>Denim Jeans</v>
      </c>
      <c r="L617" t="str">
        <f>IFERROR(VLOOKUP(F617&amp;"|"&amp;H617,Feature_Mappings!$A$2:$C$16,3,FALSE()),"")</f>
        <v>BlueFit Garments</v>
      </c>
      <c r="M617" t="str">
        <f>IFERROR(VLOOKUP(J617,Feature_Mappings!$D$2:$E$5,2,FALSE()),"")</f>
        <v>Sophie Nguyen</v>
      </c>
      <c r="N617" t="s">
        <v>526</v>
      </c>
      <c r="O617" t="str">
        <f>IFERROR(INDEX(Store_Manager!$A$2:$A$5,MATCH(M617,Store_Manager!$B$2:$B$5,0)),"")</f>
        <v>MGR003</v>
      </c>
    </row>
    <row r="618" spans="1:15" ht="15.75" customHeight="1">
      <c r="A618">
        <v>617</v>
      </c>
      <c r="B618" s="2">
        <v>45164</v>
      </c>
      <c r="C618" t="s">
        <v>642</v>
      </c>
      <c r="D618" t="s">
        <v>16</v>
      </c>
      <c r="E618">
        <v>34</v>
      </c>
      <c r="F618" s="3" t="s">
        <v>24</v>
      </c>
      <c r="G618">
        <v>1</v>
      </c>
      <c r="H618" s="4">
        <v>30</v>
      </c>
      <c r="I618" s="4">
        <v>30</v>
      </c>
      <c r="J618" t="s">
        <v>525</v>
      </c>
      <c r="K618" t="str">
        <f>IFERROR(VLOOKUP(F618&amp;"|"&amp;H618,Feature_Mappings!$A$2:$C$16,2,FALSE()),"")</f>
        <v>Wireless Mouse</v>
      </c>
      <c r="L618" t="str">
        <f>IFERROR(VLOOKUP(F618&amp;"|"&amp;H618,Feature_Mappings!$A$2:$C$16,3,FALSE()),"")</f>
        <v>ByteWave Distributors</v>
      </c>
      <c r="M618" t="str">
        <f>IFERROR(VLOOKUP(J618,Feature_Mappings!$D$2:$E$5,2,FALSE()),"")</f>
        <v>Sophie Nguyen</v>
      </c>
      <c r="N618" t="s">
        <v>526</v>
      </c>
      <c r="O618" t="str">
        <f>IFERROR(INDEX(Store_Manager!$A$2:$A$5,MATCH(M618,Store_Manager!$B$2:$B$5,0)),"")</f>
        <v>MGR003</v>
      </c>
    </row>
    <row r="619" spans="1:15" ht="15.75" customHeight="1">
      <c r="A619">
        <v>618</v>
      </c>
      <c r="B619" s="2">
        <v>44952</v>
      </c>
      <c r="C619" t="s">
        <v>643</v>
      </c>
      <c r="D619" t="s">
        <v>21</v>
      </c>
      <c r="E619">
        <v>27</v>
      </c>
      <c r="F619" s="3" t="s">
        <v>17</v>
      </c>
      <c r="G619">
        <v>1</v>
      </c>
      <c r="H619" s="4">
        <v>50</v>
      </c>
      <c r="I619" s="4">
        <v>50</v>
      </c>
      <c r="J619" t="s">
        <v>525</v>
      </c>
      <c r="K619" t="str">
        <f>IFERROR(VLOOKUP(F619&amp;"|"&amp;H619,Feature_Mappings!$A$2:$C$16,2,FALSE()),"")</f>
        <v>Eau de Parfum</v>
      </c>
      <c r="L619" t="str">
        <f>IFERROR(VLOOKUP(F619&amp;"|"&amp;H619,Feature_Mappings!$A$2:$C$16,3,FALSE()),"")</f>
        <v>Luxe Aroma Labs</v>
      </c>
      <c r="M619" t="str">
        <f>IFERROR(VLOOKUP(J619,Feature_Mappings!$D$2:$E$5,2,FALSE()),"")</f>
        <v>Sophie Nguyen</v>
      </c>
      <c r="N619" t="s">
        <v>526</v>
      </c>
      <c r="O619" t="str">
        <f>IFERROR(INDEX(Store_Manager!$A$2:$A$5,MATCH(M619,Store_Manager!$B$2:$B$5,0)),"")</f>
        <v>MGR003</v>
      </c>
    </row>
    <row r="620" spans="1:15" ht="15.75" customHeight="1">
      <c r="A620">
        <v>619</v>
      </c>
      <c r="B620" s="2">
        <v>45212</v>
      </c>
      <c r="C620" t="s">
        <v>644</v>
      </c>
      <c r="D620" t="s">
        <v>16</v>
      </c>
      <c r="E620">
        <v>47</v>
      </c>
      <c r="F620" s="3" t="s">
        <v>24</v>
      </c>
      <c r="G620">
        <v>4</v>
      </c>
      <c r="H620" s="4">
        <v>25</v>
      </c>
      <c r="I620" s="4">
        <v>100</v>
      </c>
      <c r="J620" t="s">
        <v>525</v>
      </c>
      <c r="K620" t="str">
        <f>IFERROR(VLOOKUP(F620&amp;"|"&amp;H620,Feature_Mappings!$A$2:$C$16,2,FALSE()),"")</f>
        <v>USB-C Charger</v>
      </c>
      <c r="L620" t="str">
        <f>IFERROR(VLOOKUP(F620&amp;"|"&amp;H620,Feature_Mappings!$A$2:$C$16,3,FALSE()),"")</f>
        <v>VoltEdge Electronics</v>
      </c>
      <c r="M620" t="str">
        <f>IFERROR(VLOOKUP(J620,Feature_Mappings!$D$2:$E$5,2,FALSE()),"")</f>
        <v>Sophie Nguyen</v>
      </c>
      <c r="N620" t="s">
        <v>526</v>
      </c>
      <c r="O620" t="str">
        <f>IFERROR(INDEX(Store_Manager!$A$2:$A$5,MATCH(M620,Store_Manager!$B$2:$B$5,0)),"")</f>
        <v>MGR003</v>
      </c>
    </row>
    <row r="621" spans="1:15" ht="15.75" customHeight="1">
      <c r="A621">
        <v>620</v>
      </c>
      <c r="B621" s="2">
        <v>45054</v>
      </c>
      <c r="C621" t="s">
        <v>645</v>
      </c>
      <c r="D621" t="s">
        <v>16</v>
      </c>
      <c r="E621">
        <v>63</v>
      </c>
      <c r="F621" s="3" t="s">
        <v>24</v>
      </c>
      <c r="G621">
        <v>3</v>
      </c>
      <c r="H621" s="4">
        <v>25</v>
      </c>
      <c r="I621" s="4">
        <v>75</v>
      </c>
      <c r="J621" t="s">
        <v>525</v>
      </c>
      <c r="K621" t="str">
        <f>IFERROR(VLOOKUP(F621&amp;"|"&amp;H621,Feature_Mappings!$A$2:$C$16,2,FALSE()),"")</f>
        <v>USB-C Charger</v>
      </c>
      <c r="L621" t="str">
        <f>IFERROR(VLOOKUP(F621&amp;"|"&amp;H621,Feature_Mappings!$A$2:$C$16,3,FALSE()),"")</f>
        <v>VoltEdge Electronics</v>
      </c>
      <c r="M621" t="str">
        <f>IFERROR(VLOOKUP(J621,Feature_Mappings!$D$2:$E$5,2,FALSE()),"")</f>
        <v>Sophie Nguyen</v>
      </c>
      <c r="N621" t="s">
        <v>526</v>
      </c>
      <c r="O621" t="str">
        <f>IFERROR(INDEX(Store_Manager!$A$2:$A$5,MATCH(M621,Store_Manager!$B$2:$B$5,0)),"")</f>
        <v>MGR003</v>
      </c>
    </row>
    <row r="622" spans="1:15" ht="15.75" customHeight="1">
      <c r="A622">
        <v>621</v>
      </c>
      <c r="B622" s="2">
        <v>44989</v>
      </c>
      <c r="C622" t="s">
        <v>646</v>
      </c>
      <c r="D622" t="s">
        <v>21</v>
      </c>
      <c r="E622">
        <v>40</v>
      </c>
      <c r="F622" s="3" t="s">
        <v>17</v>
      </c>
      <c r="G622">
        <v>2</v>
      </c>
      <c r="H622" s="4">
        <v>500</v>
      </c>
      <c r="I622" s="4">
        <v>1000</v>
      </c>
      <c r="J622" t="s">
        <v>525</v>
      </c>
      <c r="K622" t="str">
        <f>IFERROR(VLOOKUP(F622&amp;"|"&amp;H622,Feature_Mappings!$A$2:$C$16,2,FALSE()),"")</f>
        <v>LED Beauty Device</v>
      </c>
      <c r="L622" t="str">
        <f>IFERROR(VLOOKUP(F622&amp;"|"&amp;H622,Feature_Mappings!$A$2:$C$16,3,FALSE()),"")</f>
        <v>BeautyTech Pro</v>
      </c>
      <c r="M622" t="str">
        <f>IFERROR(VLOOKUP(J622,Feature_Mappings!$D$2:$E$5,2,FALSE()),"")</f>
        <v>Sophie Nguyen</v>
      </c>
      <c r="N622" t="s">
        <v>526</v>
      </c>
      <c r="O622" t="str">
        <f>IFERROR(INDEX(Store_Manager!$A$2:$A$5,MATCH(M622,Store_Manager!$B$2:$B$5,0)),"")</f>
        <v>MGR003</v>
      </c>
    </row>
    <row r="623" spans="1:15" ht="15.75" customHeight="1">
      <c r="A623">
        <v>622</v>
      </c>
      <c r="B623" s="2">
        <v>45160</v>
      </c>
      <c r="C623" t="s">
        <v>647</v>
      </c>
      <c r="D623" t="s">
        <v>21</v>
      </c>
      <c r="E623">
        <v>49</v>
      </c>
      <c r="F623" s="3" t="s">
        <v>17</v>
      </c>
      <c r="G623">
        <v>3</v>
      </c>
      <c r="H623" s="4">
        <v>25</v>
      </c>
      <c r="I623" s="4">
        <v>75</v>
      </c>
      <c r="J623" t="s">
        <v>525</v>
      </c>
      <c r="K623" t="str">
        <f>IFERROR(VLOOKUP(F623&amp;"|"&amp;H623,Feature_Mappings!$A$2:$C$16,2,FALSE()),"")</f>
        <v>Lip Balm</v>
      </c>
      <c r="L623" t="str">
        <f>IFERROR(VLOOKUP(F623&amp;"|"&amp;H623,Feature_Mappings!$A$2:$C$16,3,FALSE()),"")</f>
        <v>GlowSource Cosmetics</v>
      </c>
      <c r="M623" t="str">
        <f>IFERROR(VLOOKUP(J623,Feature_Mappings!$D$2:$E$5,2,FALSE()),"")</f>
        <v>Sophie Nguyen</v>
      </c>
      <c r="N623" t="s">
        <v>526</v>
      </c>
      <c r="O623" t="str">
        <f>IFERROR(INDEX(Store_Manager!$A$2:$A$5,MATCH(M623,Store_Manager!$B$2:$B$5,0)),"")</f>
        <v>MGR003</v>
      </c>
    </row>
    <row r="624" spans="1:15" ht="15.75" customHeight="1">
      <c r="A624">
        <v>623</v>
      </c>
      <c r="B624" s="2">
        <v>44995</v>
      </c>
      <c r="C624" t="s">
        <v>648</v>
      </c>
      <c r="D624" t="s">
        <v>16</v>
      </c>
      <c r="E624">
        <v>34</v>
      </c>
      <c r="F624" s="3" t="s">
        <v>22</v>
      </c>
      <c r="G624">
        <v>3</v>
      </c>
      <c r="H624" s="4">
        <v>50</v>
      </c>
      <c r="I624" s="4">
        <v>150</v>
      </c>
      <c r="J624" t="s">
        <v>525</v>
      </c>
      <c r="K624" t="str">
        <f>IFERROR(VLOOKUP(F624&amp;"|"&amp;H624,Feature_Mappings!$A$2:$C$16,2,FALSE()),"")</f>
        <v>Denim Jeans</v>
      </c>
      <c r="L624" t="str">
        <f>IFERROR(VLOOKUP(F624&amp;"|"&amp;H624,Feature_Mappings!$A$2:$C$16,3,FALSE()),"")</f>
        <v>BlueFit Garments</v>
      </c>
      <c r="M624" t="str">
        <f>IFERROR(VLOOKUP(J624,Feature_Mappings!$D$2:$E$5,2,FALSE()),"")</f>
        <v>Sophie Nguyen</v>
      </c>
      <c r="N624" t="s">
        <v>526</v>
      </c>
      <c r="O624" t="str">
        <f>IFERROR(INDEX(Store_Manager!$A$2:$A$5,MATCH(M624,Store_Manager!$B$2:$B$5,0)),"")</f>
        <v>MGR003</v>
      </c>
    </row>
    <row r="625" spans="1:15" ht="15.75" customHeight="1">
      <c r="A625">
        <v>624</v>
      </c>
      <c r="B625" s="2">
        <v>45164</v>
      </c>
      <c r="C625" t="s">
        <v>649</v>
      </c>
      <c r="D625" t="s">
        <v>21</v>
      </c>
      <c r="E625">
        <v>34</v>
      </c>
      <c r="F625" s="3" t="s">
        <v>17</v>
      </c>
      <c r="G625">
        <v>3</v>
      </c>
      <c r="H625" s="4">
        <v>300</v>
      </c>
      <c r="I625" s="4">
        <v>900</v>
      </c>
      <c r="J625" t="s">
        <v>525</v>
      </c>
      <c r="K625" t="str">
        <f>IFERROR(VLOOKUP(F625&amp;"|"&amp;H625,Feature_Mappings!$A$2:$C$16,2,FALSE()),"")</f>
        <v>Skincare Gift Set</v>
      </c>
      <c r="L625" t="str">
        <f>IFERROR(VLOOKUP(F625&amp;"|"&amp;H625,Feature_Mappings!$A$2:$C$16,3,FALSE()),"")</f>
        <v>Radiant Beauty Wholesale</v>
      </c>
      <c r="M625" t="str">
        <f>IFERROR(VLOOKUP(J625,Feature_Mappings!$D$2:$E$5,2,FALSE()),"")</f>
        <v>Sophie Nguyen</v>
      </c>
      <c r="N625" t="s">
        <v>526</v>
      </c>
      <c r="O625" t="str">
        <f>IFERROR(INDEX(Store_Manager!$A$2:$A$5,MATCH(M625,Store_Manager!$B$2:$B$5,0)),"")</f>
        <v>MGR003</v>
      </c>
    </row>
    <row r="626" spans="1:15" ht="15.75" customHeight="1">
      <c r="A626">
        <v>625</v>
      </c>
      <c r="B626" s="2">
        <v>45268</v>
      </c>
      <c r="C626" t="s">
        <v>650</v>
      </c>
      <c r="D626" t="s">
        <v>16</v>
      </c>
      <c r="E626">
        <v>31</v>
      </c>
      <c r="F626" s="3" t="s">
        <v>22</v>
      </c>
      <c r="G626">
        <v>1</v>
      </c>
      <c r="H626" s="4">
        <v>300</v>
      </c>
      <c r="I626" s="4">
        <v>300</v>
      </c>
      <c r="J626" t="s">
        <v>525</v>
      </c>
      <c r="K626" t="str">
        <f>IFERROR(VLOOKUP(F626&amp;"|"&amp;H626,Feature_Mappings!$A$2:$C$16,2,FALSE()),"")</f>
        <v>Leather Jacket</v>
      </c>
      <c r="L626" t="str">
        <f>IFERROR(VLOOKUP(F626&amp;"|"&amp;H626,Feature_Mappings!$A$2:$C$16,3,FALSE()),"")</f>
        <v>Metro Style Manufacturing</v>
      </c>
      <c r="M626" t="str">
        <f>IFERROR(VLOOKUP(J626,Feature_Mappings!$D$2:$E$5,2,FALSE()),"")</f>
        <v>Sophie Nguyen</v>
      </c>
      <c r="N626" t="s">
        <v>526</v>
      </c>
      <c r="O626" t="str">
        <f>IFERROR(INDEX(Store_Manager!$A$2:$A$5,MATCH(M626,Store_Manager!$B$2:$B$5,0)),"")</f>
        <v>MGR003</v>
      </c>
    </row>
    <row r="627" spans="1:15" ht="15.75" customHeight="1">
      <c r="A627">
        <v>626</v>
      </c>
      <c r="B627" s="2">
        <v>45198</v>
      </c>
      <c r="C627" t="s">
        <v>651</v>
      </c>
      <c r="D627" t="s">
        <v>21</v>
      </c>
      <c r="E627">
        <v>26</v>
      </c>
      <c r="F627" s="3" t="s">
        <v>22</v>
      </c>
      <c r="G627">
        <v>4</v>
      </c>
      <c r="H627" s="4">
        <v>500</v>
      </c>
      <c r="I627" s="4">
        <v>2000</v>
      </c>
      <c r="J627" t="s">
        <v>525</v>
      </c>
      <c r="K627" t="str">
        <f>IFERROR(VLOOKUP(F627&amp;"|"&amp;H627,Feature_Mappings!$A$2:$C$16,2,FALSE()),"")</f>
        <v>Designer Coat</v>
      </c>
      <c r="L627" t="str">
        <f>IFERROR(VLOOKUP(F627&amp;"|"&amp;H627,Feature_Mappings!$A$2:$C$16,3,FALSE()),"")</f>
        <v>Prestige Fashion House</v>
      </c>
      <c r="M627" t="str">
        <f>IFERROR(VLOOKUP(J627,Feature_Mappings!$D$2:$E$5,2,FALSE()),"")</f>
        <v>Sophie Nguyen</v>
      </c>
      <c r="N627" t="s">
        <v>526</v>
      </c>
      <c r="O627" t="str">
        <f>IFERROR(INDEX(Store_Manager!$A$2:$A$5,MATCH(M627,Store_Manager!$B$2:$B$5,0)),"")</f>
        <v>MGR003</v>
      </c>
    </row>
    <row r="628" spans="1:15" ht="15.75" customHeight="1">
      <c r="A628">
        <v>627</v>
      </c>
      <c r="B628" s="2">
        <v>45213</v>
      </c>
      <c r="C628" t="s">
        <v>652</v>
      </c>
      <c r="D628" t="s">
        <v>16</v>
      </c>
      <c r="E628">
        <v>57</v>
      </c>
      <c r="F628" s="3" t="s">
        <v>22</v>
      </c>
      <c r="G628">
        <v>1</v>
      </c>
      <c r="H628" s="4">
        <v>50</v>
      </c>
      <c r="I628" s="4">
        <v>50</v>
      </c>
      <c r="J628" t="s">
        <v>525</v>
      </c>
      <c r="K628" t="str">
        <f>IFERROR(VLOOKUP(F628&amp;"|"&amp;H628,Feature_Mappings!$A$2:$C$16,2,FALSE()),"")</f>
        <v>Denim Jeans</v>
      </c>
      <c r="L628" t="str">
        <f>IFERROR(VLOOKUP(F628&amp;"|"&amp;H628,Feature_Mappings!$A$2:$C$16,3,FALSE()),"")</f>
        <v>BlueFit Garments</v>
      </c>
      <c r="M628" t="str">
        <f>IFERROR(VLOOKUP(J628,Feature_Mappings!$D$2:$E$5,2,FALSE()),"")</f>
        <v>Sophie Nguyen</v>
      </c>
      <c r="N628" t="s">
        <v>526</v>
      </c>
      <c r="O628" t="str">
        <f>IFERROR(INDEX(Store_Manager!$A$2:$A$5,MATCH(M628,Store_Manager!$B$2:$B$5,0)),"")</f>
        <v>MGR003</v>
      </c>
    </row>
    <row r="629" spans="1:15" ht="15.75" customHeight="1">
      <c r="A629">
        <v>628</v>
      </c>
      <c r="B629" s="2">
        <v>45231</v>
      </c>
      <c r="C629" t="s">
        <v>653</v>
      </c>
      <c r="D629" t="s">
        <v>21</v>
      </c>
      <c r="E629">
        <v>19</v>
      </c>
      <c r="F629" s="3" t="s">
        <v>17</v>
      </c>
      <c r="G629">
        <v>4</v>
      </c>
      <c r="H629" s="4">
        <v>50</v>
      </c>
      <c r="I629" s="4">
        <v>200</v>
      </c>
      <c r="J629" t="s">
        <v>525</v>
      </c>
      <c r="K629" t="str">
        <f>IFERROR(VLOOKUP(F629&amp;"|"&amp;H629,Feature_Mappings!$A$2:$C$16,2,FALSE()),"")</f>
        <v>Eau de Parfum</v>
      </c>
      <c r="L629" t="str">
        <f>IFERROR(VLOOKUP(F629&amp;"|"&amp;H629,Feature_Mappings!$A$2:$C$16,3,FALSE()),"")</f>
        <v>Luxe Aroma Labs</v>
      </c>
      <c r="M629" t="str">
        <f>IFERROR(VLOOKUP(J629,Feature_Mappings!$D$2:$E$5,2,FALSE()),"")</f>
        <v>Sophie Nguyen</v>
      </c>
      <c r="N629" t="s">
        <v>526</v>
      </c>
      <c r="O629" t="str">
        <f>IFERROR(INDEX(Store_Manager!$A$2:$A$5,MATCH(M629,Store_Manager!$B$2:$B$5,0)),"")</f>
        <v>MGR003</v>
      </c>
    </row>
    <row r="630" spans="1:15" ht="15.75" customHeight="1">
      <c r="A630">
        <v>629</v>
      </c>
      <c r="B630" s="2">
        <v>45089</v>
      </c>
      <c r="C630" t="s">
        <v>654</v>
      </c>
      <c r="D630" t="s">
        <v>16</v>
      </c>
      <c r="E630">
        <v>62</v>
      </c>
      <c r="F630" s="3" t="s">
        <v>24</v>
      </c>
      <c r="G630">
        <v>2</v>
      </c>
      <c r="H630" s="4">
        <v>25</v>
      </c>
      <c r="I630" s="4">
        <v>50</v>
      </c>
      <c r="J630" t="s">
        <v>525</v>
      </c>
      <c r="K630" t="str">
        <f>IFERROR(VLOOKUP(F630&amp;"|"&amp;H630,Feature_Mappings!$A$2:$C$16,2,FALSE()),"")</f>
        <v>USB-C Charger</v>
      </c>
      <c r="L630" t="str">
        <f>IFERROR(VLOOKUP(F630&amp;"|"&amp;H630,Feature_Mappings!$A$2:$C$16,3,FALSE()),"")</f>
        <v>VoltEdge Electronics</v>
      </c>
      <c r="M630" t="str">
        <f>IFERROR(VLOOKUP(J630,Feature_Mappings!$D$2:$E$5,2,FALSE()),"")</f>
        <v>Sophie Nguyen</v>
      </c>
      <c r="N630" t="s">
        <v>526</v>
      </c>
      <c r="O630" t="str">
        <f>IFERROR(INDEX(Store_Manager!$A$2:$A$5,MATCH(M630,Store_Manager!$B$2:$B$5,0)),"")</f>
        <v>MGR003</v>
      </c>
    </row>
    <row r="631" spans="1:15" ht="15.75" customHeight="1">
      <c r="A631">
        <v>630</v>
      </c>
      <c r="B631" s="2">
        <v>45153</v>
      </c>
      <c r="C631" t="s">
        <v>655</v>
      </c>
      <c r="D631" t="s">
        <v>16</v>
      </c>
      <c r="E631">
        <v>42</v>
      </c>
      <c r="F631" s="3" t="s">
        <v>22</v>
      </c>
      <c r="G631">
        <v>2</v>
      </c>
      <c r="H631" s="4">
        <v>50</v>
      </c>
      <c r="I631" s="4">
        <v>100</v>
      </c>
      <c r="J631" t="s">
        <v>525</v>
      </c>
      <c r="K631" t="str">
        <f>IFERROR(VLOOKUP(F631&amp;"|"&amp;H631,Feature_Mappings!$A$2:$C$16,2,FALSE()),"")</f>
        <v>Denim Jeans</v>
      </c>
      <c r="L631" t="str">
        <f>IFERROR(VLOOKUP(F631&amp;"|"&amp;H631,Feature_Mappings!$A$2:$C$16,3,FALSE()),"")</f>
        <v>BlueFit Garments</v>
      </c>
      <c r="M631" t="str">
        <f>IFERROR(VLOOKUP(J631,Feature_Mappings!$D$2:$E$5,2,FALSE()),"")</f>
        <v>Sophie Nguyen</v>
      </c>
      <c r="N631" t="s">
        <v>526</v>
      </c>
      <c r="O631" t="str">
        <f>IFERROR(INDEX(Store_Manager!$A$2:$A$5,MATCH(M631,Store_Manager!$B$2:$B$5,0)),"")</f>
        <v>MGR003</v>
      </c>
    </row>
    <row r="632" spans="1:15" ht="15.75" customHeight="1">
      <c r="A632">
        <v>631</v>
      </c>
      <c r="B632" s="2">
        <v>45240</v>
      </c>
      <c r="C632" t="s">
        <v>656</v>
      </c>
      <c r="D632" t="s">
        <v>16</v>
      </c>
      <c r="E632">
        <v>56</v>
      </c>
      <c r="F632" s="3" t="s">
        <v>24</v>
      </c>
      <c r="G632">
        <v>3</v>
      </c>
      <c r="H632" s="4">
        <v>30</v>
      </c>
      <c r="I632" s="4">
        <v>90</v>
      </c>
      <c r="J632" t="s">
        <v>525</v>
      </c>
      <c r="K632" t="str">
        <f>IFERROR(VLOOKUP(F632&amp;"|"&amp;H632,Feature_Mappings!$A$2:$C$16,2,FALSE()),"")</f>
        <v>Wireless Mouse</v>
      </c>
      <c r="L632" t="str">
        <f>IFERROR(VLOOKUP(F632&amp;"|"&amp;H632,Feature_Mappings!$A$2:$C$16,3,FALSE()),"")</f>
        <v>ByteWave Distributors</v>
      </c>
      <c r="M632" t="str">
        <f>IFERROR(VLOOKUP(J632,Feature_Mappings!$D$2:$E$5,2,FALSE()),"")</f>
        <v>Sophie Nguyen</v>
      </c>
      <c r="N632" t="s">
        <v>526</v>
      </c>
      <c r="O632" t="str">
        <f>IFERROR(INDEX(Store_Manager!$A$2:$A$5,MATCH(M632,Store_Manager!$B$2:$B$5,0)),"")</f>
        <v>MGR003</v>
      </c>
    </row>
    <row r="633" spans="1:15" ht="15.75" customHeight="1">
      <c r="A633">
        <v>632</v>
      </c>
      <c r="B633" s="2">
        <v>45185</v>
      </c>
      <c r="C633" t="s">
        <v>657</v>
      </c>
      <c r="D633" t="s">
        <v>21</v>
      </c>
      <c r="E633">
        <v>26</v>
      </c>
      <c r="F633" s="3" t="s">
        <v>24</v>
      </c>
      <c r="G633">
        <v>4</v>
      </c>
      <c r="H633" s="4">
        <v>25</v>
      </c>
      <c r="I633" s="4">
        <v>100</v>
      </c>
      <c r="J633" t="s">
        <v>525</v>
      </c>
      <c r="K633" t="str">
        <f>IFERROR(VLOOKUP(F633&amp;"|"&amp;H633,Feature_Mappings!$A$2:$C$16,2,FALSE()),"")</f>
        <v>USB-C Charger</v>
      </c>
      <c r="L633" t="str">
        <f>IFERROR(VLOOKUP(F633&amp;"|"&amp;H633,Feature_Mappings!$A$2:$C$16,3,FALSE()),"")</f>
        <v>VoltEdge Electronics</v>
      </c>
      <c r="M633" t="str">
        <f>IFERROR(VLOOKUP(J633,Feature_Mappings!$D$2:$E$5,2,FALSE()),"")</f>
        <v>Sophie Nguyen</v>
      </c>
      <c r="N633" t="s">
        <v>526</v>
      </c>
      <c r="O633" t="str">
        <f>IFERROR(INDEX(Store_Manager!$A$2:$A$5,MATCH(M633,Store_Manager!$B$2:$B$5,0)),"")</f>
        <v>MGR003</v>
      </c>
    </row>
    <row r="634" spans="1:15" ht="15.75" customHeight="1">
      <c r="A634">
        <v>633</v>
      </c>
      <c r="B634" s="2">
        <v>45145</v>
      </c>
      <c r="C634" t="s">
        <v>658</v>
      </c>
      <c r="D634" t="s">
        <v>16</v>
      </c>
      <c r="E634">
        <v>39</v>
      </c>
      <c r="F634" s="3" t="s">
        <v>17</v>
      </c>
      <c r="G634">
        <v>4</v>
      </c>
      <c r="H634" s="4">
        <v>30</v>
      </c>
      <c r="I634" s="4">
        <v>120</v>
      </c>
      <c r="J634" t="s">
        <v>525</v>
      </c>
      <c r="K634" t="str">
        <f>IFERROR(VLOOKUP(F634&amp;"|"&amp;H634,Feature_Mappings!$A$2:$C$16,2,FALSE()),"")</f>
        <v>Facial Cleanser</v>
      </c>
      <c r="L634" t="str">
        <f>IFERROR(VLOOKUP(F634&amp;"|"&amp;H634,Feature_Mappings!$A$2:$C$16,3,FALSE()),"")</f>
        <v>PureDerma Supplies</v>
      </c>
      <c r="M634" t="str">
        <f>IFERROR(VLOOKUP(J634,Feature_Mappings!$D$2:$E$5,2,FALSE()),"")</f>
        <v>Sophie Nguyen</v>
      </c>
      <c r="N634" t="s">
        <v>526</v>
      </c>
      <c r="O634" t="str">
        <f>IFERROR(INDEX(Store_Manager!$A$2:$A$5,MATCH(M634,Store_Manager!$B$2:$B$5,0)),"")</f>
        <v>MGR003</v>
      </c>
    </row>
    <row r="635" spans="1:15" ht="15.75" customHeight="1">
      <c r="A635">
        <v>634</v>
      </c>
      <c r="B635" s="2">
        <v>45207</v>
      </c>
      <c r="C635" t="s">
        <v>659</v>
      </c>
      <c r="D635" t="s">
        <v>16</v>
      </c>
      <c r="E635">
        <v>60</v>
      </c>
      <c r="F635" s="3" t="s">
        <v>24</v>
      </c>
      <c r="G635">
        <v>4</v>
      </c>
      <c r="H635" s="4">
        <v>500</v>
      </c>
      <c r="I635" s="4">
        <v>2000</v>
      </c>
      <c r="J635" t="s">
        <v>525</v>
      </c>
      <c r="K635" t="str">
        <f>IFERROR(VLOOKUP(F635&amp;"|"&amp;H635,Feature_Mappings!$A$2:$C$16,2,FALSE()),"")</f>
        <v>Smartphone</v>
      </c>
      <c r="L635" t="str">
        <f>IFERROR(VLOOKUP(F635&amp;"|"&amp;H635,Feature_Mappings!$A$2:$C$16,3,FALSE()),"")</f>
        <v>NovaTech Wholesale</v>
      </c>
      <c r="M635" t="str">
        <f>IFERROR(VLOOKUP(J635,Feature_Mappings!$D$2:$E$5,2,FALSE()),"")</f>
        <v>Sophie Nguyen</v>
      </c>
      <c r="N635" t="s">
        <v>526</v>
      </c>
      <c r="O635" t="str">
        <f>IFERROR(INDEX(Store_Manager!$A$2:$A$5,MATCH(M635,Store_Manager!$B$2:$B$5,0)),"")</f>
        <v>MGR003</v>
      </c>
    </row>
    <row r="636" spans="1:15" ht="15.75" customHeight="1">
      <c r="A636">
        <v>635</v>
      </c>
      <c r="B636" s="2">
        <v>45155</v>
      </c>
      <c r="C636" t="s">
        <v>660</v>
      </c>
      <c r="D636" t="s">
        <v>21</v>
      </c>
      <c r="E636">
        <v>63</v>
      </c>
      <c r="F636" s="3" t="s">
        <v>24</v>
      </c>
      <c r="G636">
        <v>3</v>
      </c>
      <c r="H636" s="4">
        <v>300</v>
      </c>
      <c r="I636" s="4">
        <v>900</v>
      </c>
      <c r="J636" t="s">
        <v>525</v>
      </c>
      <c r="K636" t="str">
        <f>IFERROR(VLOOKUP(F636&amp;"|"&amp;H636,Feature_Mappings!$A$2:$C$16,2,FALSE()),"")</f>
        <v>Tablet</v>
      </c>
      <c r="L636" t="str">
        <f>IFERROR(VLOOKUP(F636&amp;"|"&amp;H636,Feature_Mappings!$A$2:$C$16,3,FALSE()),"")</f>
        <v>NextGen Devices</v>
      </c>
      <c r="M636" t="str">
        <f>IFERROR(VLOOKUP(J636,Feature_Mappings!$D$2:$E$5,2,FALSE()),"")</f>
        <v>Sophie Nguyen</v>
      </c>
      <c r="N636" t="s">
        <v>526</v>
      </c>
      <c r="O636" t="str">
        <f>IFERROR(INDEX(Store_Manager!$A$2:$A$5,MATCH(M636,Store_Manager!$B$2:$B$5,0)),"")</f>
        <v>MGR003</v>
      </c>
    </row>
    <row r="637" spans="1:15" ht="15.75" customHeight="1">
      <c r="A637">
        <v>636</v>
      </c>
      <c r="B637" s="2">
        <v>45008</v>
      </c>
      <c r="C637" t="s">
        <v>661</v>
      </c>
      <c r="D637" t="s">
        <v>21</v>
      </c>
      <c r="E637">
        <v>21</v>
      </c>
      <c r="F637" s="3" t="s">
        <v>17</v>
      </c>
      <c r="G637">
        <v>3</v>
      </c>
      <c r="H637" s="4">
        <v>500</v>
      </c>
      <c r="I637" s="4">
        <v>1500</v>
      </c>
      <c r="J637" t="s">
        <v>525</v>
      </c>
      <c r="K637" t="str">
        <f>IFERROR(VLOOKUP(F637&amp;"|"&amp;H637,Feature_Mappings!$A$2:$C$16,2,FALSE()),"")</f>
        <v>LED Beauty Device</v>
      </c>
      <c r="L637" t="str">
        <f>IFERROR(VLOOKUP(F637&amp;"|"&amp;H637,Feature_Mappings!$A$2:$C$16,3,FALSE()),"")</f>
        <v>BeautyTech Pro</v>
      </c>
      <c r="M637" t="str">
        <f>IFERROR(VLOOKUP(J637,Feature_Mappings!$D$2:$E$5,2,FALSE()),"")</f>
        <v>Sophie Nguyen</v>
      </c>
      <c r="N637" t="s">
        <v>526</v>
      </c>
      <c r="O637" t="str">
        <f>IFERROR(INDEX(Store_Manager!$A$2:$A$5,MATCH(M637,Store_Manager!$B$2:$B$5,0)),"")</f>
        <v>MGR003</v>
      </c>
    </row>
    <row r="638" spans="1:15" ht="15.75" customHeight="1">
      <c r="A638">
        <v>637</v>
      </c>
      <c r="B638" s="2">
        <v>45170</v>
      </c>
      <c r="C638" t="s">
        <v>662</v>
      </c>
      <c r="D638" t="s">
        <v>16</v>
      </c>
      <c r="E638">
        <v>43</v>
      </c>
      <c r="F638" s="3" t="s">
        <v>22</v>
      </c>
      <c r="G638">
        <v>2</v>
      </c>
      <c r="H638" s="4">
        <v>300</v>
      </c>
      <c r="I638" s="4">
        <v>600</v>
      </c>
      <c r="J638" t="s">
        <v>525</v>
      </c>
      <c r="K638" t="str">
        <f>IFERROR(VLOOKUP(F638&amp;"|"&amp;H638,Feature_Mappings!$A$2:$C$16,2,FALSE()),"")</f>
        <v>Leather Jacket</v>
      </c>
      <c r="L638" t="str">
        <f>IFERROR(VLOOKUP(F638&amp;"|"&amp;H638,Feature_Mappings!$A$2:$C$16,3,FALSE()),"")</f>
        <v>Metro Style Manufacturing</v>
      </c>
      <c r="M638" t="str">
        <f>IFERROR(VLOOKUP(J638,Feature_Mappings!$D$2:$E$5,2,FALSE()),"")</f>
        <v>Sophie Nguyen</v>
      </c>
      <c r="N638" t="s">
        <v>526</v>
      </c>
      <c r="O638" t="str">
        <f>IFERROR(INDEX(Store_Manager!$A$2:$A$5,MATCH(M638,Store_Manager!$B$2:$B$5,0)),"")</f>
        <v>MGR003</v>
      </c>
    </row>
    <row r="639" spans="1:15" ht="15.75" customHeight="1">
      <c r="A639">
        <v>638</v>
      </c>
      <c r="B639" s="2">
        <v>45157</v>
      </c>
      <c r="C639" t="s">
        <v>663</v>
      </c>
      <c r="D639" t="s">
        <v>16</v>
      </c>
      <c r="E639">
        <v>46</v>
      </c>
      <c r="F639" s="3" t="s">
        <v>24</v>
      </c>
      <c r="G639">
        <v>1</v>
      </c>
      <c r="H639" s="4">
        <v>500</v>
      </c>
      <c r="I639" s="4">
        <v>500</v>
      </c>
      <c r="J639" t="s">
        <v>525</v>
      </c>
      <c r="K639" t="str">
        <f>IFERROR(VLOOKUP(F639&amp;"|"&amp;H639,Feature_Mappings!$A$2:$C$16,2,FALSE()),"")</f>
        <v>Smartphone</v>
      </c>
      <c r="L639" t="str">
        <f>IFERROR(VLOOKUP(F639&amp;"|"&amp;H639,Feature_Mappings!$A$2:$C$16,3,FALSE()),"")</f>
        <v>NovaTech Wholesale</v>
      </c>
      <c r="M639" t="str">
        <f>IFERROR(VLOOKUP(J639,Feature_Mappings!$D$2:$E$5,2,FALSE()),"")</f>
        <v>Sophie Nguyen</v>
      </c>
      <c r="N639" t="s">
        <v>526</v>
      </c>
      <c r="O639" t="str">
        <f>IFERROR(INDEX(Store_Manager!$A$2:$A$5,MATCH(M639,Store_Manager!$B$2:$B$5,0)),"")</f>
        <v>MGR003</v>
      </c>
    </row>
    <row r="640" spans="1:15" ht="15.75" customHeight="1">
      <c r="A640">
        <v>639</v>
      </c>
      <c r="B640" s="2">
        <v>45059</v>
      </c>
      <c r="C640" t="s">
        <v>664</v>
      </c>
      <c r="D640" t="s">
        <v>21</v>
      </c>
      <c r="E640">
        <v>62</v>
      </c>
      <c r="F640" s="3" t="s">
        <v>17</v>
      </c>
      <c r="G640">
        <v>4</v>
      </c>
      <c r="H640" s="4">
        <v>50</v>
      </c>
      <c r="I640" s="4">
        <v>200</v>
      </c>
      <c r="J640" t="s">
        <v>525</v>
      </c>
      <c r="K640" t="str">
        <f>IFERROR(VLOOKUP(F640&amp;"|"&amp;H640,Feature_Mappings!$A$2:$C$16,2,FALSE()),"")</f>
        <v>Eau de Parfum</v>
      </c>
      <c r="L640" t="str">
        <f>IFERROR(VLOOKUP(F640&amp;"|"&amp;H640,Feature_Mappings!$A$2:$C$16,3,FALSE()),"")</f>
        <v>Luxe Aroma Labs</v>
      </c>
      <c r="M640" t="str">
        <f>IFERROR(VLOOKUP(J640,Feature_Mappings!$D$2:$E$5,2,FALSE()),"")</f>
        <v>Sophie Nguyen</v>
      </c>
      <c r="N640" t="s">
        <v>526</v>
      </c>
      <c r="O640" t="str">
        <f>IFERROR(INDEX(Store_Manager!$A$2:$A$5,MATCH(M640,Store_Manager!$B$2:$B$5,0)),"")</f>
        <v>MGR003</v>
      </c>
    </row>
    <row r="641" spans="1:15" ht="15.75" customHeight="1">
      <c r="A641">
        <v>640</v>
      </c>
      <c r="B641" s="2">
        <v>45053</v>
      </c>
      <c r="C641" t="s">
        <v>665</v>
      </c>
      <c r="D641" t="s">
        <v>21</v>
      </c>
      <c r="E641">
        <v>51</v>
      </c>
      <c r="F641" s="3" t="s">
        <v>24</v>
      </c>
      <c r="G641">
        <v>4</v>
      </c>
      <c r="H641" s="4">
        <v>30</v>
      </c>
      <c r="I641" s="4">
        <v>120</v>
      </c>
      <c r="J641" t="s">
        <v>525</v>
      </c>
      <c r="K641" t="str">
        <f>IFERROR(VLOOKUP(F641&amp;"|"&amp;H641,Feature_Mappings!$A$2:$C$16,2,FALSE()),"")</f>
        <v>Wireless Mouse</v>
      </c>
      <c r="L641" t="str">
        <f>IFERROR(VLOOKUP(F641&amp;"|"&amp;H641,Feature_Mappings!$A$2:$C$16,3,FALSE()),"")</f>
        <v>ByteWave Distributors</v>
      </c>
      <c r="M641" t="str">
        <f>IFERROR(VLOOKUP(J641,Feature_Mappings!$D$2:$E$5,2,FALSE()),"")</f>
        <v>Sophie Nguyen</v>
      </c>
      <c r="N641" t="s">
        <v>526</v>
      </c>
      <c r="O641" t="str">
        <f>IFERROR(INDEX(Store_Manager!$A$2:$A$5,MATCH(M641,Store_Manager!$B$2:$B$5,0)),"")</f>
        <v>MGR003</v>
      </c>
    </row>
    <row r="642" spans="1:15" ht="15.75" customHeight="1">
      <c r="A642">
        <v>641</v>
      </c>
      <c r="B642" s="2">
        <v>45253</v>
      </c>
      <c r="C642" t="s">
        <v>666</v>
      </c>
      <c r="D642" t="s">
        <v>21</v>
      </c>
      <c r="E642">
        <v>40</v>
      </c>
      <c r="F642" s="3" t="s">
        <v>24</v>
      </c>
      <c r="G642">
        <v>1</v>
      </c>
      <c r="H642" s="4">
        <v>300</v>
      </c>
      <c r="I642" s="4">
        <v>300</v>
      </c>
      <c r="J642" t="s">
        <v>525</v>
      </c>
      <c r="K642" t="str">
        <f>IFERROR(VLOOKUP(F642&amp;"|"&amp;H642,Feature_Mappings!$A$2:$C$16,2,FALSE()),"")</f>
        <v>Tablet</v>
      </c>
      <c r="L642" t="str">
        <f>IFERROR(VLOOKUP(F642&amp;"|"&amp;H642,Feature_Mappings!$A$2:$C$16,3,FALSE()),"")</f>
        <v>NextGen Devices</v>
      </c>
      <c r="M642" t="str">
        <f>IFERROR(VLOOKUP(J642,Feature_Mappings!$D$2:$E$5,2,FALSE()),"")</f>
        <v>Sophie Nguyen</v>
      </c>
      <c r="N642" t="s">
        <v>526</v>
      </c>
      <c r="O642" t="str">
        <f>IFERROR(INDEX(Store_Manager!$A$2:$A$5,MATCH(M642,Store_Manager!$B$2:$B$5,0)),"")</f>
        <v>MGR003</v>
      </c>
    </row>
    <row r="643" spans="1:15" ht="15.75" customHeight="1">
      <c r="A643">
        <v>642</v>
      </c>
      <c r="B643" s="2">
        <v>45068</v>
      </c>
      <c r="C643" t="s">
        <v>667</v>
      </c>
      <c r="D643" t="s">
        <v>21</v>
      </c>
      <c r="E643">
        <v>54</v>
      </c>
      <c r="F643" s="3" t="s">
        <v>22</v>
      </c>
      <c r="G643">
        <v>4</v>
      </c>
      <c r="H643" s="4">
        <v>25</v>
      </c>
      <c r="I643" s="4">
        <v>100</v>
      </c>
      <c r="J643" t="s">
        <v>525</v>
      </c>
      <c r="K643" t="str">
        <f>IFERROR(VLOOKUP(F643&amp;"|"&amp;H643,Feature_Mappings!$A$2:$C$16,2,FALSE()),"")</f>
        <v>Cotton Socks</v>
      </c>
      <c r="L643" t="str">
        <f>IFERROR(VLOOKUP(F643&amp;"|"&amp;H643,Feature_Mappings!$A$2:$C$16,3,FALSE()),"")</f>
        <v>Urban Basics Co.</v>
      </c>
      <c r="M643" t="str">
        <f>IFERROR(VLOOKUP(J643,Feature_Mappings!$D$2:$E$5,2,FALSE()),"")</f>
        <v>Sophie Nguyen</v>
      </c>
      <c r="N643" t="s">
        <v>526</v>
      </c>
      <c r="O643" t="str">
        <f>IFERROR(INDEX(Store_Manager!$A$2:$A$5,MATCH(M643,Store_Manager!$B$2:$B$5,0)),"")</f>
        <v>MGR003</v>
      </c>
    </row>
    <row r="644" spans="1:15" ht="15.75" customHeight="1">
      <c r="A644">
        <v>643</v>
      </c>
      <c r="B644" s="2">
        <v>45193</v>
      </c>
      <c r="C644" t="s">
        <v>668</v>
      </c>
      <c r="D644" t="s">
        <v>21</v>
      </c>
      <c r="E644">
        <v>28</v>
      </c>
      <c r="F644" s="3" t="s">
        <v>24</v>
      </c>
      <c r="G644">
        <v>3</v>
      </c>
      <c r="H644" s="4">
        <v>30</v>
      </c>
      <c r="I644" s="4">
        <v>90</v>
      </c>
      <c r="J644" t="s">
        <v>525</v>
      </c>
      <c r="K644" t="str">
        <f>IFERROR(VLOOKUP(F644&amp;"|"&amp;H644,Feature_Mappings!$A$2:$C$16,2,FALSE()),"")</f>
        <v>Wireless Mouse</v>
      </c>
      <c r="L644" t="str">
        <f>IFERROR(VLOOKUP(F644&amp;"|"&amp;H644,Feature_Mappings!$A$2:$C$16,3,FALSE()),"")</f>
        <v>ByteWave Distributors</v>
      </c>
      <c r="M644" t="str">
        <f>IFERROR(VLOOKUP(J644,Feature_Mappings!$D$2:$E$5,2,FALSE()),"")</f>
        <v>Sophie Nguyen</v>
      </c>
      <c r="N644" t="s">
        <v>526</v>
      </c>
      <c r="O644" t="str">
        <f>IFERROR(INDEX(Store_Manager!$A$2:$A$5,MATCH(M644,Store_Manager!$B$2:$B$5,0)),"")</f>
        <v>MGR003</v>
      </c>
    </row>
    <row r="645" spans="1:15" ht="15.75" customHeight="1">
      <c r="A645">
        <v>644</v>
      </c>
      <c r="B645" s="2">
        <v>45175</v>
      </c>
      <c r="C645" t="s">
        <v>669</v>
      </c>
      <c r="D645" t="s">
        <v>16</v>
      </c>
      <c r="E645">
        <v>23</v>
      </c>
      <c r="F645" s="3" t="s">
        <v>17</v>
      </c>
      <c r="G645">
        <v>3</v>
      </c>
      <c r="H645" s="4">
        <v>25</v>
      </c>
      <c r="I645" s="4">
        <v>75</v>
      </c>
      <c r="J645" t="s">
        <v>525</v>
      </c>
      <c r="K645" t="str">
        <f>IFERROR(VLOOKUP(F645&amp;"|"&amp;H645,Feature_Mappings!$A$2:$C$16,2,FALSE()),"")</f>
        <v>Lip Balm</v>
      </c>
      <c r="L645" t="str">
        <f>IFERROR(VLOOKUP(F645&amp;"|"&amp;H645,Feature_Mappings!$A$2:$C$16,3,FALSE()),"")</f>
        <v>GlowSource Cosmetics</v>
      </c>
      <c r="M645" t="str">
        <f>IFERROR(VLOOKUP(J645,Feature_Mappings!$D$2:$E$5,2,FALSE()),"")</f>
        <v>Sophie Nguyen</v>
      </c>
      <c r="N645" t="s">
        <v>526</v>
      </c>
      <c r="O645" t="str">
        <f>IFERROR(INDEX(Store_Manager!$A$2:$A$5,MATCH(M645,Store_Manager!$B$2:$B$5,0)),"")</f>
        <v>MGR003</v>
      </c>
    </row>
    <row r="646" spans="1:15" ht="15.75" customHeight="1">
      <c r="A646">
        <v>645</v>
      </c>
      <c r="B646" s="2">
        <v>45247</v>
      </c>
      <c r="C646" t="s">
        <v>670</v>
      </c>
      <c r="D646" t="s">
        <v>21</v>
      </c>
      <c r="E646">
        <v>35</v>
      </c>
      <c r="F646" s="3" t="s">
        <v>24</v>
      </c>
      <c r="G646">
        <v>4</v>
      </c>
      <c r="H646" s="4">
        <v>30</v>
      </c>
      <c r="I646" s="4">
        <v>120</v>
      </c>
      <c r="J646" t="s">
        <v>525</v>
      </c>
      <c r="K646" t="str">
        <f>IFERROR(VLOOKUP(F646&amp;"|"&amp;H646,Feature_Mappings!$A$2:$C$16,2,FALSE()),"")</f>
        <v>Wireless Mouse</v>
      </c>
      <c r="L646" t="str">
        <f>IFERROR(VLOOKUP(F646&amp;"|"&amp;H646,Feature_Mappings!$A$2:$C$16,3,FALSE()),"")</f>
        <v>ByteWave Distributors</v>
      </c>
      <c r="M646" t="str">
        <f>IFERROR(VLOOKUP(J646,Feature_Mappings!$D$2:$E$5,2,FALSE()),"")</f>
        <v>Sophie Nguyen</v>
      </c>
      <c r="N646" t="s">
        <v>526</v>
      </c>
      <c r="O646" t="str">
        <f>IFERROR(INDEX(Store_Manager!$A$2:$A$5,MATCH(M646,Store_Manager!$B$2:$B$5,0)),"")</f>
        <v>MGR003</v>
      </c>
    </row>
    <row r="647" spans="1:15" ht="15.75" customHeight="1">
      <c r="A647">
        <v>646</v>
      </c>
      <c r="B647" s="2">
        <v>45049</v>
      </c>
      <c r="C647" t="s">
        <v>671</v>
      </c>
      <c r="D647" t="s">
        <v>16</v>
      </c>
      <c r="E647">
        <v>38</v>
      </c>
      <c r="F647" s="3" t="s">
        <v>22</v>
      </c>
      <c r="G647">
        <v>3</v>
      </c>
      <c r="H647" s="4">
        <v>30</v>
      </c>
      <c r="I647" s="4">
        <v>90</v>
      </c>
      <c r="J647" t="s">
        <v>525</v>
      </c>
      <c r="K647" t="str">
        <f>IFERROR(VLOOKUP(F647&amp;"|"&amp;H647,Feature_Mappings!$A$2:$C$16,2,FALSE()),"")</f>
        <v>Graphic T-Shirt</v>
      </c>
      <c r="L647" t="str">
        <f>IFERROR(VLOOKUP(F647&amp;"|"&amp;H647,Feature_Mappings!$A$2:$C$16,3,FALSE()),"")</f>
        <v>ThreadWorks Apparel</v>
      </c>
      <c r="M647" t="str">
        <f>IFERROR(VLOOKUP(J647,Feature_Mappings!$D$2:$E$5,2,FALSE()),"")</f>
        <v>Sophie Nguyen</v>
      </c>
      <c r="N647" t="s">
        <v>526</v>
      </c>
      <c r="O647" t="str">
        <f>IFERROR(INDEX(Store_Manager!$A$2:$A$5,MATCH(M647,Store_Manager!$B$2:$B$5,0)),"")</f>
        <v>MGR003</v>
      </c>
    </row>
    <row r="648" spans="1:15" ht="15.75" customHeight="1">
      <c r="A648">
        <v>647</v>
      </c>
      <c r="B648" s="2">
        <v>45067</v>
      </c>
      <c r="C648" t="s">
        <v>672</v>
      </c>
      <c r="D648" t="s">
        <v>16</v>
      </c>
      <c r="E648">
        <v>59</v>
      </c>
      <c r="F648" s="3" t="s">
        <v>22</v>
      </c>
      <c r="G648">
        <v>3</v>
      </c>
      <c r="H648" s="4">
        <v>500</v>
      </c>
      <c r="I648" s="4">
        <v>1500</v>
      </c>
      <c r="J648" t="s">
        <v>525</v>
      </c>
      <c r="K648" t="str">
        <f>IFERROR(VLOOKUP(F648&amp;"|"&amp;H648,Feature_Mappings!$A$2:$C$16,2,FALSE()),"")</f>
        <v>Designer Coat</v>
      </c>
      <c r="L648" t="str">
        <f>IFERROR(VLOOKUP(F648&amp;"|"&amp;H648,Feature_Mappings!$A$2:$C$16,3,FALSE()),"")</f>
        <v>Prestige Fashion House</v>
      </c>
      <c r="M648" t="str">
        <f>IFERROR(VLOOKUP(J648,Feature_Mappings!$D$2:$E$5,2,FALSE()),"")</f>
        <v>Sophie Nguyen</v>
      </c>
      <c r="N648" t="s">
        <v>526</v>
      </c>
      <c r="O648" t="str">
        <f>IFERROR(INDEX(Store_Manager!$A$2:$A$5,MATCH(M648,Store_Manager!$B$2:$B$5,0)),"")</f>
        <v>MGR003</v>
      </c>
    </row>
    <row r="649" spans="1:15" ht="15.75" customHeight="1">
      <c r="A649">
        <v>648</v>
      </c>
      <c r="B649" s="2">
        <v>45152</v>
      </c>
      <c r="C649" t="s">
        <v>673</v>
      </c>
      <c r="D649" t="s">
        <v>16</v>
      </c>
      <c r="E649">
        <v>53</v>
      </c>
      <c r="F649" s="3" t="s">
        <v>17</v>
      </c>
      <c r="G649">
        <v>4</v>
      </c>
      <c r="H649" s="4">
        <v>300</v>
      </c>
      <c r="I649" s="4">
        <v>1200</v>
      </c>
      <c r="J649" t="s">
        <v>525</v>
      </c>
      <c r="K649" t="str">
        <f>IFERROR(VLOOKUP(F649&amp;"|"&amp;H649,Feature_Mappings!$A$2:$C$16,2,FALSE()),"")</f>
        <v>Skincare Gift Set</v>
      </c>
      <c r="L649" t="str">
        <f>IFERROR(VLOOKUP(F649&amp;"|"&amp;H649,Feature_Mappings!$A$2:$C$16,3,FALSE()),"")</f>
        <v>Radiant Beauty Wholesale</v>
      </c>
      <c r="M649" t="str">
        <f>IFERROR(VLOOKUP(J649,Feature_Mappings!$D$2:$E$5,2,FALSE()),"")</f>
        <v>Sophie Nguyen</v>
      </c>
      <c r="N649" t="s">
        <v>526</v>
      </c>
      <c r="O649" t="str">
        <f>IFERROR(INDEX(Store_Manager!$A$2:$A$5,MATCH(M649,Store_Manager!$B$2:$B$5,0)),"")</f>
        <v>MGR003</v>
      </c>
    </row>
    <row r="650" spans="1:15" ht="15.75" customHeight="1">
      <c r="A650">
        <v>649</v>
      </c>
      <c r="B650" s="2">
        <v>44966</v>
      </c>
      <c r="C650" t="s">
        <v>674</v>
      </c>
      <c r="D650" t="s">
        <v>21</v>
      </c>
      <c r="E650">
        <v>58</v>
      </c>
      <c r="F650" s="3" t="s">
        <v>22</v>
      </c>
      <c r="G650">
        <v>2</v>
      </c>
      <c r="H650" s="4">
        <v>300</v>
      </c>
      <c r="I650" s="4">
        <v>600</v>
      </c>
      <c r="J650" t="s">
        <v>525</v>
      </c>
      <c r="K650" t="str">
        <f>IFERROR(VLOOKUP(F650&amp;"|"&amp;H650,Feature_Mappings!$A$2:$C$16,2,FALSE()),"")</f>
        <v>Leather Jacket</v>
      </c>
      <c r="L650" t="str">
        <f>IFERROR(VLOOKUP(F650&amp;"|"&amp;H650,Feature_Mappings!$A$2:$C$16,3,FALSE()),"")</f>
        <v>Metro Style Manufacturing</v>
      </c>
      <c r="M650" t="str">
        <f>IFERROR(VLOOKUP(J650,Feature_Mappings!$D$2:$E$5,2,FALSE()),"")</f>
        <v>Sophie Nguyen</v>
      </c>
      <c r="N650" t="s">
        <v>526</v>
      </c>
      <c r="O650" t="str">
        <f>IFERROR(INDEX(Store_Manager!$A$2:$A$5,MATCH(M650,Store_Manager!$B$2:$B$5,0)),"")</f>
        <v>MGR003</v>
      </c>
    </row>
    <row r="651" spans="1:15" ht="15.75" customHeight="1">
      <c r="A651">
        <v>650</v>
      </c>
      <c r="B651" s="2">
        <v>45292</v>
      </c>
      <c r="C651" t="s">
        <v>675</v>
      </c>
      <c r="D651" t="s">
        <v>16</v>
      </c>
      <c r="E651">
        <v>55</v>
      </c>
      <c r="F651" s="3" t="s">
        <v>24</v>
      </c>
      <c r="G651">
        <v>1</v>
      </c>
      <c r="H651" s="4">
        <v>30</v>
      </c>
      <c r="I651" s="4">
        <v>30</v>
      </c>
      <c r="J651" t="s">
        <v>525</v>
      </c>
      <c r="K651" t="str">
        <f>IFERROR(VLOOKUP(F651&amp;"|"&amp;H651,Feature_Mappings!$A$2:$C$16,2,FALSE()),"")</f>
        <v>Wireless Mouse</v>
      </c>
      <c r="L651" t="str">
        <f>IFERROR(VLOOKUP(F651&amp;"|"&amp;H651,Feature_Mappings!$A$2:$C$16,3,FALSE()),"")</f>
        <v>ByteWave Distributors</v>
      </c>
      <c r="M651" t="str">
        <f>IFERROR(VLOOKUP(J651,Feature_Mappings!$D$2:$E$5,2,FALSE()),"")</f>
        <v>Sophie Nguyen</v>
      </c>
      <c r="N651" t="s">
        <v>526</v>
      </c>
      <c r="O651" t="str">
        <f>IFERROR(INDEX(Store_Manager!$A$2:$A$5,MATCH(M651,Store_Manager!$B$2:$B$5,0)),"")</f>
        <v>MGR003</v>
      </c>
    </row>
    <row r="652" spans="1:15" ht="15.75" customHeight="1">
      <c r="A652">
        <v>651</v>
      </c>
      <c r="B652" s="2">
        <v>45073</v>
      </c>
      <c r="C652" t="s">
        <v>676</v>
      </c>
      <c r="D652" t="s">
        <v>16</v>
      </c>
      <c r="E652">
        <v>51</v>
      </c>
      <c r="F652" s="3" t="s">
        <v>22</v>
      </c>
      <c r="G652">
        <v>3</v>
      </c>
      <c r="H652" s="4">
        <v>50</v>
      </c>
      <c r="I652" s="4">
        <v>150</v>
      </c>
      <c r="J652" t="s">
        <v>525</v>
      </c>
      <c r="K652" t="str">
        <f>IFERROR(VLOOKUP(F652&amp;"|"&amp;H652,Feature_Mappings!$A$2:$C$16,2,FALSE()),"")</f>
        <v>Denim Jeans</v>
      </c>
      <c r="L652" t="str">
        <f>IFERROR(VLOOKUP(F652&amp;"|"&amp;H652,Feature_Mappings!$A$2:$C$16,3,FALSE()),"")</f>
        <v>BlueFit Garments</v>
      </c>
      <c r="M652" t="str">
        <f>IFERROR(VLOOKUP(J652,Feature_Mappings!$D$2:$E$5,2,FALSE()),"")</f>
        <v>Sophie Nguyen</v>
      </c>
      <c r="N652" t="s">
        <v>526</v>
      </c>
      <c r="O652" t="str">
        <f>IFERROR(INDEX(Store_Manager!$A$2:$A$5,MATCH(M652,Store_Manager!$B$2:$B$5,0)),"")</f>
        <v>MGR003</v>
      </c>
    </row>
    <row r="653" spans="1:15" ht="15.75" customHeight="1">
      <c r="A653">
        <v>652</v>
      </c>
      <c r="B653" s="2">
        <v>45047</v>
      </c>
      <c r="C653" t="s">
        <v>677</v>
      </c>
      <c r="D653" t="s">
        <v>21</v>
      </c>
      <c r="E653">
        <v>34</v>
      </c>
      <c r="F653" s="3" t="s">
        <v>17</v>
      </c>
      <c r="G653">
        <v>2</v>
      </c>
      <c r="H653" s="4">
        <v>50</v>
      </c>
      <c r="I653" s="4">
        <v>100</v>
      </c>
      <c r="J653" t="s">
        <v>525</v>
      </c>
      <c r="K653" t="str">
        <f>IFERROR(VLOOKUP(F653&amp;"|"&amp;H653,Feature_Mappings!$A$2:$C$16,2,FALSE()),"")</f>
        <v>Eau de Parfum</v>
      </c>
      <c r="L653" t="str">
        <f>IFERROR(VLOOKUP(F653&amp;"|"&amp;H653,Feature_Mappings!$A$2:$C$16,3,FALSE()),"")</f>
        <v>Luxe Aroma Labs</v>
      </c>
      <c r="M653" t="str">
        <f>IFERROR(VLOOKUP(J653,Feature_Mappings!$D$2:$E$5,2,FALSE()),"")</f>
        <v>Sophie Nguyen</v>
      </c>
      <c r="N653" t="s">
        <v>526</v>
      </c>
      <c r="O653" t="str">
        <f>IFERROR(INDEX(Store_Manager!$A$2:$A$5,MATCH(M653,Store_Manager!$B$2:$B$5,0)),"")</f>
        <v>MGR003</v>
      </c>
    </row>
    <row r="654" spans="1:15" ht="15.75" customHeight="1">
      <c r="A654">
        <v>653</v>
      </c>
      <c r="B654" s="2">
        <v>45066</v>
      </c>
      <c r="C654" t="s">
        <v>678</v>
      </c>
      <c r="D654" t="s">
        <v>16</v>
      </c>
      <c r="E654">
        <v>54</v>
      </c>
      <c r="F654" s="3" t="s">
        <v>22</v>
      </c>
      <c r="G654">
        <v>3</v>
      </c>
      <c r="H654" s="4">
        <v>25</v>
      </c>
      <c r="I654" s="4">
        <v>75</v>
      </c>
      <c r="J654" t="s">
        <v>525</v>
      </c>
      <c r="K654" t="str">
        <f>IFERROR(VLOOKUP(F654&amp;"|"&amp;H654,Feature_Mappings!$A$2:$C$16,2,FALSE()),"")</f>
        <v>Cotton Socks</v>
      </c>
      <c r="L654" t="str">
        <f>IFERROR(VLOOKUP(F654&amp;"|"&amp;H654,Feature_Mappings!$A$2:$C$16,3,FALSE()),"")</f>
        <v>Urban Basics Co.</v>
      </c>
      <c r="M654" t="str">
        <f>IFERROR(VLOOKUP(J654,Feature_Mappings!$D$2:$E$5,2,FALSE()),"")</f>
        <v>Sophie Nguyen</v>
      </c>
      <c r="N654" t="s">
        <v>526</v>
      </c>
      <c r="O654" t="str">
        <f>IFERROR(INDEX(Store_Manager!$A$2:$A$5,MATCH(M654,Store_Manager!$B$2:$B$5,0)),"")</f>
        <v>MGR003</v>
      </c>
    </row>
    <row r="655" spans="1:15" ht="15.75" customHeight="1">
      <c r="A655">
        <v>654</v>
      </c>
      <c r="B655" s="2">
        <v>45098</v>
      </c>
      <c r="C655" t="s">
        <v>679</v>
      </c>
      <c r="D655" t="s">
        <v>16</v>
      </c>
      <c r="E655">
        <v>42</v>
      </c>
      <c r="F655" s="3" t="s">
        <v>22</v>
      </c>
      <c r="G655">
        <v>3</v>
      </c>
      <c r="H655" s="4">
        <v>25</v>
      </c>
      <c r="I655" s="4">
        <v>75</v>
      </c>
      <c r="J655" t="s">
        <v>525</v>
      </c>
      <c r="K655" t="str">
        <f>IFERROR(VLOOKUP(F655&amp;"|"&amp;H655,Feature_Mappings!$A$2:$C$16,2,FALSE()),"")</f>
        <v>Cotton Socks</v>
      </c>
      <c r="L655" t="str">
        <f>IFERROR(VLOOKUP(F655&amp;"|"&amp;H655,Feature_Mappings!$A$2:$C$16,3,FALSE()),"")</f>
        <v>Urban Basics Co.</v>
      </c>
      <c r="M655" t="str">
        <f>IFERROR(VLOOKUP(J655,Feature_Mappings!$D$2:$E$5,2,FALSE()),"")</f>
        <v>Sophie Nguyen</v>
      </c>
      <c r="N655" t="s">
        <v>526</v>
      </c>
      <c r="O655" t="str">
        <f>IFERROR(INDEX(Store_Manager!$A$2:$A$5,MATCH(M655,Store_Manager!$B$2:$B$5,0)),"")</f>
        <v>MGR003</v>
      </c>
    </row>
    <row r="656" spans="1:15" ht="15.75" customHeight="1">
      <c r="A656">
        <v>655</v>
      </c>
      <c r="B656" s="2">
        <v>45090</v>
      </c>
      <c r="C656" t="s">
        <v>680</v>
      </c>
      <c r="D656" t="s">
        <v>21</v>
      </c>
      <c r="E656">
        <v>55</v>
      </c>
      <c r="F656" s="3" t="s">
        <v>22</v>
      </c>
      <c r="G656">
        <v>1</v>
      </c>
      <c r="H656" s="4">
        <v>500</v>
      </c>
      <c r="I656" s="4">
        <v>500</v>
      </c>
      <c r="J656" t="s">
        <v>525</v>
      </c>
      <c r="K656" t="str">
        <f>IFERROR(VLOOKUP(F656&amp;"|"&amp;H656,Feature_Mappings!$A$2:$C$16,2,FALSE()),"")</f>
        <v>Designer Coat</v>
      </c>
      <c r="L656" t="str">
        <f>IFERROR(VLOOKUP(F656&amp;"|"&amp;H656,Feature_Mappings!$A$2:$C$16,3,FALSE()),"")</f>
        <v>Prestige Fashion House</v>
      </c>
      <c r="M656" t="str">
        <f>IFERROR(VLOOKUP(J656,Feature_Mappings!$D$2:$E$5,2,FALSE()),"")</f>
        <v>Sophie Nguyen</v>
      </c>
      <c r="N656" t="s">
        <v>526</v>
      </c>
      <c r="O656" t="str">
        <f>IFERROR(INDEX(Store_Manager!$A$2:$A$5,MATCH(M656,Store_Manager!$B$2:$B$5,0)),"")</f>
        <v>MGR003</v>
      </c>
    </row>
    <row r="657" spans="1:15" ht="15.75" customHeight="1">
      <c r="A657">
        <v>656</v>
      </c>
      <c r="B657" s="2">
        <v>45203</v>
      </c>
      <c r="C657" t="s">
        <v>681</v>
      </c>
      <c r="D657" t="s">
        <v>16</v>
      </c>
      <c r="E657">
        <v>29</v>
      </c>
      <c r="F657" s="3" t="s">
        <v>17</v>
      </c>
      <c r="G657">
        <v>3</v>
      </c>
      <c r="H657" s="4">
        <v>30</v>
      </c>
      <c r="I657" s="4">
        <v>90</v>
      </c>
      <c r="J657" t="s">
        <v>525</v>
      </c>
      <c r="K657" t="str">
        <f>IFERROR(VLOOKUP(F657&amp;"|"&amp;H657,Feature_Mappings!$A$2:$C$16,2,FALSE()),"")</f>
        <v>Facial Cleanser</v>
      </c>
      <c r="L657" t="str">
        <f>IFERROR(VLOOKUP(F657&amp;"|"&amp;H657,Feature_Mappings!$A$2:$C$16,3,FALSE()),"")</f>
        <v>PureDerma Supplies</v>
      </c>
      <c r="M657" t="str">
        <f>IFERROR(VLOOKUP(J657,Feature_Mappings!$D$2:$E$5,2,FALSE()),"")</f>
        <v>Sophie Nguyen</v>
      </c>
      <c r="N657" t="s">
        <v>526</v>
      </c>
      <c r="O657" t="str">
        <f>IFERROR(INDEX(Store_Manager!$A$2:$A$5,MATCH(M657,Store_Manager!$B$2:$B$5,0)),"")</f>
        <v>MGR003</v>
      </c>
    </row>
    <row r="658" spans="1:15" ht="15.75" customHeight="1">
      <c r="A658">
        <v>657</v>
      </c>
      <c r="B658" s="2">
        <v>44968</v>
      </c>
      <c r="C658" t="s">
        <v>682</v>
      </c>
      <c r="D658" t="s">
        <v>16</v>
      </c>
      <c r="E658">
        <v>40</v>
      </c>
      <c r="F658" s="3" t="s">
        <v>22</v>
      </c>
      <c r="G658">
        <v>1</v>
      </c>
      <c r="H658" s="4">
        <v>25</v>
      </c>
      <c r="I658" s="4">
        <v>25</v>
      </c>
      <c r="J658" t="s">
        <v>525</v>
      </c>
      <c r="K658" t="str">
        <f>IFERROR(VLOOKUP(F658&amp;"|"&amp;H658,Feature_Mappings!$A$2:$C$16,2,FALSE()),"")</f>
        <v>Cotton Socks</v>
      </c>
      <c r="L658" t="str">
        <f>IFERROR(VLOOKUP(F658&amp;"|"&amp;H658,Feature_Mappings!$A$2:$C$16,3,FALSE()),"")</f>
        <v>Urban Basics Co.</v>
      </c>
      <c r="M658" t="str">
        <f>IFERROR(VLOOKUP(J658,Feature_Mappings!$D$2:$E$5,2,FALSE()),"")</f>
        <v>Sophie Nguyen</v>
      </c>
      <c r="N658" t="s">
        <v>526</v>
      </c>
      <c r="O658" t="str">
        <f>IFERROR(INDEX(Store_Manager!$A$2:$A$5,MATCH(M658,Store_Manager!$B$2:$B$5,0)),"")</f>
        <v>MGR003</v>
      </c>
    </row>
    <row r="659" spans="1:15" ht="15.75" customHeight="1">
      <c r="A659">
        <v>658</v>
      </c>
      <c r="B659" s="2">
        <v>44997</v>
      </c>
      <c r="C659" t="s">
        <v>683</v>
      </c>
      <c r="D659" t="s">
        <v>16</v>
      </c>
      <c r="E659">
        <v>59</v>
      </c>
      <c r="F659" s="3" t="s">
        <v>22</v>
      </c>
      <c r="G659">
        <v>1</v>
      </c>
      <c r="H659" s="4">
        <v>25</v>
      </c>
      <c r="I659" s="4">
        <v>25</v>
      </c>
      <c r="J659" t="s">
        <v>525</v>
      </c>
      <c r="K659" t="str">
        <f>IFERROR(VLOOKUP(F659&amp;"|"&amp;H659,Feature_Mappings!$A$2:$C$16,2,FALSE()),"")</f>
        <v>Cotton Socks</v>
      </c>
      <c r="L659" t="str">
        <f>IFERROR(VLOOKUP(F659&amp;"|"&amp;H659,Feature_Mappings!$A$2:$C$16,3,FALSE()),"")</f>
        <v>Urban Basics Co.</v>
      </c>
      <c r="M659" t="str">
        <f>IFERROR(VLOOKUP(J659,Feature_Mappings!$D$2:$E$5,2,FALSE()),"")</f>
        <v>Sophie Nguyen</v>
      </c>
      <c r="N659" t="s">
        <v>526</v>
      </c>
      <c r="O659" t="str">
        <f>IFERROR(INDEX(Store_Manager!$A$2:$A$5,MATCH(M659,Store_Manager!$B$2:$B$5,0)),"")</f>
        <v>MGR003</v>
      </c>
    </row>
    <row r="660" spans="1:15" ht="15.75" customHeight="1">
      <c r="A660">
        <v>659</v>
      </c>
      <c r="B660" s="2">
        <v>45004</v>
      </c>
      <c r="C660" t="s">
        <v>684</v>
      </c>
      <c r="D660" t="s">
        <v>21</v>
      </c>
      <c r="E660">
        <v>39</v>
      </c>
      <c r="F660" s="3" t="s">
        <v>24</v>
      </c>
      <c r="G660">
        <v>1</v>
      </c>
      <c r="H660" s="4">
        <v>30</v>
      </c>
      <c r="I660" s="4">
        <v>30</v>
      </c>
      <c r="J660" t="s">
        <v>525</v>
      </c>
      <c r="K660" t="str">
        <f>IFERROR(VLOOKUP(F660&amp;"|"&amp;H660,Feature_Mappings!$A$2:$C$16,2,FALSE()),"")</f>
        <v>Wireless Mouse</v>
      </c>
      <c r="L660" t="str">
        <f>IFERROR(VLOOKUP(F660&amp;"|"&amp;H660,Feature_Mappings!$A$2:$C$16,3,FALSE()),"")</f>
        <v>ByteWave Distributors</v>
      </c>
      <c r="M660" t="str">
        <f>IFERROR(VLOOKUP(J660,Feature_Mappings!$D$2:$E$5,2,FALSE()),"")</f>
        <v>Sophie Nguyen</v>
      </c>
      <c r="N660" t="s">
        <v>526</v>
      </c>
      <c r="O660" t="str">
        <f>IFERROR(INDEX(Store_Manager!$A$2:$A$5,MATCH(M660,Store_Manager!$B$2:$B$5,0)),"")</f>
        <v>MGR003</v>
      </c>
    </row>
    <row r="661" spans="1:15" ht="15.75" customHeight="1">
      <c r="A661">
        <v>660</v>
      </c>
      <c r="B661" s="2">
        <v>45045</v>
      </c>
      <c r="C661" t="s">
        <v>685</v>
      </c>
      <c r="D661" t="s">
        <v>21</v>
      </c>
      <c r="E661">
        <v>38</v>
      </c>
      <c r="F661" s="3" t="s">
        <v>17</v>
      </c>
      <c r="G661">
        <v>2</v>
      </c>
      <c r="H661" s="4">
        <v>500</v>
      </c>
      <c r="I661" s="4">
        <v>1000</v>
      </c>
      <c r="J661" t="s">
        <v>525</v>
      </c>
      <c r="K661" t="str">
        <f>IFERROR(VLOOKUP(F661&amp;"|"&amp;H661,Feature_Mappings!$A$2:$C$16,2,FALSE()),"")</f>
        <v>LED Beauty Device</v>
      </c>
      <c r="L661" t="str">
        <f>IFERROR(VLOOKUP(F661&amp;"|"&amp;H661,Feature_Mappings!$A$2:$C$16,3,FALSE()),"")</f>
        <v>BeautyTech Pro</v>
      </c>
      <c r="M661" t="str">
        <f>IFERROR(VLOOKUP(J661,Feature_Mappings!$D$2:$E$5,2,FALSE()),"")</f>
        <v>Sophie Nguyen</v>
      </c>
      <c r="N661" t="s">
        <v>526</v>
      </c>
      <c r="O661" t="str">
        <f>IFERROR(INDEX(Store_Manager!$A$2:$A$5,MATCH(M661,Store_Manager!$B$2:$B$5,0)),"")</f>
        <v>MGR003</v>
      </c>
    </row>
    <row r="662" spans="1:15" ht="15.75" customHeight="1">
      <c r="A662">
        <v>661</v>
      </c>
      <c r="B662" s="2">
        <v>45123</v>
      </c>
      <c r="C662" t="s">
        <v>686</v>
      </c>
      <c r="D662" t="s">
        <v>21</v>
      </c>
      <c r="E662">
        <v>44</v>
      </c>
      <c r="F662" s="3" t="s">
        <v>22</v>
      </c>
      <c r="G662">
        <v>4</v>
      </c>
      <c r="H662" s="4">
        <v>25</v>
      </c>
      <c r="I662" s="4">
        <v>100</v>
      </c>
      <c r="J662" t="s">
        <v>525</v>
      </c>
      <c r="K662" t="str">
        <f>IFERROR(VLOOKUP(F662&amp;"|"&amp;H662,Feature_Mappings!$A$2:$C$16,2,FALSE()),"")</f>
        <v>Cotton Socks</v>
      </c>
      <c r="L662" t="str">
        <f>IFERROR(VLOOKUP(F662&amp;"|"&amp;H662,Feature_Mappings!$A$2:$C$16,3,FALSE()),"")</f>
        <v>Urban Basics Co.</v>
      </c>
      <c r="M662" t="str">
        <f>IFERROR(VLOOKUP(J662,Feature_Mappings!$D$2:$E$5,2,FALSE()),"")</f>
        <v>Sophie Nguyen</v>
      </c>
      <c r="N662" t="s">
        <v>526</v>
      </c>
      <c r="O662" t="str">
        <f>IFERROR(INDEX(Store_Manager!$A$2:$A$5,MATCH(M662,Store_Manager!$B$2:$B$5,0)),"")</f>
        <v>MGR003</v>
      </c>
    </row>
    <row r="663" spans="1:15" ht="15.75" customHeight="1">
      <c r="A663">
        <v>662</v>
      </c>
      <c r="B663" s="2">
        <v>45282</v>
      </c>
      <c r="C663" t="s">
        <v>687</v>
      </c>
      <c r="D663" t="s">
        <v>16</v>
      </c>
      <c r="E663">
        <v>48</v>
      </c>
      <c r="F663" s="3" t="s">
        <v>17</v>
      </c>
      <c r="G663">
        <v>2</v>
      </c>
      <c r="H663" s="4">
        <v>500</v>
      </c>
      <c r="I663" s="4">
        <v>1000</v>
      </c>
      <c r="J663" t="s">
        <v>525</v>
      </c>
      <c r="K663" t="str">
        <f>IFERROR(VLOOKUP(F663&amp;"|"&amp;H663,Feature_Mappings!$A$2:$C$16,2,FALSE()),"")</f>
        <v>LED Beauty Device</v>
      </c>
      <c r="L663" t="str">
        <f>IFERROR(VLOOKUP(F663&amp;"|"&amp;H663,Feature_Mappings!$A$2:$C$16,3,FALSE()),"")</f>
        <v>BeautyTech Pro</v>
      </c>
      <c r="M663" t="str">
        <f>IFERROR(VLOOKUP(J663,Feature_Mappings!$D$2:$E$5,2,FALSE()),"")</f>
        <v>Sophie Nguyen</v>
      </c>
      <c r="N663" t="s">
        <v>526</v>
      </c>
      <c r="O663" t="str">
        <f>IFERROR(INDEX(Store_Manager!$A$2:$A$5,MATCH(M663,Store_Manager!$B$2:$B$5,0)),"")</f>
        <v>MGR003</v>
      </c>
    </row>
    <row r="664" spans="1:15" ht="15.75" customHeight="1">
      <c r="A664">
        <v>663</v>
      </c>
      <c r="B664" s="2">
        <v>45005</v>
      </c>
      <c r="C664" t="s">
        <v>688</v>
      </c>
      <c r="D664" t="s">
        <v>16</v>
      </c>
      <c r="E664">
        <v>23</v>
      </c>
      <c r="F664" s="3" t="s">
        <v>22</v>
      </c>
      <c r="G664">
        <v>4</v>
      </c>
      <c r="H664" s="4">
        <v>300</v>
      </c>
      <c r="I664" s="4">
        <v>1200</v>
      </c>
      <c r="J664" t="s">
        <v>525</v>
      </c>
      <c r="K664" t="str">
        <f>IFERROR(VLOOKUP(F664&amp;"|"&amp;H664,Feature_Mappings!$A$2:$C$16,2,FALSE()),"")</f>
        <v>Leather Jacket</v>
      </c>
      <c r="L664" t="str">
        <f>IFERROR(VLOOKUP(F664&amp;"|"&amp;H664,Feature_Mappings!$A$2:$C$16,3,FALSE()),"")</f>
        <v>Metro Style Manufacturing</v>
      </c>
      <c r="M664" t="str">
        <f>IFERROR(VLOOKUP(J664,Feature_Mappings!$D$2:$E$5,2,FALSE()),"")</f>
        <v>Sophie Nguyen</v>
      </c>
      <c r="N664" t="s">
        <v>526</v>
      </c>
      <c r="O664" t="str">
        <f>IFERROR(INDEX(Store_Manager!$A$2:$A$5,MATCH(M664,Store_Manager!$B$2:$B$5,0)),"")</f>
        <v>MGR003</v>
      </c>
    </row>
    <row r="665" spans="1:15" ht="15.75" customHeight="1">
      <c r="A665">
        <v>664</v>
      </c>
      <c r="B665" s="2">
        <v>45288</v>
      </c>
      <c r="C665" t="s">
        <v>689</v>
      </c>
      <c r="D665" t="s">
        <v>21</v>
      </c>
      <c r="E665">
        <v>44</v>
      </c>
      <c r="F665" s="3" t="s">
        <v>22</v>
      </c>
      <c r="G665">
        <v>4</v>
      </c>
      <c r="H665" s="4">
        <v>500</v>
      </c>
      <c r="I665" s="4">
        <v>2000</v>
      </c>
      <c r="J665" t="s">
        <v>525</v>
      </c>
      <c r="K665" t="str">
        <f>IFERROR(VLOOKUP(F665&amp;"|"&amp;H665,Feature_Mappings!$A$2:$C$16,2,FALSE()),"")</f>
        <v>Designer Coat</v>
      </c>
      <c r="L665" t="str">
        <f>IFERROR(VLOOKUP(F665&amp;"|"&amp;H665,Feature_Mappings!$A$2:$C$16,3,FALSE()),"")</f>
        <v>Prestige Fashion House</v>
      </c>
      <c r="M665" t="str">
        <f>IFERROR(VLOOKUP(J665,Feature_Mappings!$D$2:$E$5,2,FALSE()),"")</f>
        <v>Sophie Nguyen</v>
      </c>
      <c r="N665" t="s">
        <v>526</v>
      </c>
      <c r="O665" t="str">
        <f>IFERROR(INDEX(Store_Manager!$A$2:$A$5,MATCH(M665,Store_Manager!$B$2:$B$5,0)),"")</f>
        <v>MGR003</v>
      </c>
    </row>
    <row r="666" spans="1:15" ht="15.75" customHeight="1">
      <c r="A666">
        <v>665</v>
      </c>
      <c r="B666" s="2">
        <v>45036</v>
      </c>
      <c r="C666" t="s">
        <v>690</v>
      </c>
      <c r="D666" t="s">
        <v>16</v>
      </c>
      <c r="E666">
        <v>57</v>
      </c>
      <c r="F666" s="3" t="s">
        <v>22</v>
      </c>
      <c r="G666">
        <v>1</v>
      </c>
      <c r="H666" s="4">
        <v>50</v>
      </c>
      <c r="I666" s="4">
        <v>50</v>
      </c>
      <c r="J666" t="s">
        <v>525</v>
      </c>
      <c r="K666" t="str">
        <f>IFERROR(VLOOKUP(F666&amp;"|"&amp;H666,Feature_Mappings!$A$2:$C$16,2,FALSE()),"")</f>
        <v>Denim Jeans</v>
      </c>
      <c r="L666" t="str">
        <f>IFERROR(VLOOKUP(F666&amp;"|"&amp;H666,Feature_Mappings!$A$2:$C$16,3,FALSE()),"")</f>
        <v>BlueFit Garments</v>
      </c>
      <c r="M666" t="str">
        <f>IFERROR(VLOOKUP(J666,Feature_Mappings!$D$2:$E$5,2,FALSE()),"")</f>
        <v>Sophie Nguyen</v>
      </c>
      <c r="N666" t="s">
        <v>526</v>
      </c>
      <c r="O666" t="str">
        <f>IFERROR(INDEX(Store_Manager!$A$2:$A$5,MATCH(M666,Store_Manager!$B$2:$B$5,0)),"")</f>
        <v>MGR003</v>
      </c>
    </row>
    <row r="667" spans="1:15" ht="15.75" customHeight="1">
      <c r="A667">
        <v>666</v>
      </c>
      <c r="B667" s="2">
        <v>44959</v>
      </c>
      <c r="C667" t="s">
        <v>691</v>
      </c>
      <c r="D667" t="s">
        <v>16</v>
      </c>
      <c r="E667">
        <v>51</v>
      </c>
      <c r="F667" s="3" t="s">
        <v>24</v>
      </c>
      <c r="G667">
        <v>3</v>
      </c>
      <c r="H667" s="4">
        <v>50</v>
      </c>
      <c r="I667" s="4">
        <v>150</v>
      </c>
      <c r="J667" t="s">
        <v>525</v>
      </c>
      <c r="K667" t="str">
        <f>IFERROR(VLOOKUP(F667&amp;"|"&amp;H667,Feature_Mappings!$A$2:$C$16,2,FALSE()),"")</f>
        <v>Bluetooth Speaker</v>
      </c>
      <c r="L667" t="str">
        <f>IFERROR(VLOOKUP(F667&amp;"|"&amp;H667,Feature_Mappings!$A$2:$C$16,3,FALSE()),"")</f>
        <v>SoundSphere Supply</v>
      </c>
      <c r="M667" t="str">
        <f>IFERROR(VLOOKUP(J667,Feature_Mappings!$D$2:$E$5,2,FALSE()),"")</f>
        <v>Sophie Nguyen</v>
      </c>
      <c r="N667" t="s">
        <v>526</v>
      </c>
      <c r="O667" t="str">
        <f>IFERROR(INDEX(Store_Manager!$A$2:$A$5,MATCH(M667,Store_Manager!$B$2:$B$5,0)),"")</f>
        <v>MGR003</v>
      </c>
    </row>
    <row r="668" spans="1:15" ht="15.75" customHeight="1">
      <c r="A668">
        <v>667</v>
      </c>
      <c r="B668" s="2">
        <v>45139</v>
      </c>
      <c r="C668" t="s">
        <v>692</v>
      </c>
      <c r="D668" t="s">
        <v>21</v>
      </c>
      <c r="E668">
        <v>29</v>
      </c>
      <c r="F668" s="3" t="s">
        <v>24</v>
      </c>
      <c r="G668">
        <v>1</v>
      </c>
      <c r="H668" s="4">
        <v>500</v>
      </c>
      <c r="I668" s="4">
        <v>500</v>
      </c>
      <c r="J668" t="s">
        <v>525</v>
      </c>
      <c r="K668" t="str">
        <f>IFERROR(VLOOKUP(F668&amp;"|"&amp;H668,Feature_Mappings!$A$2:$C$16,2,FALSE()),"")</f>
        <v>Smartphone</v>
      </c>
      <c r="L668" t="str">
        <f>IFERROR(VLOOKUP(F668&amp;"|"&amp;H668,Feature_Mappings!$A$2:$C$16,3,FALSE()),"")</f>
        <v>NovaTech Wholesale</v>
      </c>
      <c r="M668" t="str">
        <f>IFERROR(VLOOKUP(J668,Feature_Mappings!$D$2:$E$5,2,FALSE()),"")</f>
        <v>Sophie Nguyen</v>
      </c>
      <c r="N668" t="s">
        <v>526</v>
      </c>
      <c r="O668" t="str">
        <f>IFERROR(INDEX(Store_Manager!$A$2:$A$5,MATCH(M668,Store_Manager!$B$2:$B$5,0)),"")</f>
        <v>MGR003</v>
      </c>
    </row>
    <row r="669" spans="1:15" ht="15.75" customHeight="1">
      <c r="A669">
        <v>668</v>
      </c>
      <c r="B669" s="2">
        <v>45135</v>
      </c>
      <c r="C669" t="s">
        <v>693</v>
      </c>
      <c r="D669" t="s">
        <v>21</v>
      </c>
      <c r="E669">
        <v>62</v>
      </c>
      <c r="F669" s="3" t="s">
        <v>24</v>
      </c>
      <c r="G669">
        <v>3</v>
      </c>
      <c r="H669" s="4">
        <v>50</v>
      </c>
      <c r="I669" s="4">
        <v>150</v>
      </c>
      <c r="J669" t="s">
        <v>525</v>
      </c>
      <c r="K669" t="str">
        <f>IFERROR(VLOOKUP(F669&amp;"|"&amp;H669,Feature_Mappings!$A$2:$C$16,2,FALSE()),"")</f>
        <v>Bluetooth Speaker</v>
      </c>
      <c r="L669" t="str">
        <f>IFERROR(VLOOKUP(F669&amp;"|"&amp;H669,Feature_Mappings!$A$2:$C$16,3,FALSE()),"")</f>
        <v>SoundSphere Supply</v>
      </c>
      <c r="M669" t="str">
        <f>IFERROR(VLOOKUP(J669,Feature_Mappings!$D$2:$E$5,2,FALSE()),"")</f>
        <v>Sophie Nguyen</v>
      </c>
      <c r="N669" t="s">
        <v>526</v>
      </c>
      <c r="O669" t="str">
        <f>IFERROR(INDEX(Store_Manager!$A$2:$A$5,MATCH(M669,Store_Manager!$B$2:$B$5,0)),"")</f>
        <v>MGR003</v>
      </c>
    </row>
    <row r="670" spans="1:15" ht="15.75" customHeight="1">
      <c r="A670">
        <v>669</v>
      </c>
      <c r="B670" s="2">
        <v>45096</v>
      </c>
      <c r="C670" t="s">
        <v>694</v>
      </c>
      <c r="D670" t="s">
        <v>16</v>
      </c>
      <c r="E670">
        <v>24</v>
      </c>
      <c r="F670" s="3" t="s">
        <v>17</v>
      </c>
      <c r="G670">
        <v>4</v>
      </c>
      <c r="H670" s="4">
        <v>300</v>
      </c>
      <c r="I670" s="4">
        <v>1200</v>
      </c>
      <c r="J670" t="s">
        <v>525</v>
      </c>
      <c r="K670" t="str">
        <f>IFERROR(VLOOKUP(F670&amp;"|"&amp;H670,Feature_Mappings!$A$2:$C$16,2,FALSE()),"")</f>
        <v>Skincare Gift Set</v>
      </c>
      <c r="L670" t="str">
        <f>IFERROR(VLOOKUP(F670&amp;"|"&amp;H670,Feature_Mappings!$A$2:$C$16,3,FALSE()),"")</f>
        <v>Radiant Beauty Wholesale</v>
      </c>
      <c r="M670" t="str">
        <f>IFERROR(VLOOKUP(J670,Feature_Mappings!$D$2:$E$5,2,FALSE()),"")</f>
        <v>Sophie Nguyen</v>
      </c>
      <c r="N670" t="s">
        <v>526</v>
      </c>
      <c r="O670" t="str">
        <f>IFERROR(INDEX(Store_Manager!$A$2:$A$5,MATCH(M670,Store_Manager!$B$2:$B$5,0)),"")</f>
        <v>MGR003</v>
      </c>
    </row>
    <row r="671" spans="1:15" ht="15.75" customHeight="1">
      <c r="A671">
        <v>670</v>
      </c>
      <c r="B671" s="2">
        <v>45204</v>
      </c>
      <c r="C671" t="s">
        <v>695</v>
      </c>
      <c r="D671" t="s">
        <v>16</v>
      </c>
      <c r="E671">
        <v>27</v>
      </c>
      <c r="F671" s="3" t="s">
        <v>17</v>
      </c>
      <c r="G671">
        <v>1</v>
      </c>
      <c r="H671" s="4">
        <v>30</v>
      </c>
      <c r="I671" s="4">
        <v>30</v>
      </c>
      <c r="J671" t="s">
        <v>525</v>
      </c>
      <c r="K671" t="str">
        <f>IFERROR(VLOOKUP(F671&amp;"|"&amp;H671,Feature_Mappings!$A$2:$C$16,2,FALSE()),"")</f>
        <v>Facial Cleanser</v>
      </c>
      <c r="L671" t="str">
        <f>IFERROR(VLOOKUP(F671&amp;"|"&amp;H671,Feature_Mappings!$A$2:$C$16,3,FALSE()),"")</f>
        <v>PureDerma Supplies</v>
      </c>
      <c r="M671" t="str">
        <f>IFERROR(VLOOKUP(J671,Feature_Mappings!$D$2:$E$5,2,FALSE()),"")</f>
        <v>Sophie Nguyen</v>
      </c>
      <c r="N671" t="s">
        <v>526</v>
      </c>
      <c r="O671" t="str">
        <f>IFERROR(INDEX(Store_Manager!$A$2:$A$5,MATCH(M671,Store_Manager!$B$2:$B$5,0)),"")</f>
        <v>MGR003</v>
      </c>
    </row>
    <row r="672" spans="1:15" ht="15.75" customHeight="1">
      <c r="A672">
        <v>671</v>
      </c>
      <c r="B672" s="2">
        <v>45165</v>
      </c>
      <c r="C672" t="s">
        <v>696</v>
      </c>
      <c r="D672" t="s">
        <v>16</v>
      </c>
      <c r="E672">
        <v>62</v>
      </c>
      <c r="F672" s="3" t="s">
        <v>24</v>
      </c>
      <c r="G672">
        <v>3</v>
      </c>
      <c r="H672" s="4">
        <v>50</v>
      </c>
      <c r="I672" s="4">
        <v>150</v>
      </c>
      <c r="J672" t="s">
        <v>525</v>
      </c>
      <c r="K672" t="str">
        <f>IFERROR(VLOOKUP(F672&amp;"|"&amp;H672,Feature_Mappings!$A$2:$C$16,2,FALSE()),"")</f>
        <v>Bluetooth Speaker</v>
      </c>
      <c r="L672" t="str">
        <f>IFERROR(VLOOKUP(F672&amp;"|"&amp;H672,Feature_Mappings!$A$2:$C$16,3,FALSE()),"")</f>
        <v>SoundSphere Supply</v>
      </c>
      <c r="M672" t="str">
        <f>IFERROR(VLOOKUP(J672,Feature_Mappings!$D$2:$E$5,2,FALSE()),"")</f>
        <v>Sophie Nguyen</v>
      </c>
      <c r="N672" t="s">
        <v>526</v>
      </c>
      <c r="O672" t="str">
        <f>IFERROR(INDEX(Store_Manager!$A$2:$A$5,MATCH(M672,Store_Manager!$B$2:$B$5,0)),"")</f>
        <v>MGR003</v>
      </c>
    </row>
    <row r="673" spans="1:15" ht="15.75" customHeight="1">
      <c r="A673">
        <v>672</v>
      </c>
      <c r="B673" s="2">
        <v>45139</v>
      </c>
      <c r="C673" t="s">
        <v>697</v>
      </c>
      <c r="D673" t="s">
        <v>21</v>
      </c>
      <c r="E673">
        <v>34</v>
      </c>
      <c r="F673" s="3" t="s">
        <v>17</v>
      </c>
      <c r="G673">
        <v>2</v>
      </c>
      <c r="H673" s="4">
        <v>50</v>
      </c>
      <c r="I673" s="4">
        <v>100</v>
      </c>
      <c r="J673" t="s">
        <v>525</v>
      </c>
      <c r="K673" t="str">
        <f>IFERROR(VLOOKUP(F673&amp;"|"&amp;H673,Feature_Mappings!$A$2:$C$16,2,FALSE()),"")</f>
        <v>Eau de Parfum</v>
      </c>
      <c r="L673" t="str">
        <f>IFERROR(VLOOKUP(F673&amp;"|"&amp;H673,Feature_Mappings!$A$2:$C$16,3,FALSE()),"")</f>
        <v>Luxe Aroma Labs</v>
      </c>
      <c r="M673" t="str">
        <f>IFERROR(VLOOKUP(J673,Feature_Mappings!$D$2:$E$5,2,FALSE()),"")</f>
        <v>Sophie Nguyen</v>
      </c>
      <c r="N673" t="s">
        <v>526</v>
      </c>
      <c r="O673" t="str">
        <f>IFERROR(INDEX(Store_Manager!$A$2:$A$5,MATCH(M673,Store_Manager!$B$2:$B$5,0)),"")</f>
        <v>MGR003</v>
      </c>
    </row>
    <row r="674" spans="1:15" ht="15.75" customHeight="1">
      <c r="A674">
        <v>673</v>
      </c>
      <c r="B674" s="2">
        <v>44958</v>
      </c>
      <c r="C674" t="s">
        <v>698</v>
      </c>
      <c r="D674" t="s">
        <v>21</v>
      </c>
      <c r="E674">
        <v>43</v>
      </c>
      <c r="F674" s="3" t="s">
        <v>22</v>
      </c>
      <c r="G674">
        <v>3</v>
      </c>
      <c r="H674" s="4">
        <v>500</v>
      </c>
      <c r="I674" s="4">
        <v>1500</v>
      </c>
      <c r="J674" t="s">
        <v>525</v>
      </c>
      <c r="K674" t="str">
        <f>IFERROR(VLOOKUP(F674&amp;"|"&amp;H674,Feature_Mappings!$A$2:$C$16,2,FALSE()),"")</f>
        <v>Designer Coat</v>
      </c>
      <c r="L674" t="str">
        <f>IFERROR(VLOOKUP(F674&amp;"|"&amp;H674,Feature_Mappings!$A$2:$C$16,3,FALSE()),"")</f>
        <v>Prestige Fashion House</v>
      </c>
      <c r="M674" t="str">
        <f>IFERROR(VLOOKUP(J674,Feature_Mappings!$D$2:$E$5,2,FALSE()),"")</f>
        <v>Sophie Nguyen</v>
      </c>
      <c r="N674" t="s">
        <v>526</v>
      </c>
      <c r="O674" t="str">
        <f>IFERROR(INDEX(Store_Manager!$A$2:$A$5,MATCH(M674,Store_Manager!$B$2:$B$5,0)),"")</f>
        <v>MGR003</v>
      </c>
    </row>
    <row r="675" spans="1:15" ht="15.75" customHeight="1">
      <c r="A675">
        <v>674</v>
      </c>
      <c r="B675" s="2">
        <v>45032</v>
      </c>
      <c r="C675" t="s">
        <v>699</v>
      </c>
      <c r="D675" t="s">
        <v>21</v>
      </c>
      <c r="E675">
        <v>38</v>
      </c>
      <c r="F675" s="3" t="s">
        <v>22</v>
      </c>
      <c r="G675">
        <v>1</v>
      </c>
      <c r="H675" s="4">
        <v>300</v>
      </c>
      <c r="I675" s="4">
        <v>300</v>
      </c>
      <c r="J675" t="s">
        <v>525</v>
      </c>
      <c r="K675" t="str">
        <f>IFERROR(VLOOKUP(F675&amp;"|"&amp;H675,Feature_Mappings!$A$2:$C$16,2,FALSE()),"")</f>
        <v>Leather Jacket</v>
      </c>
      <c r="L675" t="str">
        <f>IFERROR(VLOOKUP(F675&amp;"|"&amp;H675,Feature_Mappings!$A$2:$C$16,3,FALSE()),"")</f>
        <v>Metro Style Manufacturing</v>
      </c>
      <c r="M675" t="str">
        <f>IFERROR(VLOOKUP(J675,Feature_Mappings!$D$2:$E$5,2,FALSE()),"")</f>
        <v>Sophie Nguyen</v>
      </c>
      <c r="N675" t="s">
        <v>526</v>
      </c>
      <c r="O675" t="str">
        <f>IFERROR(INDEX(Store_Manager!$A$2:$A$5,MATCH(M675,Store_Manager!$B$2:$B$5,0)),"")</f>
        <v>MGR003</v>
      </c>
    </row>
    <row r="676" spans="1:15" ht="15.75" customHeight="1">
      <c r="A676">
        <v>675</v>
      </c>
      <c r="B676" s="2">
        <v>45142</v>
      </c>
      <c r="C676" t="s">
        <v>700</v>
      </c>
      <c r="D676" t="s">
        <v>21</v>
      </c>
      <c r="E676">
        <v>45</v>
      </c>
      <c r="F676" s="3" t="s">
        <v>22</v>
      </c>
      <c r="G676">
        <v>2</v>
      </c>
      <c r="H676" s="4">
        <v>30</v>
      </c>
      <c r="I676" s="4">
        <v>60</v>
      </c>
      <c r="J676" t="s">
        <v>525</v>
      </c>
      <c r="K676" t="str">
        <f>IFERROR(VLOOKUP(F676&amp;"|"&amp;H676,Feature_Mappings!$A$2:$C$16,2,FALSE()),"")</f>
        <v>Graphic T-Shirt</v>
      </c>
      <c r="L676" t="str">
        <f>IFERROR(VLOOKUP(F676&amp;"|"&amp;H676,Feature_Mappings!$A$2:$C$16,3,FALSE()),"")</f>
        <v>ThreadWorks Apparel</v>
      </c>
      <c r="M676" t="str">
        <f>IFERROR(VLOOKUP(J676,Feature_Mappings!$D$2:$E$5,2,FALSE()),"")</f>
        <v>Sophie Nguyen</v>
      </c>
      <c r="N676" t="s">
        <v>526</v>
      </c>
      <c r="O676" t="str">
        <f>IFERROR(INDEX(Store_Manager!$A$2:$A$5,MATCH(M676,Store_Manager!$B$2:$B$5,0)),"")</f>
        <v>MGR003</v>
      </c>
    </row>
    <row r="677" spans="1:15" ht="15.75" customHeight="1">
      <c r="A677">
        <v>676</v>
      </c>
      <c r="B677" s="2">
        <v>45126</v>
      </c>
      <c r="C677" t="s">
        <v>701</v>
      </c>
      <c r="D677" t="s">
        <v>16</v>
      </c>
      <c r="E677">
        <v>63</v>
      </c>
      <c r="F677" s="3" t="s">
        <v>24</v>
      </c>
      <c r="G677">
        <v>3</v>
      </c>
      <c r="H677" s="4">
        <v>500</v>
      </c>
      <c r="I677" s="4">
        <v>1500</v>
      </c>
      <c r="J677" t="s">
        <v>525</v>
      </c>
      <c r="K677" t="str">
        <f>IFERROR(VLOOKUP(F677&amp;"|"&amp;H677,Feature_Mappings!$A$2:$C$16,2,FALSE()),"")</f>
        <v>Smartphone</v>
      </c>
      <c r="L677" t="str">
        <f>IFERROR(VLOOKUP(F677&amp;"|"&amp;H677,Feature_Mappings!$A$2:$C$16,3,FALSE()),"")</f>
        <v>NovaTech Wholesale</v>
      </c>
      <c r="M677" t="str">
        <f>IFERROR(VLOOKUP(J677,Feature_Mappings!$D$2:$E$5,2,FALSE()),"")</f>
        <v>Sophie Nguyen</v>
      </c>
      <c r="N677" t="s">
        <v>526</v>
      </c>
      <c r="O677" t="str">
        <f>IFERROR(INDEX(Store_Manager!$A$2:$A$5,MATCH(M677,Store_Manager!$B$2:$B$5,0)),"")</f>
        <v>MGR003</v>
      </c>
    </row>
    <row r="678" spans="1:15" ht="15.75" customHeight="1">
      <c r="A678">
        <v>677</v>
      </c>
      <c r="B678" s="2">
        <v>45226</v>
      </c>
      <c r="C678" t="s">
        <v>702</v>
      </c>
      <c r="D678" t="s">
        <v>21</v>
      </c>
      <c r="E678">
        <v>19</v>
      </c>
      <c r="F678" s="3" t="s">
        <v>17</v>
      </c>
      <c r="G678">
        <v>3</v>
      </c>
      <c r="H678" s="4">
        <v>500</v>
      </c>
      <c r="I678" s="4">
        <v>1500</v>
      </c>
      <c r="J678" t="s">
        <v>525</v>
      </c>
      <c r="K678" t="str">
        <f>IFERROR(VLOOKUP(F678&amp;"|"&amp;H678,Feature_Mappings!$A$2:$C$16,2,FALSE()),"")</f>
        <v>LED Beauty Device</v>
      </c>
      <c r="L678" t="str">
        <f>IFERROR(VLOOKUP(F678&amp;"|"&amp;H678,Feature_Mappings!$A$2:$C$16,3,FALSE()),"")</f>
        <v>BeautyTech Pro</v>
      </c>
      <c r="M678" t="str">
        <f>IFERROR(VLOOKUP(J678,Feature_Mappings!$D$2:$E$5,2,FALSE()),"")</f>
        <v>Sophie Nguyen</v>
      </c>
      <c r="N678" t="s">
        <v>526</v>
      </c>
      <c r="O678" t="str">
        <f>IFERROR(INDEX(Store_Manager!$A$2:$A$5,MATCH(M678,Store_Manager!$B$2:$B$5,0)),"")</f>
        <v>MGR003</v>
      </c>
    </row>
    <row r="679" spans="1:15" ht="15.75" customHeight="1">
      <c r="A679">
        <v>678</v>
      </c>
      <c r="B679" s="2">
        <v>45283</v>
      </c>
      <c r="C679" t="s">
        <v>703</v>
      </c>
      <c r="D679" t="s">
        <v>21</v>
      </c>
      <c r="E679">
        <v>60</v>
      </c>
      <c r="F679" s="3" t="s">
        <v>24</v>
      </c>
      <c r="G679">
        <v>3</v>
      </c>
      <c r="H679" s="4">
        <v>300</v>
      </c>
      <c r="I679" s="4">
        <v>900</v>
      </c>
      <c r="J679" t="s">
        <v>525</v>
      </c>
      <c r="K679" t="str">
        <f>IFERROR(VLOOKUP(F679&amp;"|"&amp;H679,Feature_Mappings!$A$2:$C$16,2,FALSE()),"")</f>
        <v>Tablet</v>
      </c>
      <c r="L679" t="str">
        <f>IFERROR(VLOOKUP(F679&amp;"|"&amp;H679,Feature_Mappings!$A$2:$C$16,3,FALSE()),"")</f>
        <v>NextGen Devices</v>
      </c>
      <c r="M679" t="str">
        <f>IFERROR(VLOOKUP(J679,Feature_Mappings!$D$2:$E$5,2,FALSE()),"")</f>
        <v>Sophie Nguyen</v>
      </c>
      <c r="N679" t="s">
        <v>526</v>
      </c>
      <c r="O679" t="str">
        <f>IFERROR(INDEX(Store_Manager!$A$2:$A$5,MATCH(M679,Store_Manager!$B$2:$B$5,0)),"")</f>
        <v>MGR003</v>
      </c>
    </row>
    <row r="680" spans="1:15" ht="15.75" customHeight="1">
      <c r="A680">
        <v>679</v>
      </c>
      <c r="B680" s="2">
        <v>44937</v>
      </c>
      <c r="C680" t="s">
        <v>704</v>
      </c>
      <c r="D680" t="s">
        <v>21</v>
      </c>
      <c r="E680">
        <v>18</v>
      </c>
      <c r="F680" s="3" t="s">
        <v>17</v>
      </c>
      <c r="G680">
        <v>3</v>
      </c>
      <c r="H680" s="4">
        <v>30</v>
      </c>
      <c r="I680" s="4">
        <v>90</v>
      </c>
      <c r="J680" t="s">
        <v>525</v>
      </c>
      <c r="K680" t="str">
        <f>IFERROR(VLOOKUP(F680&amp;"|"&amp;H680,Feature_Mappings!$A$2:$C$16,2,FALSE()),"")</f>
        <v>Facial Cleanser</v>
      </c>
      <c r="L680" t="str">
        <f>IFERROR(VLOOKUP(F680&amp;"|"&amp;H680,Feature_Mappings!$A$2:$C$16,3,FALSE()),"")</f>
        <v>PureDerma Supplies</v>
      </c>
      <c r="M680" t="str">
        <f>IFERROR(VLOOKUP(J680,Feature_Mappings!$D$2:$E$5,2,FALSE()),"")</f>
        <v>Sophie Nguyen</v>
      </c>
      <c r="N680" t="s">
        <v>526</v>
      </c>
      <c r="O680" t="str">
        <f>IFERROR(INDEX(Store_Manager!$A$2:$A$5,MATCH(M680,Store_Manager!$B$2:$B$5,0)),"")</f>
        <v>MGR003</v>
      </c>
    </row>
    <row r="681" spans="1:15" ht="15.75" customHeight="1">
      <c r="A681">
        <v>680</v>
      </c>
      <c r="B681" s="2">
        <v>45221</v>
      </c>
      <c r="C681" t="s">
        <v>705</v>
      </c>
      <c r="D681" t="s">
        <v>21</v>
      </c>
      <c r="E681">
        <v>53</v>
      </c>
      <c r="F681" s="3" t="s">
        <v>22</v>
      </c>
      <c r="G681">
        <v>3</v>
      </c>
      <c r="H681" s="4">
        <v>300</v>
      </c>
      <c r="I681" s="4">
        <v>900</v>
      </c>
      <c r="J681" t="s">
        <v>525</v>
      </c>
      <c r="K681" t="str">
        <f>IFERROR(VLOOKUP(F681&amp;"|"&amp;H681,Feature_Mappings!$A$2:$C$16,2,FALSE()),"")</f>
        <v>Leather Jacket</v>
      </c>
      <c r="L681" t="str">
        <f>IFERROR(VLOOKUP(F681&amp;"|"&amp;H681,Feature_Mappings!$A$2:$C$16,3,FALSE()),"")</f>
        <v>Metro Style Manufacturing</v>
      </c>
      <c r="M681" t="str">
        <f>IFERROR(VLOOKUP(J681,Feature_Mappings!$D$2:$E$5,2,FALSE()),"")</f>
        <v>Sophie Nguyen</v>
      </c>
      <c r="N681" t="s">
        <v>526</v>
      </c>
      <c r="O681" t="str">
        <f>IFERROR(INDEX(Store_Manager!$A$2:$A$5,MATCH(M681,Store_Manager!$B$2:$B$5,0)),"")</f>
        <v>MGR003</v>
      </c>
    </row>
    <row r="682" spans="1:15" ht="15.75" customHeight="1">
      <c r="A682">
        <v>681</v>
      </c>
      <c r="B682" s="2">
        <v>45121</v>
      </c>
      <c r="C682" t="s">
        <v>706</v>
      </c>
      <c r="D682" t="s">
        <v>21</v>
      </c>
      <c r="E682">
        <v>43</v>
      </c>
      <c r="F682" s="3" t="s">
        <v>24</v>
      </c>
      <c r="G682">
        <v>2</v>
      </c>
      <c r="H682" s="4">
        <v>30</v>
      </c>
      <c r="I682" s="4">
        <v>60</v>
      </c>
      <c r="J682" t="s">
        <v>525</v>
      </c>
      <c r="K682" t="str">
        <f>IFERROR(VLOOKUP(F682&amp;"|"&amp;H682,Feature_Mappings!$A$2:$C$16,2,FALSE()),"")</f>
        <v>Wireless Mouse</v>
      </c>
      <c r="L682" t="str">
        <f>IFERROR(VLOOKUP(F682&amp;"|"&amp;H682,Feature_Mappings!$A$2:$C$16,3,FALSE()),"")</f>
        <v>ByteWave Distributors</v>
      </c>
      <c r="M682" t="str">
        <f>IFERROR(VLOOKUP(J682,Feature_Mappings!$D$2:$E$5,2,FALSE()),"")</f>
        <v>Sophie Nguyen</v>
      </c>
      <c r="N682" t="s">
        <v>526</v>
      </c>
      <c r="O682" t="str">
        <f>IFERROR(INDEX(Store_Manager!$A$2:$A$5,MATCH(M682,Store_Manager!$B$2:$B$5,0)),"")</f>
        <v>MGR003</v>
      </c>
    </row>
    <row r="683" spans="1:15" ht="15.75" customHeight="1">
      <c r="A683">
        <v>682</v>
      </c>
      <c r="B683" s="2">
        <v>45171</v>
      </c>
      <c r="C683" t="s">
        <v>707</v>
      </c>
      <c r="D683" t="s">
        <v>16</v>
      </c>
      <c r="E683">
        <v>46</v>
      </c>
      <c r="F683" s="3" t="s">
        <v>17</v>
      </c>
      <c r="G683">
        <v>4</v>
      </c>
      <c r="H683" s="4">
        <v>300</v>
      </c>
      <c r="I683" s="4">
        <v>1200</v>
      </c>
      <c r="J683" t="s">
        <v>525</v>
      </c>
      <c r="K683" t="str">
        <f>IFERROR(VLOOKUP(F683&amp;"|"&amp;H683,Feature_Mappings!$A$2:$C$16,2,FALSE()),"")</f>
        <v>Skincare Gift Set</v>
      </c>
      <c r="L683" t="str">
        <f>IFERROR(VLOOKUP(F683&amp;"|"&amp;H683,Feature_Mappings!$A$2:$C$16,3,FALSE()),"")</f>
        <v>Radiant Beauty Wholesale</v>
      </c>
      <c r="M683" t="str">
        <f>IFERROR(VLOOKUP(J683,Feature_Mappings!$D$2:$E$5,2,FALSE()),"")</f>
        <v>Sophie Nguyen</v>
      </c>
      <c r="N683" t="s">
        <v>526</v>
      </c>
      <c r="O683" t="str">
        <f>IFERROR(INDEX(Store_Manager!$A$2:$A$5,MATCH(M683,Store_Manager!$B$2:$B$5,0)),"")</f>
        <v>MGR003</v>
      </c>
    </row>
    <row r="684" spans="1:15" ht="15.75" customHeight="1">
      <c r="A684">
        <v>683</v>
      </c>
      <c r="B684" s="2">
        <v>44930</v>
      </c>
      <c r="C684" t="s">
        <v>708</v>
      </c>
      <c r="D684" t="s">
        <v>16</v>
      </c>
      <c r="E684">
        <v>38</v>
      </c>
      <c r="F684" s="3" t="s">
        <v>17</v>
      </c>
      <c r="G684">
        <v>2</v>
      </c>
      <c r="H684" s="4">
        <v>500</v>
      </c>
      <c r="I684" s="4">
        <v>1000</v>
      </c>
      <c r="J684" t="s">
        <v>525</v>
      </c>
      <c r="K684" t="str">
        <f>IFERROR(VLOOKUP(F684&amp;"|"&amp;H684,Feature_Mappings!$A$2:$C$16,2,FALSE()),"")</f>
        <v>LED Beauty Device</v>
      </c>
      <c r="L684" t="str">
        <f>IFERROR(VLOOKUP(F684&amp;"|"&amp;H684,Feature_Mappings!$A$2:$C$16,3,FALSE()),"")</f>
        <v>BeautyTech Pro</v>
      </c>
      <c r="M684" t="str">
        <f>IFERROR(VLOOKUP(J684,Feature_Mappings!$D$2:$E$5,2,FALSE()),"")</f>
        <v>Sophie Nguyen</v>
      </c>
      <c r="N684" t="s">
        <v>526</v>
      </c>
      <c r="O684" t="str">
        <f>IFERROR(INDEX(Store_Manager!$A$2:$A$5,MATCH(M684,Store_Manager!$B$2:$B$5,0)),"")</f>
        <v>MGR003</v>
      </c>
    </row>
    <row r="685" spans="1:15" ht="15.75" customHeight="1">
      <c r="A685">
        <v>684</v>
      </c>
      <c r="B685" s="2">
        <v>45107</v>
      </c>
      <c r="C685" t="s">
        <v>709</v>
      </c>
      <c r="D685" t="s">
        <v>21</v>
      </c>
      <c r="E685">
        <v>28</v>
      </c>
      <c r="F685" s="3" t="s">
        <v>22</v>
      </c>
      <c r="G685">
        <v>2</v>
      </c>
      <c r="H685" s="4">
        <v>500</v>
      </c>
      <c r="I685" s="4">
        <v>1000</v>
      </c>
      <c r="J685" t="s">
        <v>525</v>
      </c>
      <c r="K685" t="str">
        <f>IFERROR(VLOOKUP(F685&amp;"|"&amp;H685,Feature_Mappings!$A$2:$C$16,2,FALSE()),"")</f>
        <v>Designer Coat</v>
      </c>
      <c r="L685" t="str">
        <f>IFERROR(VLOOKUP(F685&amp;"|"&amp;H685,Feature_Mappings!$A$2:$C$16,3,FALSE()),"")</f>
        <v>Prestige Fashion House</v>
      </c>
      <c r="M685" t="str">
        <f>IFERROR(VLOOKUP(J685,Feature_Mappings!$D$2:$E$5,2,FALSE()),"")</f>
        <v>Sophie Nguyen</v>
      </c>
      <c r="N685" t="s">
        <v>526</v>
      </c>
      <c r="O685" t="str">
        <f>IFERROR(INDEX(Store_Manager!$A$2:$A$5,MATCH(M685,Store_Manager!$B$2:$B$5,0)),"")</f>
        <v>MGR003</v>
      </c>
    </row>
    <row r="686" spans="1:15" ht="15.75" customHeight="1">
      <c r="A686">
        <v>685</v>
      </c>
      <c r="B686" s="2">
        <v>45079</v>
      </c>
      <c r="C686" t="s">
        <v>710</v>
      </c>
      <c r="D686" t="s">
        <v>16</v>
      </c>
      <c r="E686">
        <v>57</v>
      </c>
      <c r="F686" s="3" t="s">
        <v>24</v>
      </c>
      <c r="G686">
        <v>2</v>
      </c>
      <c r="H686" s="4">
        <v>25</v>
      </c>
      <c r="I686" s="4">
        <v>50</v>
      </c>
      <c r="J686" t="s">
        <v>525</v>
      </c>
      <c r="K686" t="str">
        <f>IFERROR(VLOOKUP(F686&amp;"|"&amp;H686,Feature_Mappings!$A$2:$C$16,2,FALSE()),"")</f>
        <v>USB-C Charger</v>
      </c>
      <c r="L686" t="str">
        <f>IFERROR(VLOOKUP(F686&amp;"|"&amp;H686,Feature_Mappings!$A$2:$C$16,3,FALSE()),"")</f>
        <v>VoltEdge Electronics</v>
      </c>
      <c r="M686" t="str">
        <f>IFERROR(VLOOKUP(J686,Feature_Mappings!$D$2:$E$5,2,FALSE()),"")</f>
        <v>Sophie Nguyen</v>
      </c>
      <c r="N686" t="s">
        <v>526</v>
      </c>
      <c r="O686" t="str">
        <f>IFERROR(INDEX(Store_Manager!$A$2:$A$5,MATCH(M686,Store_Manager!$B$2:$B$5,0)),"")</f>
        <v>MGR003</v>
      </c>
    </row>
    <row r="687" spans="1:15" ht="15.75" customHeight="1">
      <c r="A687">
        <v>686</v>
      </c>
      <c r="B687" s="2">
        <v>45126</v>
      </c>
      <c r="C687" t="s">
        <v>711</v>
      </c>
      <c r="D687" t="s">
        <v>21</v>
      </c>
      <c r="E687">
        <v>28</v>
      </c>
      <c r="F687" s="3" t="s">
        <v>24</v>
      </c>
      <c r="G687">
        <v>4</v>
      </c>
      <c r="H687" s="4">
        <v>50</v>
      </c>
      <c r="I687" s="4">
        <v>200</v>
      </c>
      <c r="J687" t="s">
        <v>525</v>
      </c>
      <c r="K687" t="str">
        <f>IFERROR(VLOOKUP(F687&amp;"|"&amp;H687,Feature_Mappings!$A$2:$C$16,2,FALSE()),"")</f>
        <v>Bluetooth Speaker</v>
      </c>
      <c r="L687" t="str">
        <f>IFERROR(VLOOKUP(F687&amp;"|"&amp;H687,Feature_Mappings!$A$2:$C$16,3,FALSE()),"")</f>
        <v>SoundSphere Supply</v>
      </c>
      <c r="M687" t="str">
        <f>IFERROR(VLOOKUP(J687,Feature_Mappings!$D$2:$E$5,2,FALSE()),"")</f>
        <v>Sophie Nguyen</v>
      </c>
      <c r="N687" t="s">
        <v>526</v>
      </c>
      <c r="O687" t="str">
        <f>IFERROR(INDEX(Store_Manager!$A$2:$A$5,MATCH(M687,Store_Manager!$B$2:$B$5,0)),"")</f>
        <v>MGR003</v>
      </c>
    </row>
    <row r="688" spans="1:15" ht="15.75" customHeight="1">
      <c r="A688">
        <v>687</v>
      </c>
      <c r="B688" s="2">
        <v>45141</v>
      </c>
      <c r="C688" t="s">
        <v>712</v>
      </c>
      <c r="D688" t="s">
        <v>21</v>
      </c>
      <c r="E688">
        <v>53</v>
      </c>
      <c r="F688" s="3" t="s">
        <v>24</v>
      </c>
      <c r="G688">
        <v>1</v>
      </c>
      <c r="H688" s="4">
        <v>300</v>
      </c>
      <c r="I688" s="4">
        <v>300</v>
      </c>
      <c r="J688" t="s">
        <v>525</v>
      </c>
      <c r="K688" t="str">
        <f>IFERROR(VLOOKUP(F688&amp;"|"&amp;H688,Feature_Mappings!$A$2:$C$16,2,FALSE()),"")</f>
        <v>Tablet</v>
      </c>
      <c r="L688" t="str">
        <f>IFERROR(VLOOKUP(F688&amp;"|"&amp;H688,Feature_Mappings!$A$2:$C$16,3,FALSE()),"")</f>
        <v>NextGen Devices</v>
      </c>
      <c r="M688" t="str">
        <f>IFERROR(VLOOKUP(J688,Feature_Mappings!$D$2:$E$5,2,FALSE()),"")</f>
        <v>Sophie Nguyen</v>
      </c>
      <c r="N688" t="s">
        <v>526</v>
      </c>
      <c r="O688" t="str">
        <f>IFERROR(INDEX(Store_Manager!$A$2:$A$5,MATCH(M688,Store_Manager!$B$2:$B$5,0)),"")</f>
        <v>MGR003</v>
      </c>
    </row>
    <row r="689" spans="1:15" ht="15.75" customHeight="1">
      <c r="A689">
        <v>688</v>
      </c>
      <c r="B689" s="2">
        <v>45202</v>
      </c>
      <c r="C689" t="s">
        <v>713</v>
      </c>
      <c r="D689" t="s">
        <v>16</v>
      </c>
      <c r="E689">
        <v>56</v>
      </c>
      <c r="F689" s="3" t="s">
        <v>22</v>
      </c>
      <c r="G689">
        <v>4</v>
      </c>
      <c r="H689" s="4">
        <v>25</v>
      </c>
      <c r="I689" s="4">
        <v>100</v>
      </c>
      <c r="J689" t="s">
        <v>525</v>
      </c>
      <c r="K689" t="str">
        <f>IFERROR(VLOOKUP(F689&amp;"|"&amp;H689,Feature_Mappings!$A$2:$C$16,2,FALSE()),"")</f>
        <v>Cotton Socks</v>
      </c>
      <c r="L689" t="str">
        <f>IFERROR(VLOOKUP(F689&amp;"|"&amp;H689,Feature_Mappings!$A$2:$C$16,3,FALSE()),"")</f>
        <v>Urban Basics Co.</v>
      </c>
      <c r="M689" t="str">
        <f>IFERROR(VLOOKUP(J689,Feature_Mappings!$D$2:$E$5,2,FALSE()),"")</f>
        <v>Sophie Nguyen</v>
      </c>
      <c r="N689" t="s">
        <v>526</v>
      </c>
      <c r="O689" t="str">
        <f>IFERROR(INDEX(Store_Manager!$A$2:$A$5,MATCH(M689,Store_Manager!$B$2:$B$5,0)),"")</f>
        <v>MGR003</v>
      </c>
    </row>
    <row r="690" spans="1:15" ht="15.75" customHeight="1">
      <c r="A690">
        <v>689</v>
      </c>
      <c r="B690" s="2">
        <v>45206</v>
      </c>
      <c r="C690" t="s">
        <v>714</v>
      </c>
      <c r="D690" t="s">
        <v>16</v>
      </c>
      <c r="E690">
        <v>57</v>
      </c>
      <c r="F690" s="3" t="s">
        <v>24</v>
      </c>
      <c r="G690">
        <v>2</v>
      </c>
      <c r="H690" s="4">
        <v>50</v>
      </c>
      <c r="I690" s="4">
        <v>100</v>
      </c>
      <c r="J690" t="s">
        <v>525</v>
      </c>
      <c r="K690" t="str">
        <f>IFERROR(VLOOKUP(F690&amp;"|"&amp;H690,Feature_Mappings!$A$2:$C$16,2,FALSE()),"")</f>
        <v>Bluetooth Speaker</v>
      </c>
      <c r="L690" t="str">
        <f>IFERROR(VLOOKUP(F690&amp;"|"&amp;H690,Feature_Mappings!$A$2:$C$16,3,FALSE()),"")</f>
        <v>SoundSphere Supply</v>
      </c>
      <c r="M690" t="str">
        <f>IFERROR(VLOOKUP(J690,Feature_Mappings!$D$2:$E$5,2,FALSE()),"")</f>
        <v>Sophie Nguyen</v>
      </c>
      <c r="N690" t="s">
        <v>526</v>
      </c>
      <c r="O690" t="str">
        <f>IFERROR(INDEX(Store_Manager!$A$2:$A$5,MATCH(M690,Store_Manager!$B$2:$B$5,0)),"")</f>
        <v>MGR003</v>
      </c>
    </row>
    <row r="691" spans="1:15" ht="15.75" customHeight="1">
      <c r="A691">
        <v>690</v>
      </c>
      <c r="B691" s="2">
        <v>45235</v>
      </c>
      <c r="C691" t="s">
        <v>715</v>
      </c>
      <c r="D691" t="s">
        <v>21</v>
      </c>
      <c r="E691">
        <v>52</v>
      </c>
      <c r="F691" s="3" t="s">
        <v>22</v>
      </c>
      <c r="G691">
        <v>3</v>
      </c>
      <c r="H691" s="4">
        <v>300</v>
      </c>
      <c r="I691" s="4">
        <v>900</v>
      </c>
      <c r="J691" t="s">
        <v>525</v>
      </c>
      <c r="K691" t="str">
        <f>IFERROR(VLOOKUP(F691&amp;"|"&amp;H691,Feature_Mappings!$A$2:$C$16,2,FALSE()),"")</f>
        <v>Leather Jacket</v>
      </c>
      <c r="L691" t="str">
        <f>IFERROR(VLOOKUP(F691&amp;"|"&amp;H691,Feature_Mappings!$A$2:$C$16,3,FALSE()),"")</f>
        <v>Metro Style Manufacturing</v>
      </c>
      <c r="M691" t="str">
        <f>IFERROR(VLOOKUP(J691,Feature_Mappings!$D$2:$E$5,2,FALSE()),"")</f>
        <v>Sophie Nguyen</v>
      </c>
      <c r="N691" t="s">
        <v>526</v>
      </c>
      <c r="O691" t="str">
        <f>IFERROR(INDEX(Store_Manager!$A$2:$A$5,MATCH(M691,Store_Manager!$B$2:$B$5,0)),"")</f>
        <v>MGR003</v>
      </c>
    </row>
    <row r="692" spans="1:15" ht="15.75" customHeight="1">
      <c r="A692">
        <v>691</v>
      </c>
      <c r="B692" s="2">
        <v>45039</v>
      </c>
      <c r="C692" t="s">
        <v>716</v>
      </c>
      <c r="D692" t="s">
        <v>21</v>
      </c>
      <c r="E692">
        <v>51</v>
      </c>
      <c r="F692" s="3" t="s">
        <v>22</v>
      </c>
      <c r="G692">
        <v>3</v>
      </c>
      <c r="H692" s="4">
        <v>30</v>
      </c>
      <c r="I692" s="4">
        <v>90</v>
      </c>
      <c r="J692" t="s">
        <v>525</v>
      </c>
      <c r="K692" t="str">
        <f>IFERROR(VLOOKUP(F692&amp;"|"&amp;H692,Feature_Mappings!$A$2:$C$16,2,FALSE()),"")</f>
        <v>Graphic T-Shirt</v>
      </c>
      <c r="L692" t="str">
        <f>IFERROR(VLOOKUP(F692&amp;"|"&amp;H692,Feature_Mappings!$A$2:$C$16,3,FALSE()),"")</f>
        <v>ThreadWorks Apparel</v>
      </c>
      <c r="M692" t="str">
        <f>IFERROR(VLOOKUP(J692,Feature_Mappings!$D$2:$E$5,2,FALSE()),"")</f>
        <v>Sophie Nguyen</v>
      </c>
      <c r="N692" t="s">
        <v>526</v>
      </c>
      <c r="O692" t="str">
        <f>IFERROR(INDEX(Store_Manager!$A$2:$A$5,MATCH(M692,Store_Manager!$B$2:$B$5,0)),"")</f>
        <v>MGR003</v>
      </c>
    </row>
    <row r="693" spans="1:15" ht="15.75" customHeight="1">
      <c r="A693">
        <v>692</v>
      </c>
      <c r="B693" s="2">
        <v>45176</v>
      </c>
      <c r="C693" t="s">
        <v>717</v>
      </c>
      <c r="D693" t="s">
        <v>21</v>
      </c>
      <c r="E693">
        <v>64</v>
      </c>
      <c r="F693" s="3" t="s">
        <v>22</v>
      </c>
      <c r="G693">
        <v>2</v>
      </c>
      <c r="H693" s="4">
        <v>50</v>
      </c>
      <c r="I693" s="4">
        <v>100</v>
      </c>
      <c r="J693" t="s">
        <v>525</v>
      </c>
      <c r="K693" t="str">
        <f>IFERROR(VLOOKUP(F693&amp;"|"&amp;H693,Feature_Mappings!$A$2:$C$16,2,FALSE()),"")</f>
        <v>Denim Jeans</v>
      </c>
      <c r="L693" t="str">
        <f>IFERROR(VLOOKUP(F693&amp;"|"&amp;H693,Feature_Mappings!$A$2:$C$16,3,FALSE()),"")</f>
        <v>BlueFit Garments</v>
      </c>
      <c r="M693" t="str">
        <f>IFERROR(VLOOKUP(J693,Feature_Mappings!$D$2:$E$5,2,FALSE()),"")</f>
        <v>Sophie Nguyen</v>
      </c>
      <c r="N693" t="s">
        <v>526</v>
      </c>
      <c r="O693" t="str">
        <f>IFERROR(INDEX(Store_Manager!$A$2:$A$5,MATCH(M693,Store_Manager!$B$2:$B$5,0)),"")</f>
        <v>MGR003</v>
      </c>
    </row>
    <row r="694" spans="1:15" ht="15.75" customHeight="1">
      <c r="A694">
        <v>693</v>
      </c>
      <c r="B694" s="2">
        <v>45039</v>
      </c>
      <c r="C694" t="s">
        <v>718</v>
      </c>
      <c r="D694" t="s">
        <v>16</v>
      </c>
      <c r="E694">
        <v>41</v>
      </c>
      <c r="F694" s="3" t="s">
        <v>17</v>
      </c>
      <c r="G694">
        <v>3</v>
      </c>
      <c r="H694" s="4">
        <v>500</v>
      </c>
      <c r="I694" s="4">
        <v>1500</v>
      </c>
      <c r="J694" t="s">
        <v>525</v>
      </c>
      <c r="K694" t="str">
        <f>IFERROR(VLOOKUP(F694&amp;"|"&amp;H694,Feature_Mappings!$A$2:$C$16,2,FALSE()),"")</f>
        <v>LED Beauty Device</v>
      </c>
      <c r="L694" t="str">
        <f>IFERROR(VLOOKUP(F694&amp;"|"&amp;H694,Feature_Mappings!$A$2:$C$16,3,FALSE()),"")</f>
        <v>BeautyTech Pro</v>
      </c>
      <c r="M694" t="str">
        <f>IFERROR(VLOOKUP(J694,Feature_Mappings!$D$2:$E$5,2,FALSE()),"")</f>
        <v>Sophie Nguyen</v>
      </c>
      <c r="N694" t="s">
        <v>526</v>
      </c>
      <c r="O694" t="str">
        <f>IFERROR(INDEX(Store_Manager!$A$2:$A$5,MATCH(M694,Store_Manager!$B$2:$B$5,0)),"")</f>
        <v>MGR003</v>
      </c>
    </row>
    <row r="695" spans="1:15" ht="15.75" customHeight="1">
      <c r="A695">
        <v>694</v>
      </c>
      <c r="B695" s="2">
        <v>45066</v>
      </c>
      <c r="C695" t="s">
        <v>719</v>
      </c>
      <c r="D695" t="s">
        <v>21</v>
      </c>
      <c r="E695">
        <v>39</v>
      </c>
      <c r="F695" s="3" t="s">
        <v>24</v>
      </c>
      <c r="G695">
        <v>2</v>
      </c>
      <c r="H695" s="4">
        <v>25</v>
      </c>
      <c r="I695" s="4">
        <v>50</v>
      </c>
      <c r="J695" t="s">
        <v>525</v>
      </c>
      <c r="K695" t="str">
        <f>IFERROR(VLOOKUP(F695&amp;"|"&amp;H695,Feature_Mappings!$A$2:$C$16,2,FALSE()),"")</f>
        <v>USB-C Charger</v>
      </c>
      <c r="L695" t="str">
        <f>IFERROR(VLOOKUP(F695&amp;"|"&amp;H695,Feature_Mappings!$A$2:$C$16,3,FALSE()),"")</f>
        <v>VoltEdge Electronics</v>
      </c>
      <c r="M695" t="str">
        <f>IFERROR(VLOOKUP(J695,Feature_Mappings!$D$2:$E$5,2,FALSE()),"")</f>
        <v>Sophie Nguyen</v>
      </c>
      <c r="N695" t="s">
        <v>526</v>
      </c>
      <c r="O695" t="str">
        <f>IFERROR(INDEX(Store_Manager!$A$2:$A$5,MATCH(M695,Store_Manager!$B$2:$B$5,0)),"")</f>
        <v>MGR003</v>
      </c>
    </row>
    <row r="696" spans="1:15" ht="15.75" customHeight="1">
      <c r="A696">
        <v>695</v>
      </c>
      <c r="B696" s="2">
        <v>45150</v>
      </c>
      <c r="C696" t="s">
        <v>720</v>
      </c>
      <c r="D696" t="s">
        <v>21</v>
      </c>
      <c r="E696">
        <v>22</v>
      </c>
      <c r="F696" s="3" t="s">
        <v>24</v>
      </c>
      <c r="G696">
        <v>3</v>
      </c>
      <c r="H696" s="4">
        <v>50</v>
      </c>
      <c r="I696" s="4">
        <v>150</v>
      </c>
      <c r="J696" t="s">
        <v>525</v>
      </c>
      <c r="K696" t="str">
        <f>IFERROR(VLOOKUP(F696&amp;"|"&amp;H696,Feature_Mappings!$A$2:$C$16,2,FALSE()),"")</f>
        <v>Bluetooth Speaker</v>
      </c>
      <c r="L696" t="str">
        <f>IFERROR(VLOOKUP(F696&amp;"|"&amp;H696,Feature_Mappings!$A$2:$C$16,3,FALSE()),"")</f>
        <v>SoundSphere Supply</v>
      </c>
      <c r="M696" t="str">
        <f>IFERROR(VLOOKUP(J696,Feature_Mappings!$D$2:$E$5,2,FALSE()),"")</f>
        <v>Sophie Nguyen</v>
      </c>
      <c r="N696" t="s">
        <v>526</v>
      </c>
      <c r="O696" t="str">
        <f>IFERROR(INDEX(Store_Manager!$A$2:$A$5,MATCH(M696,Store_Manager!$B$2:$B$5,0)),"")</f>
        <v>MGR003</v>
      </c>
    </row>
    <row r="697" spans="1:15" ht="15.75" customHeight="1">
      <c r="A697">
        <v>696</v>
      </c>
      <c r="B697" s="2">
        <v>45175</v>
      </c>
      <c r="C697" t="s">
        <v>721</v>
      </c>
      <c r="D697" t="s">
        <v>21</v>
      </c>
      <c r="E697">
        <v>50</v>
      </c>
      <c r="F697" s="3" t="s">
        <v>22</v>
      </c>
      <c r="G697">
        <v>4</v>
      </c>
      <c r="H697" s="4">
        <v>50</v>
      </c>
      <c r="I697" s="4">
        <v>200</v>
      </c>
      <c r="J697" t="s">
        <v>525</v>
      </c>
      <c r="K697" t="str">
        <f>IFERROR(VLOOKUP(F697&amp;"|"&amp;H697,Feature_Mappings!$A$2:$C$16,2,FALSE()),"")</f>
        <v>Denim Jeans</v>
      </c>
      <c r="L697" t="str">
        <f>IFERROR(VLOOKUP(F697&amp;"|"&amp;H697,Feature_Mappings!$A$2:$C$16,3,FALSE()),"")</f>
        <v>BlueFit Garments</v>
      </c>
      <c r="M697" t="str">
        <f>IFERROR(VLOOKUP(J697,Feature_Mappings!$D$2:$E$5,2,FALSE()),"")</f>
        <v>Sophie Nguyen</v>
      </c>
      <c r="N697" t="s">
        <v>526</v>
      </c>
      <c r="O697" t="str">
        <f>IFERROR(INDEX(Store_Manager!$A$2:$A$5,MATCH(M697,Store_Manager!$B$2:$B$5,0)),"")</f>
        <v>MGR003</v>
      </c>
    </row>
    <row r="698" spans="1:15" ht="15.75" customHeight="1">
      <c r="A698">
        <v>697</v>
      </c>
      <c r="B698" s="2">
        <v>44941</v>
      </c>
      <c r="C698" t="s">
        <v>722</v>
      </c>
      <c r="D698" t="s">
        <v>16</v>
      </c>
      <c r="E698">
        <v>53</v>
      </c>
      <c r="F698" s="3" t="s">
        <v>22</v>
      </c>
      <c r="G698">
        <v>1</v>
      </c>
      <c r="H698" s="4">
        <v>500</v>
      </c>
      <c r="I698" s="4">
        <v>500</v>
      </c>
      <c r="J698" t="s">
        <v>525</v>
      </c>
      <c r="K698" t="str">
        <f>IFERROR(VLOOKUP(F698&amp;"|"&amp;H698,Feature_Mappings!$A$2:$C$16,2,FALSE()),"")</f>
        <v>Designer Coat</v>
      </c>
      <c r="L698" t="str">
        <f>IFERROR(VLOOKUP(F698&amp;"|"&amp;H698,Feature_Mappings!$A$2:$C$16,3,FALSE()),"")</f>
        <v>Prestige Fashion House</v>
      </c>
      <c r="M698" t="str">
        <f>IFERROR(VLOOKUP(J698,Feature_Mappings!$D$2:$E$5,2,FALSE()),"")</f>
        <v>Sophie Nguyen</v>
      </c>
      <c r="N698" t="s">
        <v>526</v>
      </c>
      <c r="O698" t="str">
        <f>IFERROR(INDEX(Store_Manager!$A$2:$A$5,MATCH(M698,Store_Manager!$B$2:$B$5,0)),"")</f>
        <v>MGR003</v>
      </c>
    </row>
    <row r="699" spans="1:15" ht="15.75" customHeight="1">
      <c r="A699">
        <v>698</v>
      </c>
      <c r="B699" s="2">
        <v>45126</v>
      </c>
      <c r="C699" t="s">
        <v>723</v>
      </c>
      <c r="D699" t="s">
        <v>21</v>
      </c>
      <c r="E699">
        <v>64</v>
      </c>
      <c r="F699" s="3" t="s">
        <v>24</v>
      </c>
      <c r="G699">
        <v>1</v>
      </c>
      <c r="H699" s="4">
        <v>300</v>
      </c>
      <c r="I699" s="4">
        <v>300</v>
      </c>
      <c r="J699" t="s">
        <v>525</v>
      </c>
      <c r="K699" t="str">
        <f>IFERROR(VLOOKUP(F699&amp;"|"&amp;H699,Feature_Mappings!$A$2:$C$16,2,FALSE()),"")</f>
        <v>Tablet</v>
      </c>
      <c r="L699" t="str">
        <f>IFERROR(VLOOKUP(F699&amp;"|"&amp;H699,Feature_Mappings!$A$2:$C$16,3,FALSE()),"")</f>
        <v>NextGen Devices</v>
      </c>
      <c r="M699" t="str">
        <f>IFERROR(VLOOKUP(J699,Feature_Mappings!$D$2:$E$5,2,FALSE()),"")</f>
        <v>Sophie Nguyen</v>
      </c>
      <c r="N699" t="s">
        <v>526</v>
      </c>
      <c r="O699" t="str">
        <f>IFERROR(INDEX(Store_Manager!$A$2:$A$5,MATCH(M699,Store_Manager!$B$2:$B$5,0)),"")</f>
        <v>MGR003</v>
      </c>
    </row>
    <row r="700" spans="1:15" ht="15.75" customHeight="1">
      <c r="A700">
        <v>699</v>
      </c>
      <c r="B700" s="2">
        <v>45099</v>
      </c>
      <c r="C700" t="s">
        <v>724</v>
      </c>
      <c r="D700" t="s">
        <v>21</v>
      </c>
      <c r="E700">
        <v>37</v>
      </c>
      <c r="F700" s="3" t="s">
        <v>22</v>
      </c>
      <c r="G700">
        <v>4</v>
      </c>
      <c r="H700" s="4">
        <v>30</v>
      </c>
      <c r="I700" s="4">
        <v>120</v>
      </c>
      <c r="J700" t="s">
        <v>525</v>
      </c>
      <c r="K700" t="str">
        <f>IFERROR(VLOOKUP(F700&amp;"|"&amp;H700,Feature_Mappings!$A$2:$C$16,2,FALSE()),"")</f>
        <v>Graphic T-Shirt</v>
      </c>
      <c r="L700" t="str">
        <f>IFERROR(VLOOKUP(F700&amp;"|"&amp;H700,Feature_Mappings!$A$2:$C$16,3,FALSE()),"")</f>
        <v>ThreadWorks Apparel</v>
      </c>
      <c r="M700" t="str">
        <f>IFERROR(VLOOKUP(J700,Feature_Mappings!$D$2:$E$5,2,FALSE()),"")</f>
        <v>Sophie Nguyen</v>
      </c>
      <c r="N700" t="s">
        <v>526</v>
      </c>
      <c r="O700" t="str">
        <f>IFERROR(INDEX(Store_Manager!$A$2:$A$5,MATCH(M700,Store_Manager!$B$2:$B$5,0)),"")</f>
        <v>MGR003</v>
      </c>
    </row>
    <row r="701" spans="1:15" ht="15.75" customHeight="1">
      <c r="A701">
        <v>700</v>
      </c>
      <c r="B701" s="2">
        <v>45269</v>
      </c>
      <c r="C701" t="s">
        <v>725</v>
      </c>
      <c r="D701" t="s">
        <v>16</v>
      </c>
      <c r="E701">
        <v>36</v>
      </c>
      <c r="F701" s="3" t="s">
        <v>24</v>
      </c>
      <c r="G701">
        <v>4</v>
      </c>
      <c r="H701" s="4">
        <v>500</v>
      </c>
      <c r="I701" s="4">
        <v>2000</v>
      </c>
      <c r="J701" t="s">
        <v>525</v>
      </c>
      <c r="K701" t="str">
        <f>IFERROR(VLOOKUP(F701&amp;"|"&amp;H701,Feature_Mappings!$A$2:$C$16,2,FALSE()),"")</f>
        <v>Smartphone</v>
      </c>
      <c r="L701" t="str">
        <f>IFERROR(VLOOKUP(F701&amp;"|"&amp;H701,Feature_Mappings!$A$2:$C$16,3,FALSE()),"")</f>
        <v>NovaTech Wholesale</v>
      </c>
      <c r="M701" t="str">
        <f>IFERROR(VLOOKUP(J701,Feature_Mappings!$D$2:$E$5,2,FALSE()),"")</f>
        <v>Sophie Nguyen</v>
      </c>
      <c r="N701" t="s">
        <v>526</v>
      </c>
      <c r="O701" t="str">
        <f>IFERROR(INDEX(Store_Manager!$A$2:$A$5,MATCH(M701,Store_Manager!$B$2:$B$5,0)),"")</f>
        <v>MGR003</v>
      </c>
    </row>
    <row r="702" spans="1:15" ht="15.75" customHeight="1">
      <c r="A702">
        <v>701</v>
      </c>
      <c r="B702" s="2">
        <v>45274</v>
      </c>
      <c r="C702" t="s">
        <v>726</v>
      </c>
      <c r="D702" t="s">
        <v>21</v>
      </c>
      <c r="E702">
        <v>52</v>
      </c>
      <c r="F702" s="3" t="s">
        <v>17</v>
      </c>
      <c r="G702">
        <v>2</v>
      </c>
      <c r="H702" s="4">
        <v>30</v>
      </c>
      <c r="I702" s="4">
        <v>60</v>
      </c>
      <c r="J702" t="s">
        <v>525</v>
      </c>
      <c r="K702" t="str">
        <f>IFERROR(VLOOKUP(F702&amp;"|"&amp;H702,Feature_Mappings!$A$2:$C$16,2,FALSE()),"")</f>
        <v>Facial Cleanser</v>
      </c>
      <c r="L702" t="str">
        <f>IFERROR(VLOOKUP(F702&amp;"|"&amp;H702,Feature_Mappings!$A$2:$C$16,3,FALSE()),"")</f>
        <v>PureDerma Supplies</v>
      </c>
      <c r="M702" t="str">
        <f>IFERROR(VLOOKUP(J702,Feature_Mappings!$D$2:$E$5,2,FALSE()),"")</f>
        <v>Sophie Nguyen</v>
      </c>
      <c r="N702" t="s">
        <v>526</v>
      </c>
      <c r="O702" t="str">
        <f>IFERROR(INDEX(Store_Manager!$A$2:$A$5,MATCH(M702,Store_Manager!$B$2:$B$5,0)),"")</f>
        <v>MGR003</v>
      </c>
    </row>
    <row r="703" spans="1:15" ht="15.75" customHeight="1">
      <c r="A703">
        <v>702</v>
      </c>
      <c r="B703" s="2">
        <v>45134</v>
      </c>
      <c r="C703" t="s">
        <v>727</v>
      </c>
      <c r="D703" t="s">
        <v>21</v>
      </c>
      <c r="E703">
        <v>60</v>
      </c>
      <c r="F703" s="3" t="s">
        <v>22</v>
      </c>
      <c r="G703">
        <v>2</v>
      </c>
      <c r="H703" s="4">
        <v>300</v>
      </c>
      <c r="I703" s="4">
        <v>600</v>
      </c>
      <c r="J703" t="s">
        <v>525</v>
      </c>
      <c r="K703" t="str">
        <f>IFERROR(VLOOKUP(F703&amp;"|"&amp;H703,Feature_Mappings!$A$2:$C$16,2,FALSE()),"")</f>
        <v>Leather Jacket</v>
      </c>
      <c r="L703" t="str">
        <f>IFERROR(VLOOKUP(F703&amp;"|"&amp;H703,Feature_Mappings!$A$2:$C$16,3,FALSE()),"")</f>
        <v>Metro Style Manufacturing</v>
      </c>
      <c r="M703" t="str">
        <f>IFERROR(VLOOKUP(J703,Feature_Mappings!$D$2:$E$5,2,FALSE()),"")</f>
        <v>Sophie Nguyen</v>
      </c>
      <c r="N703" t="s">
        <v>526</v>
      </c>
      <c r="O703" t="str">
        <f>IFERROR(INDEX(Store_Manager!$A$2:$A$5,MATCH(M703,Store_Manager!$B$2:$B$5,0)),"")</f>
        <v>MGR003</v>
      </c>
    </row>
    <row r="704" spans="1:15" ht="15.75" customHeight="1">
      <c r="A704">
        <v>703</v>
      </c>
      <c r="B704" s="2">
        <v>45011</v>
      </c>
      <c r="C704" t="s">
        <v>728</v>
      </c>
      <c r="D704" t="s">
        <v>16</v>
      </c>
      <c r="E704">
        <v>34</v>
      </c>
      <c r="F704" s="3" t="s">
        <v>24</v>
      </c>
      <c r="G704">
        <v>2</v>
      </c>
      <c r="H704" s="4">
        <v>50</v>
      </c>
      <c r="I704" s="4">
        <v>100</v>
      </c>
      <c r="J704" t="s">
        <v>525</v>
      </c>
      <c r="K704" t="str">
        <f>IFERROR(VLOOKUP(F704&amp;"|"&amp;H704,Feature_Mappings!$A$2:$C$16,2,FALSE()),"")</f>
        <v>Bluetooth Speaker</v>
      </c>
      <c r="L704" t="str">
        <f>IFERROR(VLOOKUP(F704&amp;"|"&amp;H704,Feature_Mappings!$A$2:$C$16,3,FALSE()),"")</f>
        <v>SoundSphere Supply</v>
      </c>
      <c r="M704" t="str">
        <f>IFERROR(VLOOKUP(J704,Feature_Mappings!$D$2:$E$5,2,FALSE()),"")</f>
        <v>Sophie Nguyen</v>
      </c>
      <c r="N704" t="s">
        <v>526</v>
      </c>
      <c r="O704" t="str">
        <f>IFERROR(INDEX(Store_Manager!$A$2:$A$5,MATCH(M704,Store_Manager!$B$2:$B$5,0)),"")</f>
        <v>MGR003</v>
      </c>
    </row>
    <row r="705" spans="1:15" ht="15.75" customHeight="1">
      <c r="A705">
        <v>704</v>
      </c>
      <c r="B705" s="2">
        <v>45166</v>
      </c>
      <c r="C705" t="s">
        <v>729</v>
      </c>
      <c r="D705" t="s">
        <v>21</v>
      </c>
      <c r="E705">
        <v>62</v>
      </c>
      <c r="F705" s="3" t="s">
        <v>22</v>
      </c>
      <c r="G705">
        <v>3</v>
      </c>
      <c r="H705" s="4">
        <v>30</v>
      </c>
      <c r="I705" s="4">
        <v>90</v>
      </c>
      <c r="J705" t="s">
        <v>525</v>
      </c>
      <c r="K705" t="str">
        <f>IFERROR(VLOOKUP(F705&amp;"|"&amp;H705,Feature_Mappings!$A$2:$C$16,2,FALSE()),"")</f>
        <v>Graphic T-Shirt</v>
      </c>
      <c r="L705" t="str">
        <f>IFERROR(VLOOKUP(F705&amp;"|"&amp;H705,Feature_Mappings!$A$2:$C$16,3,FALSE()),"")</f>
        <v>ThreadWorks Apparel</v>
      </c>
      <c r="M705" t="str">
        <f>IFERROR(VLOOKUP(J705,Feature_Mappings!$D$2:$E$5,2,FALSE()),"")</f>
        <v>Sophie Nguyen</v>
      </c>
      <c r="N705" t="s">
        <v>526</v>
      </c>
      <c r="O705" t="str">
        <f>IFERROR(INDEX(Store_Manager!$A$2:$A$5,MATCH(M705,Store_Manager!$B$2:$B$5,0)),"")</f>
        <v>MGR003</v>
      </c>
    </row>
    <row r="706" spans="1:15" ht="15.75" customHeight="1">
      <c r="A706">
        <v>705</v>
      </c>
      <c r="B706" s="2">
        <v>44992</v>
      </c>
      <c r="C706" t="s">
        <v>730</v>
      </c>
      <c r="D706" t="s">
        <v>16</v>
      </c>
      <c r="E706">
        <v>60</v>
      </c>
      <c r="F706" s="3" t="s">
        <v>24</v>
      </c>
      <c r="G706">
        <v>2</v>
      </c>
      <c r="H706" s="4">
        <v>25</v>
      </c>
      <c r="I706" s="4">
        <v>50</v>
      </c>
      <c r="J706" t="s">
        <v>525</v>
      </c>
      <c r="K706" t="str">
        <f>IFERROR(VLOOKUP(F706&amp;"|"&amp;H706,Feature_Mappings!$A$2:$C$16,2,FALSE()),"")</f>
        <v>USB-C Charger</v>
      </c>
      <c r="L706" t="str">
        <f>IFERROR(VLOOKUP(F706&amp;"|"&amp;H706,Feature_Mappings!$A$2:$C$16,3,FALSE()),"")</f>
        <v>VoltEdge Electronics</v>
      </c>
      <c r="M706" t="str">
        <f>IFERROR(VLOOKUP(J706,Feature_Mappings!$D$2:$E$5,2,FALSE()),"")</f>
        <v>Sophie Nguyen</v>
      </c>
      <c r="N706" t="s">
        <v>526</v>
      </c>
      <c r="O706" t="str">
        <f>IFERROR(INDEX(Store_Manager!$A$2:$A$5,MATCH(M706,Store_Manager!$B$2:$B$5,0)),"")</f>
        <v>MGR003</v>
      </c>
    </row>
    <row r="707" spans="1:15" ht="15.75" customHeight="1">
      <c r="A707">
        <v>706</v>
      </c>
      <c r="B707" s="2">
        <v>45245</v>
      </c>
      <c r="C707" t="s">
        <v>731</v>
      </c>
      <c r="D707" t="s">
        <v>16</v>
      </c>
      <c r="E707">
        <v>51</v>
      </c>
      <c r="F707" s="3" t="s">
        <v>24</v>
      </c>
      <c r="G707">
        <v>4</v>
      </c>
      <c r="H707" s="4">
        <v>25</v>
      </c>
      <c r="I707" s="4">
        <v>100</v>
      </c>
      <c r="J707" t="s">
        <v>525</v>
      </c>
      <c r="K707" t="str">
        <f>IFERROR(VLOOKUP(F707&amp;"|"&amp;H707,Feature_Mappings!$A$2:$C$16,2,FALSE()),"")</f>
        <v>USB-C Charger</v>
      </c>
      <c r="L707" t="str">
        <f>IFERROR(VLOOKUP(F707&amp;"|"&amp;H707,Feature_Mappings!$A$2:$C$16,3,FALSE()),"")</f>
        <v>VoltEdge Electronics</v>
      </c>
      <c r="M707" t="str">
        <f>IFERROR(VLOOKUP(J707,Feature_Mappings!$D$2:$E$5,2,FALSE()),"")</f>
        <v>Sophie Nguyen</v>
      </c>
      <c r="N707" t="s">
        <v>526</v>
      </c>
      <c r="O707" t="str">
        <f>IFERROR(INDEX(Store_Manager!$A$2:$A$5,MATCH(M707,Store_Manager!$B$2:$B$5,0)),"")</f>
        <v>MGR003</v>
      </c>
    </row>
    <row r="708" spans="1:15" ht="15.75" customHeight="1">
      <c r="A708">
        <v>707</v>
      </c>
      <c r="B708" s="2">
        <v>45200</v>
      </c>
      <c r="C708" t="s">
        <v>732</v>
      </c>
      <c r="D708" t="s">
        <v>21</v>
      </c>
      <c r="E708">
        <v>26</v>
      </c>
      <c r="F708" s="3" t="s">
        <v>22</v>
      </c>
      <c r="G708">
        <v>1</v>
      </c>
      <c r="H708" s="4">
        <v>500</v>
      </c>
      <c r="I708" s="4">
        <v>500</v>
      </c>
      <c r="J708" t="s">
        <v>525</v>
      </c>
      <c r="K708" t="str">
        <f>IFERROR(VLOOKUP(F708&amp;"|"&amp;H708,Feature_Mappings!$A$2:$C$16,2,FALSE()),"")</f>
        <v>Designer Coat</v>
      </c>
      <c r="L708" t="str">
        <f>IFERROR(VLOOKUP(F708&amp;"|"&amp;H708,Feature_Mappings!$A$2:$C$16,3,FALSE()),"")</f>
        <v>Prestige Fashion House</v>
      </c>
      <c r="M708" t="str">
        <f>IFERROR(VLOOKUP(J708,Feature_Mappings!$D$2:$E$5,2,FALSE()),"")</f>
        <v>Sophie Nguyen</v>
      </c>
      <c r="N708" t="s">
        <v>526</v>
      </c>
      <c r="O708" t="str">
        <f>IFERROR(INDEX(Store_Manager!$A$2:$A$5,MATCH(M708,Store_Manager!$B$2:$B$5,0)),"")</f>
        <v>MGR003</v>
      </c>
    </row>
    <row r="709" spans="1:15" ht="15.75" customHeight="1">
      <c r="A709">
        <v>708</v>
      </c>
      <c r="B709" s="2">
        <v>44940</v>
      </c>
      <c r="C709" t="s">
        <v>733</v>
      </c>
      <c r="D709" t="s">
        <v>21</v>
      </c>
      <c r="E709">
        <v>43</v>
      </c>
      <c r="F709" s="3" t="s">
        <v>17</v>
      </c>
      <c r="G709">
        <v>3</v>
      </c>
      <c r="H709" s="4">
        <v>300</v>
      </c>
      <c r="I709" s="4">
        <v>900</v>
      </c>
      <c r="J709" t="s">
        <v>525</v>
      </c>
      <c r="K709" t="str">
        <f>IFERROR(VLOOKUP(F709&amp;"|"&amp;H709,Feature_Mappings!$A$2:$C$16,2,FALSE()),"")</f>
        <v>Skincare Gift Set</v>
      </c>
      <c r="L709" t="str">
        <f>IFERROR(VLOOKUP(F709&amp;"|"&amp;H709,Feature_Mappings!$A$2:$C$16,3,FALSE()),"")</f>
        <v>Radiant Beauty Wholesale</v>
      </c>
      <c r="M709" t="str">
        <f>IFERROR(VLOOKUP(J709,Feature_Mappings!$D$2:$E$5,2,FALSE()),"")</f>
        <v>Sophie Nguyen</v>
      </c>
      <c r="N709" t="s">
        <v>526</v>
      </c>
      <c r="O709" t="str">
        <f>IFERROR(INDEX(Store_Manager!$A$2:$A$5,MATCH(M709,Store_Manager!$B$2:$B$5,0)),"")</f>
        <v>MGR003</v>
      </c>
    </row>
    <row r="710" spans="1:15" ht="15.75" customHeight="1">
      <c r="A710">
        <v>709</v>
      </c>
      <c r="B710" s="2">
        <v>45128</v>
      </c>
      <c r="C710" t="s">
        <v>734</v>
      </c>
      <c r="D710" t="s">
        <v>21</v>
      </c>
      <c r="E710">
        <v>19</v>
      </c>
      <c r="F710" s="3" t="s">
        <v>24</v>
      </c>
      <c r="G710">
        <v>2</v>
      </c>
      <c r="H710" s="4">
        <v>500</v>
      </c>
      <c r="I710" s="4">
        <v>1000</v>
      </c>
      <c r="J710" t="s">
        <v>525</v>
      </c>
      <c r="K710" t="str">
        <f>IFERROR(VLOOKUP(F710&amp;"|"&amp;H710,Feature_Mappings!$A$2:$C$16,2,FALSE()),"")</f>
        <v>Smartphone</v>
      </c>
      <c r="L710" t="str">
        <f>IFERROR(VLOOKUP(F710&amp;"|"&amp;H710,Feature_Mappings!$A$2:$C$16,3,FALSE()),"")</f>
        <v>NovaTech Wholesale</v>
      </c>
      <c r="M710" t="str">
        <f>IFERROR(VLOOKUP(J710,Feature_Mappings!$D$2:$E$5,2,FALSE()),"")</f>
        <v>Sophie Nguyen</v>
      </c>
      <c r="N710" t="s">
        <v>526</v>
      </c>
      <c r="O710" t="str">
        <f>IFERROR(INDEX(Store_Manager!$A$2:$A$5,MATCH(M710,Store_Manager!$B$2:$B$5,0)),"")</f>
        <v>MGR003</v>
      </c>
    </row>
    <row r="711" spans="1:15" ht="15.75" customHeight="1">
      <c r="A711">
        <v>710</v>
      </c>
      <c r="B711" s="2">
        <v>45230</v>
      </c>
      <c r="C711" t="s">
        <v>735</v>
      </c>
      <c r="D711" t="s">
        <v>21</v>
      </c>
      <c r="E711">
        <v>26</v>
      </c>
      <c r="F711" s="3" t="s">
        <v>24</v>
      </c>
      <c r="G711">
        <v>3</v>
      </c>
      <c r="H711" s="4">
        <v>500</v>
      </c>
      <c r="I711" s="4">
        <v>1500</v>
      </c>
      <c r="J711" t="s">
        <v>525</v>
      </c>
      <c r="K711" t="str">
        <f>IFERROR(VLOOKUP(F711&amp;"|"&amp;H711,Feature_Mappings!$A$2:$C$16,2,FALSE()),"")</f>
        <v>Smartphone</v>
      </c>
      <c r="L711" t="str">
        <f>IFERROR(VLOOKUP(F711&amp;"|"&amp;H711,Feature_Mappings!$A$2:$C$16,3,FALSE()),"")</f>
        <v>NovaTech Wholesale</v>
      </c>
      <c r="M711" t="str">
        <f>IFERROR(VLOOKUP(J711,Feature_Mappings!$D$2:$E$5,2,FALSE()),"")</f>
        <v>Sophie Nguyen</v>
      </c>
      <c r="N711" t="s">
        <v>526</v>
      </c>
      <c r="O711" t="str">
        <f>IFERROR(INDEX(Store_Manager!$A$2:$A$5,MATCH(M711,Store_Manager!$B$2:$B$5,0)),"")</f>
        <v>MGR003</v>
      </c>
    </row>
    <row r="712" spans="1:15" ht="15.75" customHeight="1">
      <c r="A712">
        <v>711</v>
      </c>
      <c r="B712" s="2">
        <v>45215</v>
      </c>
      <c r="C712" t="s">
        <v>736</v>
      </c>
      <c r="D712" t="s">
        <v>16</v>
      </c>
      <c r="E712">
        <v>26</v>
      </c>
      <c r="F712" s="3" t="s">
        <v>24</v>
      </c>
      <c r="G712">
        <v>3</v>
      </c>
      <c r="H712" s="4">
        <v>500</v>
      </c>
      <c r="I712" s="4">
        <v>1500</v>
      </c>
      <c r="J712" t="s">
        <v>525</v>
      </c>
      <c r="K712" t="str">
        <f>IFERROR(VLOOKUP(F712&amp;"|"&amp;H712,Feature_Mappings!$A$2:$C$16,2,FALSE()),"")</f>
        <v>Smartphone</v>
      </c>
      <c r="L712" t="str">
        <f>IFERROR(VLOOKUP(F712&amp;"|"&amp;H712,Feature_Mappings!$A$2:$C$16,3,FALSE()),"")</f>
        <v>NovaTech Wholesale</v>
      </c>
      <c r="M712" t="str">
        <f>IFERROR(VLOOKUP(J712,Feature_Mappings!$D$2:$E$5,2,FALSE()),"")</f>
        <v>Sophie Nguyen</v>
      </c>
      <c r="N712" t="s">
        <v>526</v>
      </c>
      <c r="O712" t="str">
        <f>IFERROR(INDEX(Store_Manager!$A$2:$A$5,MATCH(M712,Store_Manager!$B$2:$B$5,0)),"")</f>
        <v>MGR003</v>
      </c>
    </row>
    <row r="713" spans="1:15" ht="15.75" customHeight="1">
      <c r="A713">
        <v>712</v>
      </c>
      <c r="B713" s="2">
        <v>45266</v>
      </c>
      <c r="C713" t="s">
        <v>737</v>
      </c>
      <c r="D713" t="s">
        <v>21</v>
      </c>
      <c r="E713">
        <v>57</v>
      </c>
      <c r="F713" s="3" t="s">
        <v>17</v>
      </c>
      <c r="G713">
        <v>2</v>
      </c>
      <c r="H713" s="4">
        <v>25</v>
      </c>
      <c r="I713" s="4">
        <v>50</v>
      </c>
      <c r="J713" t="s">
        <v>525</v>
      </c>
      <c r="K713" t="str">
        <f>IFERROR(VLOOKUP(F713&amp;"|"&amp;H713,Feature_Mappings!$A$2:$C$16,2,FALSE()),"")</f>
        <v>Lip Balm</v>
      </c>
      <c r="L713" t="str">
        <f>IFERROR(VLOOKUP(F713&amp;"|"&amp;H713,Feature_Mappings!$A$2:$C$16,3,FALSE()),"")</f>
        <v>GlowSource Cosmetics</v>
      </c>
      <c r="M713" t="str">
        <f>IFERROR(VLOOKUP(J713,Feature_Mappings!$D$2:$E$5,2,FALSE()),"")</f>
        <v>Sophie Nguyen</v>
      </c>
      <c r="N713" t="s">
        <v>526</v>
      </c>
      <c r="O713" t="str">
        <f>IFERROR(INDEX(Store_Manager!$A$2:$A$5,MATCH(M713,Store_Manager!$B$2:$B$5,0)),"")</f>
        <v>MGR003</v>
      </c>
    </row>
    <row r="714" spans="1:15" ht="15.75" customHeight="1">
      <c r="A714">
        <v>713</v>
      </c>
      <c r="B714" s="2">
        <v>44940</v>
      </c>
      <c r="C714" t="s">
        <v>738</v>
      </c>
      <c r="D714" t="s">
        <v>16</v>
      </c>
      <c r="E714">
        <v>34</v>
      </c>
      <c r="F714" s="3" t="s">
        <v>17</v>
      </c>
      <c r="G714">
        <v>3</v>
      </c>
      <c r="H714" s="4">
        <v>25</v>
      </c>
      <c r="I714" s="4">
        <v>75</v>
      </c>
      <c r="J714" t="s">
        <v>525</v>
      </c>
      <c r="K714" t="str">
        <f>IFERROR(VLOOKUP(F714&amp;"|"&amp;H714,Feature_Mappings!$A$2:$C$16,2,FALSE()),"")</f>
        <v>Lip Balm</v>
      </c>
      <c r="L714" t="str">
        <f>IFERROR(VLOOKUP(F714&amp;"|"&amp;H714,Feature_Mappings!$A$2:$C$16,3,FALSE()),"")</f>
        <v>GlowSource Cosmetics</v>
      </c>
      <c r="M714" t="str">
        <f>IFERROR(VLOOKUP(J714,Feature_Mappings!$D$2:$E$5,2,FALSE()),"")</f>
        <v>Sophie Nguyen</v>
      </c>
      <c r="N714" t="s">
        <v>526</v>
      </c>
      <c r="O714" t="str">
        <f>IFERROR(INDEX(Store_Manager!$A$2:$A$5,MATCH(M714,Store_Manager!$B$2:$B$5,0)),"")</f>
        <v>MGR003</v>
      </c>
    </row>
    <row r="715" spans="1:15" ht="15.75" customHeight="1">
      <c r="A715">
        <v>714</v>
      </c>
      <c r="B715" s="2">
        <v>44969</v>
      </c>
      <c r="C715" t="s">
        <v>739</v>
      </c>
      <c r="D715" t="s">
        <v>21</v>
      </c>
      <c r="E715">
        <v>18</v>
      </c>
      <c r="F715" s="3" t="s">
        <v>22</v>
      </c>
      <c r="G715">
        <v>1</v>
      </c>
      <c r="H715" s="4">
        <v>500</v>
      </c>
      <c r="I715" s="4">
        <v>500</v>
      </c>
      <c r="J715" t="s">
        <v>525</v>
      </c>
      <c r="K715" t="str">
        <f>IFERROR(VLOOKUP(F715&amp;"|"&amp;H715,Feature_Mappings!$A$2:$C$16,2,FALSE()),"")</f>
        <v>Designer Coat</v>
      </c>
      <c r="L715" t="str">
        <f>IFERROR(VLOOKUP(F715&amp;"|"&amp;H715,Feature_Mappings!$A$2:$C$16,3,FALSE()),"")</f>
        <v>Prestige Fashion House</v>
      </c>
      <c r="M715" t="str">
        <f>IFERROR(VLOOKUP(J715,Feature_Mappings!$D$2:$E$5,2,FALSE()),"")</f>
        <v>Sophie Nguyen</v>
      </c>
      <c r="N715" t="s">
        <v>526</v>
      </c>
      <c r="O715" t="str">
        <f>IFERROR(INDEX(Store_Manager!$A$2:$A$5,MATCH(M715,Store_Manager!$B$2:$B$5,0)),"")</f>
        <v>MGR003</v>
      </c>
    </row>
    <row r="716" spans="1:15" ht="15.75" customHeight="1">
      <c r="A716">
        <v>715</v>
      </c>
      <c r="B716" s="2">
        <v>45256</v>
      </c>
      <c r="C716" t="s">
        <v>740</v>
      </c>
      <c r="D716" t="s">
        <v>21</v>
      </c>
      <c r="E716">
        <v>42</v>
      </c>
      <c r="F716" s="3" t="s">
        <v>17</v>
      </c>
      <c r="G716">
        <v>4</v>
      </c>
      <c r="H716" s="4">
        <v>25</v>
      </c>
      <c r="I716" s="4">
        <v>100</v>
      </c>
      <c r="J716" t="s">
        <v>525</v>
      </c>
      <c r="K716" t="str">
        <f>IFERROR(VLOOKUP(F716&amp;"|"&amp;H716,Feature_Mappings!$A$2:$C$16,2,FALSE()),"")</f>
        <v>Lip Balm</v>
      </c>
      <c r="L716" t="str">
        <f>IFERROR(VLOOKUP(F716&amp;"|"&amp;H716,Feature_Mappings!$A$2:$C$16,3,FALSE()),"")</f>
        <v>GlowSource Cosmetics</v>
      </c>
      <c r="M716" t="str">
        <f>IFERROR(VLOOKUP(J716,Feature_Mappings!$D$2:$E$5,2,FALSE()),"")</f>
        <v>Sophie Nguyen</v>
      </c>
      <c r="N716" t="s">
        <v>526</v>
      </c>
      <c r="O716" t="str">
        <f>IFERROR(INDEX(Store_Manager!$A$2:$A$5,MATCH(M716,Store_Manager!$B$2:$B$5,0)),"")</f>
        <v>MGR003</v>
      </c>
    </row>
    <row r="717" spans="1:15" ht="15.75" customHeight="1">
      <c r="A717">
        <v>716</v>
      </c>
      <c r="B717" s="2">
        <v>45146</v>
      </c>
      <c r="C717" t="s">
        <v>741</v>
      </c>
      <c r="D717" t="s">
        <v>21</v>
      </c>
      <c r="E717">
        <v>60</v>
      </c>
      <c r="F717" s="3" t="s">
        <v>22</v>
      </c>
      <c r="G717">
        <v>4</v>
      </c>
      <c r="H717" s="4">
        <v>300</v>
      </c>
      <c r="I717" s="4">
        <v>1200</v>
      </c>
      <c r="J717" t="s">
        <v>525</v>
      </c>
      <c r="K717" t="str">
        <f>IFERROR(VLOOKUP(F717&amp;"|"&amp;H717,Feature_Mappings!$A$2:$C$16,2,FALSE()),"")</f>
        <v>Leather Jacket</v>
      </c>
      <c r="L717" t="str">
        <f>IFERROR(VLOOKUP(F717&amp;"|"&amp;H717,Feature_Mappings!$A$2:$C$16,3,FALSE()),"")</f>
        <v>Metro Style Manufacturing</v>
      </c>
      <c r="M717" t="str">
        <f>IFERROR(VLOOKUP(J717,Feature_Mappings!$D$2:$E$5,2,FALSE()),"")</f>
        <v>Sophie Nguyen</v>
      </c>
      <c r="N717" t="s">
        <v>526</v>
      </c>
      <c r="O717" t="str">
        <f>IFERROR(INDEX(Store_Manager!$A$2:$A$5,MATCH(M717,Store_Manager!$B$2:$B$5,0)),"")</f>
        <v>MGR003</v>
      </c>
    </row>
    <row r="718" spans="1:15" ht="15.75" customHeight="1">
      <c r="A718">
        <v>717</v>
      </c>
      <c r="B718" s="2">
        <v>44996</v>
      </c>
      <c r="C718" t="s">
        <v>742</v>
      </c>
      <c r="D718" t="s">
        <v>16</v>
      </c>
      <c r="E718">
        <v>57</v>
      </c>
      <c r="F718" s="3" t="s">
        <v>22</v>
      </c>
      <c r="G718">
        <v>1</v>
      </c>
      <c r="H718" s="4">
        <v>500</v>
      </c>
      <c r="I718" s="4">
        <v>500</v>
      </c>
      <c r="J718" t="s">
        <v>525</v>
      </c>
      <c r="K718" t="str">
        <f>IFERROR(VLOOKUP(F718&amp;"|"&amp;H718,Feature_Mappings!$A$2:$C$16,2,FALSE()),"")</f>
        <v>Designer Coat</v>
      </c>
      <c r="L718" t="str">
        <f>IFERROR(VLOOKUP(F718&amp;"|"&amp;H718,Feature_Mappings!$A$2:$C$16,3,FALSE()),"")</f>
        <v>Prestige Fashion House</v>
      </c>
      <c r="M718" t="str">
        <f>IFERROR(VLOOKUP(J718,Feature_Mappings!$D$2:$E$5,2,FALSE()),"")</f>
        <v>Sophie Nguyen</v>
      </c>
      <c r="N718" t="s">
        <v>526</v>
      </c>
      <c r="O718" t="str">
        <f>IFERROR(INDEX(Store_Manager!$A$2:$A$5,MATCH(M718,Store_Manager!$B$2:$B$5,0)),"")</f>
        <v>MGR003</v>
      </c>
    </row>
    <row r="719" spans="1:15" ht="15.75" customHeight="1">
      <c r="A719">
        <v>718</v>
      </c>
      <c r="B719" s="2">
        <v>45163</v>
      </c>
      <c r="C719" t="s">
        <v>743</v>
      </c>
      <c r="D719" t="s">
        <v>21</v>
      </c>
      <c r="E719">
        <v>59</v>
      </c>
      <c r="F719" s="3" t="s">
        <v>17</v>
      </c>
      <c r="G719">
        <v>3</v>
      </c>
      <c r="H719" s="4">
        <v>25</v>
      </c>
      <c r="I719" s="4">
        <v>75</v>
      </c>
      <c r="J719" t="s">
        <v>525</v>
      </c>
      <c r="K719" t="str">
        <f>IFERROR(VLOOKUP(F719&amp;"|"&amp;H719,Feature_Mappings!$A$2:$C$16,2,FALSE()),"")</f>
        <v>Lip Balm</v>
      </c>
      <c r="L719" t="str">
        <f>IFERROR(VLOOKUP(F719&amp;"|"&amp;H719,Feature_Mappings!$A$2:$C$16,3,FALSE()),"")</f>
        <v>GlowSource Cosmetics</v>
      </c>
      <c r="M719" t="str">
        <f>IFERROR(VLOOKUP(J719,Feature_Mappings!$D$2:$E$5,2,FALSE()),"")</f>
        <v>Sophie Nguyen</v>
      </c>
      <c r="N719" t="s">
        <v>526</v>
      </c>
      <c r="O719" t="str">
        <f>IFERROR(INDEX(Store_Manager!$A$2:$A$5,MATCH(M719,Store_Manager!$B$2:$B$5,0)),"")</f>
        <v>MGR003</v>
      </c>
    </row>
    <row r="720" spans="1:15" ht="15.75" customHeight="1">
      <c r="A720">
        <v>719</v>
      </c>
      <c r="B720" s="2">
        <v>45020</v>
      </c>
      <c r="C720" t="s">
        <v>744</v>
      </c>
      <c r="D720" t="s">
        <v>21</v>
      </c>
      <c r="E720">
        <v>42</v>
      </c>
      <c r="F720" s="3" t="s">
        <v>22</v>
      </c>
      <c r="G720">
        <v>2</v>
      </c>
      <c r="H720" s="4">
        <v>30</v>
      </c>
      <c r="I720" s="4">
        <v>60</v>
      </c>
      <c r="J720" t="s">
        <v>525</v>
      </c>
      <c r="K720" t="str">
        <f>IFERROR(VLOOKUP(F720&amp;"|"&amp;H720,Feature_Mappings!$A$2:$C$16,2,FALSE()),"")</f>
        <v>Graphic T-Shirt</v>
      </c>
      <c r="L720" t="str">
        <f>IFERROR(VLOOKUP(F720&amp;"|"&amp;H720,Feature_Mappings!$A$2:$C$16,3,FALSE()),"")</f>
        <v>ThreadWorks Apparel</v>
      </c>
      <c r="M720" t="str">
        <f>IFERROR(VLOOKUP(J720,Feature_Mappings!$D$2:$E$5,2,FALSE()),"")</f>
        <v>Sophie Nguyen</v>
      </c>
      <c r="N720" t="s">
        <v>526</v>
      </c>
      <c r="O720" t="str">
        <f>IFERROR(INDEX(Store_Manager!$A$2:$A$5,MATCH(M720,Store_Manager!$B$2:$B$5,0)),"")</f>
        <v>MGR003</v>
      </c>
    </row>
    <row r="721" spans="1:15" ht="15.75" customHeight="1">
      <c r="A721">
        <v>720</v>
      </c>
      <c r="B721" s="2">
        <v>44952</v>
      </c>
      <c r="C721" t="s">
        <v>745</v>
      </c>
      <c r="D721" t="s">
        <v>21</v>
      </c>
      <c r="E721">
        <v>56</v>
      </c>
      <c r="F721" s="3" t="s">
        <v>17</v>
      </c>
      <c r="G721">
        <v>3</v>
      </c>
      <c r="H721" s="4">
        <v>500</v>
      </c>
      <c r="I721" s="4">
        <v>1500</v>
      </c>
      <c r="J721" t="s">
        <v>525</v>
      </c>
      <c r="K721" t="str">
        <f>IFERROR(VLOOKUP(F721&amp;"|"&amp;H721,Feature_Mappings!$A$2:$C$16,2,FALSE()),"")</f>
        <v>LED Beauty Device</v>
      </c>
      <c r="L721" t="str">
        <f>IFERROR(VLOOKUP(F721&amp;"|"&amp;H721,Feature_Mappings!$A$2:$C$16,3,FALSE()),"")</f>
        <v>BeautyTech Pro</v>
      </c>
      <c r="M721" t="str">
        <f>IFERROR(VLOOKUP(J721,Feature_Mappings!$D$2:$E$5,2,FALSE()),"")</f>
        <v>Sophie Nguyen</v>
      </c>
      <c r="N721" t="s">
        <v>526</v>
      </c>
      <c r="O721" t="str">
        <f>IFERROR(INDEX(Store_Manager!$A$2:$A$5,MATCH(M721,Store_Manager!$B$2:$B$5,0)),"")</f>
        <v>MGR003</v>
      </c>
    </row>
    <row r="722" spans="1:15" ht="15.75" customHeight="1">
      <c r="A722">
        <v>721</v>
      </c>
      <c r="B722" s="2">
        <v>45060</v>
      </c>
      <c r="C722" t="s">
        <v>746</v>
      </c>
      <c r="D722" t="s">
        <v>21</v>
      </c>
      <c r="E722">
        <v>52</v>
      </c>
      <c r="F722" s="3" t="s">
        <v>22</v>
      </c>
      <c r="G722">
        <v>1</v>
      </c>
      <c r="H722" s="4">
        <v>500</v>
      </c>
      <c r="I722" s="4">
        <v>500</v>
      </c>
      <c r="J722" t="s">
        <v>525</v>
      </c>
      <c r="K722" t="str">
        <f>IFERROR(VLOOKUP(F722&amp;"|"&amp;H722,Feature_Mappings!$A$2:$C$16,2,FALSE()),"")</f>
        <v>Designer Coat</v>
      </c>
      <c r="L722" t="str">
        <f>IFERROR(VLOOKUP(F722&amp;"|"&amp;H722,Feature_Mappings!$A$2:$C$16,3,FALSE()),"")</f>
        <v>Prestige Fashion House</v>
      </c>
      <c r="M722" t="str">
        <f>IFERROR(VLOOKUP(J722,Feature_Mappings!$D$2:$E$5,2,FALSE()),"")</f>
        <v>Sophie Nguyen</v>
      </c>
      <c r="N722" t="s">
        <v>526</v>
      </c>
      <c r="O722" t="str">
        <f>IFERROR(INDEX(Store_Manager!$A$2:$A$5,MATCH(M722,Store_Manager!$B$2:$B$5,0)),"")</f>
        <v>MGR003</v>
      </c>
    </row>
    <row r="723" spans="1:15" ht="15.75" customHeight="1">
      <c r="A723">
        <v>722</v>
      </c>
      <c r="B723" s="2">
        <v>45121</v>
      </c>
      <c r="C723" t="s">
        <v>747</v>
      </c>
      <c r="D723" t="s">
        <v>16</v>
      </c>
      <c r="E723">
        <v>20</v>
      </c>
      <c r="F723" s="3" t="s">
        <v>17</v>
      </c>
      <c r="G723">
        <v>3</v>
      </c>
      <c r="H723" s="4">
        <v>300</v>
      </c>
      <c r="I723" s="4">
        <v>900</v>
      </c>
      <c r="J723" t="s">
        <v>525</v>
      </c>
      <c r="K723" t="str">
        <f>IFERROR(VLOOKUP(F723&amp;"|"&amp;H723,Feature_Mappings!$A$2:$C$16,2,FALSE()),"")</f>
        <v>Skincare Gift Set</v>
      </c>
      <c r="L723" t="str">
        <f>IFERROR(VLOOKUP(F723&amp;"|"&amp;H723,Feature_Mappings!$A$2:$C$16,3,FALSE()),"")</f>
        <v>Radiant Beauty Wholesale</v>
      </c>
      <c r="M723" t="str">
        <f>IFERROR(VLOOKUP(J723,Feature_Mappings!$D$2:$E$5,2,FALSE()),"")</f>
        <v>Sophie Nguyen</v>
      </c>
      <c r="N723" t="s">
        <v>526</v>
      </c>
      <c r="O723" t="str">
        <f>IFERROR(INDEX(Store_Manager!$A$2:$A$5,MATCH(M723,Store_Manager!$B$2:$B$5,0)),"")</f>
        <v>MGR003</v>
      </c>
    </row>
    <row r="724" spans="1:15" ht="15.75" customHeight="1">
      <c r="A724">
        <v>723</v>
      </c>
      <c r="B724" s="2">
        <v>45094</v>
      </c>
      <c r="C724" t="s">
        <v>748</v>
      </c>
      <c r="D724" t="s">
        <v>21</v>
      </c>
      <c r="E724">
        <v>54</v>
      </c>
      <c r="F724" s="3" t="s">
        <v>17</v>
      </c>
      <c r="G724">
        <v>4</v>
      </c>
      <c r="H724" s="4">
        <v>50</v>
      </c>
      <c r="I724" s="4">
        <v>200</v>
      </c>
      <c r="J724" t="s">
        <v>525</v>
      </c>
      <c r="K724" t="str">
        <f>IFERROR(VLOOKUP(F724&amp;"|"&amp;H724,Feature_Mappings!$A$2:$C$16,2,FALSE()),"")</f>
        <v>Eau de Parfum</v>
      </c>
      <c r="L724" t="str">
        <f>IFERROR(VLOOKUP(F724&amp;"|"&amp;H724,Feature_Mappings!$A$2:$C$16,3,FALSE()),"")</f>
        <v>Luxe Aroma Labs</v>
      </c>
      <c r="M724" t="str">
        <f>IFERROR(VLOOKUP(J724,Feature_Mappings!$D$2:$E$5,2,FALSE()),"")</f>
        <v>Sophie Nguyen</v>
      </c>
      <c r="N724" t="s">
        <v>526</v>
      </c>
      <c r="O724" t="str">
        <f>IFERROR(INDEX(Store_Manager!$A$2:$A$5,MATCH(M724,Store_Manager!$B$2:$B$5,0)),"")</f>
        <v>MGR003</v>
      </c>
    </row>
    <row r="725" spans="1:15" ht="15.75" customHeight="1">
      <c r="A725">
        <v>724</v>
      </c>
      <c r="B725" s="2">
        <v>45035</v>
      </c>
      <c r="C725" t="s">
        <v>749</v>
      </c>
      <c r="D725" t="s">
        <v>16</v>
      </c>
      <c r="E725">
        <v>61</v>
      </c>
      <c r="F725" s="3" t="s">
        <v>22</v>
      </c>
      <c r="G725">
        <v>3</v>
      </c>
      <c r="H725" s="4">
        <v>50</v>
      </c>
      <c r="I725" s="4">
        <v>150</v>
      </c>
      <c r="J725" t="s">
        <v>525</v>
      </c>
      <c r="K725" t="str">
        <f>IFERROR(VLOOKUP(F725&amp;"|"&amp;H725,Feature_Mappings!$A$2:$C$16,2,FALSE()),"")</f>
        <v>Denim Jeans</v>
      </c>
      <c r="L725" t="str">
        <f>IFERROR(VLOOKUP(F725&amp;"|"&amp;H725,Feature_Mappings!$A$2:$C$16,3,FALSE()),"")</f>
        <v>BlueFit Garments</v>
      </c>
      <c r="M725" t="str">
        <f>IFERROR(VLOOKUP(J725,Feature_Mappings!$D$2:$E$5,2,FALSE()),"")</f>
        <v>Sophie Nguyen</v>
      </c>
      <c r="N725" t="s">
        <v>526</v>
      </c>
      <c r="O725" t="str">
        <f>IFERROR(INDEX(Store_Manager!$A$2:$A$5,MATCH(M725,Store_Manager!$B$2:$B$5,0)),"")</f>
        <v>MGR003</v>
      </c>
    </row>
    <row r="726" spans="1:15" ht="15.75" customHeight="1">
      <c r="A726">
        <v>725</v>
      </c>
      <c r="B726" s="2">
        <v>45159</v>
      </c>
      <c r="C726" t="s">
        <v>750</v>
      </c>
      <c r="D726" t="s">
        <v>16</v>
      </c>
      <c r="E726">
        <v>61</v>
      </c>
      <c r="F726" s="3" t="s">
        <v>24</v>
      </c>
      <c r="G726">
        <v>1</v>
      </c>
      <c r="H726" s="4">
        <v>300</v>
      </c>
      <c r="I726" s="4">
        <v>300</v>
      </c>
      <c r="J726" t="s">
        <v>525</v>
      </c>
      <c r="K726" t="str">
        <f>IFERROR(VLOOKUP(F726&amp;"|"&amp;H726,Feature_Mappings!$A$2:$C$16,2,FALSE()),"")</f>
        <v>Tablet</v>
      </c>
      <c r="L726" t="str">
        <f>IFERROR(VLOOKUP(F726&amp;"|"&amp;H726,Feature_Mappings!$A$2:$C$16,3,FALSE()),"")</f>
        <v>NextGen Devices</v>
      </c>
      <c r="M726" t="str">
        <f>IFERROR(VLOOKUP(J726,Feature_Mappings!$D$2:$E$5,2,FALSE()),"")</f>
        <v>Sophie Nguyen</v>
      </c>
      <c r="N726" t="s">
        <v>526</v>
      </c>
      <c r="O726" t="str">
        <f>IFERROR(INDEX(Store_Manager!$A$2:$A$5,MATCH(M726,Store_Manager!$B$2:$B$5,0)),"")</f>
        <v>MGR003</v>
      </c>
    </row>
    <row r="727" spans="1:15" ht="15.75" customHeight="1">
      <c r="A727">
        <v>726</v>
      </c>
      <c r="B727" s="2">
        <v>45094</v>
      </c>
      <c r="C727" t="s">
        <v>751</v>
      </c>
      <c r="D727" t="s">
        <v>16</v>
      </c>
      <c r="E727">
        <v>47</v>
      </c>
      <c r="F727" s="3" t="s">
        <v>22</v>
      </c>
      <c r="G727">
        <v>4</v>
      </c>
      <c r="H727" s="4">
        <v>300</v>
      </c>
      <c r="I727" s="4">
        <v>1200</v>
      </c>
      <c r="J727" t="s">
        <v>525</v>
      </c>
      <c r="K727" t="str">
        <f>IFERROR(VLOOKUP(F727&amp;"|"&amp;H727,Feature_Mappings!$A$2:$C$16,2,FALSE()),"")</f>
        <v>Leather Jacket</v>
      </c>
      <c r="L727" t="str">
        <f>IFERROR(VLOOKUP(F727&amp;"|"&amp;H727,Feature_Mappings!$A$2:$C$16,3,FALSE()),"")</f>
        <v>Metro Style Manufacturing</v>
      </c>
      <c r="M727" t="str">
        <f>IFERROR(VLOOKUP(J727,Feature_Mappings!$D$2:$E$5,2,FALSE()),"")</f>
        <v>Sophie Nguyen</v>
      </c>
      <c r="N727" t="s">
        <v>526</v>
      </c>
      <c r="O727" t="str">
        <f>IFERROR(INDEX(Store_Manager!$A$2:$A$5,MATCH(M727,Store_Manager!$B$2:$B$5,0)),"")</f>
        <v>MGR003</v>
      </c>
    </row>
    <row r="728" spans="1:15" ht="15.75" customHeight="1">
      <c r="A728">
        <v>727</v>
      </c>
      <c r="B728" s="2">
        <v>45099</v>
      </c>
      <c r="C728" t="s">
        <v>752</v>
      </c>
      <c r="D728" t="s">
        <v>16</v>
      </c>
      <c r="E728">
        <v>55</v>
      </c>
      <c r="F728" s="3" t="s">
        <v>17</v>
      </c>
      <c r="G728">
        <v>3</v>
      </c>
      <c r="H728" s="4">
        <v>300</v>
      </c>
      <c r="I728" s="4">
        <v>900</v>
      </c>
      <c r="J728" t="s">
        <v>525</v>
      </c>
      <c r="K728" t="str">
        <f>IFERROR(VLOOKUP(F728&amp;"|"&amp;H728,Feature_Mappings!$A$2:$C$16,2,FALSE()),"")</f>
        <v>Skincare Gift Set</v>
      </c>
      <c r="L728" t="str">
        <f>IFERROR(VLOOKUP(F728&amp;"|"&amp;H728,Feature_Mappings!$A$2:$C$16,3,FALSE()),"")</f>
        <v>Radiant Beauty Wholesale</v>
      </c>
      <c r="M728" t="str">
        <f>IFERROR(VLOOKUP(J728,Feature_Mappings!$D$2:$E$5,2,FALSE()),"")</f>
        <v>Sophie Nguyen</v>
      </c>
      <c r="N728" t="s">
        <v>526</v>
      </c>
      <c r="O728" t="str">
        <f>IFERROR(INDEX(Store_Manager!$A$2:$A$5,MATCH(M728,Store_Manager!$B$2:$B$5,0)),"")</f>
        <v>MGR003</v>
      </c>
    </row>
    <row r="729" spans="1:15" ht="15.75" customHeight="1">
      <c r="A729">
        <v>728</v>
      </c>
      <c r="B729" s="2">
        <v>45121</v>
      </c>
      <c r="C729" t="s">
        <v>753</v>
      </c>
      <c r="D729" t="s">
        <v>16</v>
      </c>
      <c r="E729">
        <v>51</v>
      </c>
      <c r="F729" s="3" t="s">
        <v>24</v>
      </c>
      <c r="G729">
        <v>3</v>
      </c>
      <c r="H729" s="4">
        <v>50</v>
      </c>
      <c r="I729" s="4">
        <v>150</v>
      </c>
      <c r="J729" t="s">
        <v>525</v>
      </c>
      <c r="K729" t="str">
        <f>IFERROR(VLOOKUP(F729&amp;"|"&amp;H729,Feature_Mappings!$A$2:$C$16,2,FALSE()),"")</f>
        <v>Bluetooth Speaker</v>
      </c>
      <c r="L729" t="str">
        <f>IFERROR(VLOOKUP(F729&amp;"|"&amp;H729,Feature_Mappings!$A$2:$C$16,3,FALSE()),"")</f>
        <v>SoundSphere Supply</v>
      </c>
      <c r="M729" t="str">
        <f>IFERROR(VLOOKUP(J729,Feature_Mappings!$D$2:$E$5,2,FALSE()),"")</f>
        <v>Sophie Nguyen</v>
      </c>
      <c r="N729" t="s">
        <v>526</v>
      </c>
      <c r="O729" t="str">
        <f>IFERROR(INDEX(Store_Manager!$A$2:$A$5,MATCH(M729,Store_Manager!$B$2:$B$5,0)),"")</f>
        <v>MGR003</v>
      </c>
    </row>
    <row r="730" spans="1:15" ht="15.75" customHeight="1">
      <c r="A730">
        <v>729</v>
      </c>
      <c r="B730" s="2">
        <v>45069</v>
      </c>
      <c r="C730" t="s">
        <v>754</v>
      </c>
      <c r="D730" t="s">
        <v>16</v>
      </c>
      <c r="E730">
        <v>29</v>
      </c>
      <c r="F730" s="3" t="s">
        <v>22</v>
      </c>
      <c r="G730">
        <v>4</v>
      </c>
      <c r="H730" s="4">
        <v>300</v>
      </c>
      <c r="I730" s="4">
        <v>1200</v>
      </c>
      <c r="J730" t="s">
        <v>525</v>
      </c>
      <c r="K730" t="str">
        <f>IFERROR(VLOOKUP(F730&amp;"|"&amp;H730,Feature_Mappings!$A$2:$C$16,2,FALSE()),"")</f>
        <v>Leather Jacket</v>
      </c>
      <c r="L730" t="str">
        <f>IFERROR(VLOOKUP(F730&amp;"|"&amp;H730,Feature_Mappings!$A$2:$C$16,3,FALSE()),"")</f>
        <v>Metro Style Manufacturing</v>
      </c>
      <c r="M730" t="str">
        <f>IFERROR(VLOOKUP(J730,Feature_Mappings!$D$2:$E$5,2,FALSE()),"")</f>
        <v>Sophie Nguyen</v>
      </c>
      <c r="N730" t="s">
        <v>526</v>
      </c>
      <c r="O730" t="str">
        <f>IFERROR(INDEX(Store_Manager!$A$2:$A$5,MATCH(M730,Store_Manager!$B$2:$B$5,0)),"")</f>
        <v>MGR003</v>
      </c>
    </row>
    <row r="731" spans="1:15" ht="15.75" customHeight="1">
      <c r="A731">
        <v>730</v>
      </c>
      <c r="B731" s="2">
        <v>45142</v>
      </c>
      <c r="C731" t="s">
        <v>755</v>
      </c>
      <c r="D731" t="s">
        <v>21</v>
      </c>
      <c r="E731">
        <v>36</v>
      </c>
      <c r="F731" s="3" t="s">
        <v>22</v>
      </c>
      <c r="G731">
        <v>2</v>
      </c>
      <c r="H731" s="4">
        <v>25</v>
      </c>
      <c r="I731" s="4">
        <v>50</v>
      </c>
      <c r="J731" t="s">
        <v>525</v>
      </c>
      <c r="K731" t="str">
        <f>IFERROR(VLOOKUP(F731&amp;"|"&amp;H731,Feature_Mappings!$A$2:$C$16,2,FALSE()),"")</f>
        <v>Cotton Socks</v>
      </c>
      <c r="L731" t="str">
        <f>IFERROR(VLOOKUP(F731&amp;"|"&amp;H731,Feature_Mappings!$A$2:$C$16,3,FALSE()),"")</f>
        <v>Urban Basics Co.</v>
      </c>
      <c r="M731" t="str">
        <f>IFERROR(VLOOKUP(J731,Feature_Mappings!$D$2:$E$5,2,FALSE()),"")</f>
        <v>Sophie Nguyen</v>
      </c>
      <c r="N731" t="s">
        <v>526</v>
      </c>
      <c r="O731" t="str">
        <f>IFERROR(INDEX(Store_Manager!$A$2:$A$5,MATCH(M731,Store_Manager!$B$2:$B$5,0)),"")</f>
        <v>MGR003</v>
      </c>
    </row>
    <row r="732" spans="1:15" ht="15.75" customHeight="1">
      <c r="A732">
        <v>731</v>
      </c>
      <c r="B732" s="2">
        <v>45056</v>
      </c>
      <c r="C732" t="s">
        <v>756</v>
      </c>
      <c r="D732" t="s">
        <v>16</v>
      </c>
      <c r="E732">
        <v>54</v>
      </c>
      <c r="F732" s="3" t="s">
        <v>22</v>
      </c>
      <c r="G732">
        <v>4</v>
      </c>
      <c r="H732" s="4">
        <v>500</v>
      </c>
      <c r="I732" s="4">
        <v>2000</v>
      </c>
      <c r="J732" t="s">
        <v>525</v>
      </c>
      <c r="K732" t="str">
        <f>IFERROR(VLOOKUP(F732&amp;"|"&amp;H732,Feature_Mappings!$A$2:$C$16,2,FALSE()),"")</f>
        <v>Designer Coat</v>
      </c>
      <c r="L732" t="str">
        <f>IFERROR(VLOOKUP(F732&amp;"|"&amp;H732,Feature_Mappings!$A$2:$C$16,3,FALSE()),"")</f>
        <v>Prestige Fashion House</v>
      </c>
      <c r="M732" t="str">
        <f>IFERROR(VLOOKUP(J732,Feature_Mappings!$D$2:$E$5,2,FALSE()),"")</f>
        <v>Sophie Nguyen</v>
      </c>
      <c r="N732" t="s">
        <v>526</v>
      </c>
      <c r="O732" t="str">
        <f>IFERROR(INDEX(Store_Manager!$A$2:$A$5,MATCH(M732,Store_Manager!$B$2:$B$5,0)),"")</f>
        <v>MGR003</v>
      </c>
    </row>
    <row r="733" spans="1:15" ht="15.75" customHeight="1">
      <c r="A733">
        <v>732</v>
      </c>
      <c r="B733" s="2">
        <v>44968</v>
      </c>
      <c r="C733" t="s">
        <v>757</v>
      </c>
      <c r="D733" t="s">
        <v>16</v>
      </c>
      <c r="E733">
        <v>61</v>
      </c>
      <c r="F733" s="3" t="s">
        <v>24</v>
      </c>
      <c r="G733">
        <v>2</v>
      </c>
      <c r="H733" s="4">
        <v>500</v>
      </c>
      <c r="I733" s="4">
        <v>1000</v>
      </c>
      <c r="J733" t="s">
        <v>525</v>
      </c>
      <c r="K733" t="str">
        <f>IFERROR(VLOOKUP(F733&amp;"|"&amp;H733,Feature_Mappings!$A$2:$C$16,2,FALSE()),"")</f>
        <v>Smartphone</v>
      </c>
      <c r="L733" t="str">
        <f>IFERROR(VLOOKUP(F733&amp;"|"&amp;H733,Feature_Mappings!$A$2:$C$16,3,FALSE()),"")</f>
        <v>NovaTech Wholesale</v>
      </c>
      <c r="M733" t="str">
        <f>IFERROR(VLOOKUP(J733,Feature_Mappings!$D$2:$E$5,2,FALSE()),"")</f>
        <v>Sophie Nguyen</v>
      </c>
      <c r="N733" t="s">
        <v>526</v>
      </c>
      <c r="O733" t="str">
        <f>IFERROR(INDEX(Store_Manager!$A$2:$A$5,MATCH(M733,Store_Manager!$B$2:$B$5,0)),"")</f>
        <v>MGR003</v>
      </c>
    </row>
    <row r="734" spans="1:15" ht="15.75" customHeight="1">
      <c r="A734">
        <v>733</v>
      </c>
      <c r="B734" s="2">
        <v>45167</v>
      </c>
      <c r="C734" t="s">
        <v>758</v>
      </c>
      <c r="D734" t="s">
        <v>16</v>
      </c>
      <c r="E734">
        <v>34</v>
      </c>
      <c r="F734" s="3" t="s">
        <v>17</v>
      </c>
      <c r="G734">
        <v>1</v>
      </c>
      <c r="H734" s="4">
        <v>30</v>
      </c>
      <c r="I734" s="4">
        <v>30</v>
      </c>
      <c r="J734" t="s">
        <v>525</v>
      </c>
      <c r="K734" t="str">
        <f>IFERROR(VLOOKUP(F734&amp;"|"&amp;H734,Feature_Mappings!$A$2:$C$16,2,FALSE()),"")</f>
        <v>Facial Cleanser</v>
      </c>
      <c r="L734" t="str">
        <f>IFERROR(VLOOKUP(F734&amp;"|"&amp;H734,Feature_Mappings!$A$2:$C$16,3,FALSE()),"")</f>
        <v>PureDerma Supplies</v>
      </c>
      <c r="M734" t="str">
        <f>IFERROR(VLOOKUP(J734,Feature_Mappings!$D$2:$E$5,2,FALSE()),"")</f>
        <v>Sophie Nguyen</v>
      </c>
      <c r="N734" t="s">
        <v>526</v>
      </c>
      <c r="O734" t="str">
        <f>IFERROR(INDEX(Store_Manager!$A$2:$A$5,MATCH(M734,Store_Manager!$B$2:$B$5,0)),"")</f>
        <v>MGR003</v>
      </c>
    </row>
    <row r="735" spans="1:15" ht="15.75" customHeight="1">
      <c r="A735">
        <v>734</v>
      </c>
      <c r="B735" s="2">
        <v>44936</v>
      </c>
      <c r="C735" t="s">
        <v>759</v>
      </c>
      <c r="D735" t="s">
        <v>21</v>
      </c>
      <c r="E735">
        <v>27</v>
      </c>
      <c r="F735" s="3" t="s">
        <v>22</v>
      </c>
      <c r="G735">
        <v>1</v>
      </c>
      <c r="H735" s="4">
        <v>30</v>
      </c>
      <c r="I735" s="4">
        <v>30</v>
      </c>
      <c r="J735" t="s">
        <v>525</v>
      </c>
      <c r="K735" t="str">
        <f>IFERROR(VLOOKUP(F735&amp;"|"&amp;H735,Feature_Mappings!$A$2:$C$16,2,FALSE()),"")</f>
        <v>Graphic T-Shirt</v>
      </c>
      <c r="L735" t="str">
        <f>IFERROR(VLOOKUP(F735&amp;"|"&amp;H735,Feature_Mappings!$A$2:$C$16,3,FALSE()),"")</f>
        <v>ThreadWorks Apparel</v>
      </c>
      <c r="M735" t="str">
        <f>IFERROR(VLOOKUP(J735,Feature_Mappings!$D$2:$E$5,2,FALSE()),"")</f>
        <v>Sophie Nguyen</v>
      </c>
      <c r="N735" t="s">
        <v>526</v>
      </c>
      <c r="O735" t="str">
        <f>IFERROR(INDEX(Store_Manager!$A$2:$A$5,MATCH(M735,Store_Manager!$B$2:$B$5,0)),"")</f>
        <v>MGR003</v>
      </c>
    </row>
    <row r="736" spans="1:15" ht="15.75" customHeight="1">
      <c r="A736">
        <v>735</v>
      </c>
      <c r="B736" s="2">
        <v>45203</v>
      </c>
      <c r="C736" t="s">
        <v>760</v>
      </c>
      <c r="D736" t="s">
        <v>21</v>
      </c>
      <c r="E736">
        <v>64</v>
      </c>
      <c r="F736" s="3" t="s">
        <v>22</v>
      </c>
      <c r="G736">
        <v>4</v>
      </c>
      <c r="H736" s="4">
        <v>500</v>
      </c>
      <c r="I736" s="4">
        <v>2000</v>
      </c>
      <c r="J736" t="s">
        <v>525</v>
      </c>
      <c r="K736" t="str">
        <f>IFERROR(VLOOKUP(F736&amp;"|"&amp;H736,Feature_Mappings!$A$2:$C$16,2,FALSE()),"")</f>
        <v>Designer Coat</v>
      </c>
      <c r="L736" t="str">
        <f>IFERROR(VLOOKUP(F736&amp;"|"&amp;H736,Feature_Mappings!$A$2:$C$16,3,FALSE()),"")</f>
        <v>Prestige Fashion House</v>
      </c>
      <c r="M736" t="str">
        <f>IFERROR(VLOOKUP(J736,Feature_Mappings!$D$2:$E$5,2,FALSE()),"")</f>
        <v>Sophie Nguyen</v>
      </c>
      <c r="N736" t="s">
        <v>526</v>
      </c>
      <c r="O736" t="str">
        <f>IFERROR(INDEX(Store_Manager!$A$2:$A$5,MATCH(M736,Store_Manager!$B$2:$B$5,0)),"")</f>
        <v>MGR003</v>
      </c>
    </row>
    <row r="737" spans="1:15" ht="15.75" customHeight="1">
      <c r="A737">
        <v>736</v>
      </c>
      <c r="B737" s="2">
        <v>44953</v>
      </c>
      <c r="C737" t="s">
        <v>761</v>
      </c>
      <c r="D737" t="s">
        <v>16</v>
      </c>
      <c r="E737">
        <v>29</v>
      </c>
      <c r="F737" s="3" t="s">
        <v>22</v>
      </c>
      <c r="G737">
        <v>4</v>
      </c>
      <c r="H737" s="4">
        <v>25</v>
      </c>
      <c r="I737" s="4">
        <v>100</v>
      </c>
      <c r="J737" t="s">
        <v>525</v>
      </c>
      <c r="K737" t="str">
        <f>IFERROR(VLOOKUP(F737&amp;"|"&amp;H737,Feature_Mappings!$A$2:$C$16,2,FALSE()),"")</f>
        <v>Cotton Socks</v>
      </c>
      <c r="L737" t="str">
        <f>IFERROR(VLOOKUP(F737&amp;"|"&amp;H737,Feature_Mappings!$A$2:$C$16,3,FALSE()),"")</f>
        <v>Urban Basics Co.</v>
      </c>
      <c r="M737" t="str">
        <f>IFERROR(VLOOKUP(J737,Feature_Mappings!$D$2:$E$5,2,FALSE()),"")</f>
        <v>Sophie Nguyen</v>
      </c>
      <c r="N737" t="s">
        <v>526</v>
      </c>
      <c r="O737" t="str">
        <f>IFERROR(INDEX(Store_Manager!$A$2:$A$5,MATCH(M737,Store_Manager!$B$2:$B$5,0)),"")</f>
        <v>MGR003</v>
      </c>
    </row>
    <row r="738" spans="1:15" ht="15.75" customHeight="1">
      <c r="A738">
        <v>737</v>
      </c>
      <c r="B738" s="2">
        <v>45106</v>
      </c>
      <c r="C738" t="s">
        <v>762</v>
      </c>
      <c r="D738" t="s">
        <v>21</v>
      </c>
      <c r="E738">
        <v>33</v>
      </c>
      <c r="F738" s="3" t="s">
        <v>22</v>
      </c>
      <c r="G738">
        <v>1</v>
      </c>
      <c r="H738" s="4">
        <v>50</v>
      </c>
      <c r="I738" s="4">
        <v>50</v>
      </c>
      <c r="J738" t="s">
        <v>525</v>
      </c>
      <c r="K738" t="str">
        <f>IFERROR(VLOOKUP(F738&amp;"|"&amp;H738,Feature_Mappings!$A$2:$C$16,2,FALSE()),"")</f>
        <v>Denim Jeans</v>
      </c>
      <c r="L738" t="str">
        <f>IFERROR(VLOOKUP(F738&amp;"|"&amp;H738,Feature_Mappings!$A$2:$C$16,3,FALSE()),"")</f>
        <v>BlueFit Garments</v>
      </c>
      <c r="M738" t="str">
        <f>IFERROR(VLOOKUP(J738,Feature_Mappings!$D$2:$E$5,2,FALSE()),"")</f>
        <v>Sophie Nguyen</v>
      </c>
      <c r="N738" t="s">
        <v>526</v>
      </c>
      <c r="O738" t="str">
        <f>IFERROR(INDEX(Store_Manager!$A$2:$A$5,MATCH(M738,Store_Manager!$B$2:$B$5,0)),"")</f>
        <v>MGR003</v>
      </c>
    </row>
    <row r="739" spans="1:15" ht="15.75" customHeight="1">
      <c r="A739">
        <v>738</v>
      </c>
      <c r="B739" s="2">
        <v>45041</v>
      </c>
      <c r="C739" t="s">
        <v>763</v>
      </c>
      <c r="D739" t="s">
        <v>16</v>
      </c>
      <c r="E739">
        <v>41</v>
      </c>
      <c r="F739" s="3" t="s">
        <v>22</v>
      </c>
      <c r="G739">
        <v>2</v>
      </c>
      <c r="H739" s="4">
        <v>50</v>
      </c>
      <c r="I739" s="4">
        <v>100</v>
      </c>
      <c r="J739" t="s">
        <v>525</v>
      </c>
      <c r="K739" t="str">
        <f>IFERROR(VLOOKUP(F739&amp;"|"&amp;H739,Feature_Mappings!$A$2:$C$16,2,FALSE()),"")</f>
        <v>Denim Jeans</v>
      </c>
      <c r="L739" t="str">
        <f>IFERROR(VLOOKUP(F739&amp;"|"&amp;H739,Feature_Mappings!$A$2:$C$16,3,FALSE()),"")</f>
        <v>BlueFit Garments</v>
      </c>
      <c r="M739" t="str">
        <f>IFERROR(VLOOKUP(J739,Feature_Mappings!$D$2:$E$5,2,FALSE()),"")</f>
        <v>Sophie Nguyen</v>
      </c>
      <c r="N739" t="s">
        <v>526</v>
      </c>
      <c r="O739" t="str">
        <f>IFERROR(INDEX(Store_Manager!$A$2:$A$5,MATCH(M739,Store_Manager!$B$2:$B$5,0)),"")</f>
        <v>MGR003</v>
      </c>
    </row>
    <row r="740" spans="1:15" ht="15.75" customHeight="1">
      <c r="A740">
        <v>739</v>
      </c>
      <c r="B740" s="2">
        <v>45259</v>
      </c>
      <c r="C740" t="s">
        <v>764</v>
      </c>
      <c r="D740" t="s">
        <v>16</v>
      </c>
      <c r="E740">
        <v>36</v>
      </c>
      <c r="F740" s="3" t="s">
        <v>17</v>
      </c>
      <c r="G740">
        <v>1</v>
      </c>
      <c r="H740" s="4">
        <v>25</v>
      </c>
      <c r="I740" s="4">
        <v>25</v>
      </c>
      <c r="J740" t="s">
        <v>525</v>
      </c>
      <c r="K740" t="str">
        <f>IFERROR(VLOOKUP(F740&amp;"|"&amp;H740,Feature_Mappings!$A$2:$C$16,2,FALSE()),"")</f>
        <v>Lip Balm</v>
      </c>
      <c r="L740" t="str">
        <f>IFERROR(VLOOKUP(F740&amp;"|"&amp;H740,Feature_Mappings!$A$2:$C$16,3,FALSE()),"")</f>
        <v>GlowSource Cosmetics</v>
      </c>
      <c r="M740" t="str">
        <f>IFERROR(VLOOKUP(J740,Feature_Mappings!$D$2:$E$5,2,FALSE()),"")</f>
        <v>Sophie Nguyen</v>
      </c>
      <c r="N740" t="s">
        <v>526</v>
      </c>
      <c r="O740" t="str">
        <f>IFERROR(INDEX(Store_Manager!$A$2:$A$5,MATCH(M740,Store_Manager!$B$2:$B$5,0)),"")</f>
        <v>MGR003</v>
      </c>
    </row>
    <row r="741" spans="1:15" ht="15.75" customHeight="1">
      <c r="A741">
        <v>740</v>
      </c>
      <c r="B741" s="2">
        <v>44962</v>
      </c>
      <c r="C741" t="s">
        <v>765</v>
      </c>
      <c r="D741" t="s">
        <v>21</v>
      </c>
      <c r="E741">
        <v>25</v>
      </c>
      <c r="F741" s="3" t="s">
        <v>17</v>
      </c>
      <c r="G741">
        <v>4</v>
      </c>
      <c r="H741" s="4">
        <v>50</v>
      </c>
      <c r="I741" s="4">
        <v>200</v>
      </c>
      <c r="J741" t="s">
        <v>525</v>
      </c>
      <c r="K741" t="str">
        <f>IFERROR(VLOOKUP(F741&amp;"|"&amp;H741,Feature_Mappings!$A$2:$C$16,2,FALSE()),"")</f>
        <v>Eau de Parfum</v>
      </c>
      <c r="L741" t="str">
        <f>IFERROR(VLOOKUP(F741&amp;"|"&amp;H741,Feature_Mappings!$A$2:$C$16,3,FALSE()),"")</f>
        <v>Luxe Aroma Labs</v>
      </c>
      <c r="M741" t="str">
        <f>IFERROR(VLOOKUP(J741,Feature_Mappings!$D$2:$E$5,2,FALSE()),"")</f>
        <v>Sophie Nguyen</v>
      </c>
      <c r="N741" t="s">
        <v>526</v>
      </c>
      <c r="O741" t="str">
        <f>IFERROR(INDEX(Store_Manager!$A$2:$A$5,MATCH(M741,Store_Manager!$B$2:$B$5,0)),"")</f>
        <v>MGR003</v>
      </c>
    </row>
    <row r="742" spans="1:15" ht="15.75" customHeight="1">
      <c r="A742">
        <v>741</v>
      </c>
      <c r="B742" s="2">
        <v>45260</v>
      </c>
      <c r="C742" t="s">
        <v>766</v>
      </c>
      <c r="D742" t="s">
        <v>16</v>
      </c>
      <c r="E742">
        <v>48</v>
      </c>
      <c r="F742" s="3" t="s">
        <v>22</v>
      </c>
      <c r="G742">
        <v>1</v>
      </c>
      <c r="H742" s="4">
        <v>300</v>
      </c>
      <c r="I742" s="4">
        <v>300</v>
      </c>
      <c r="J742" t="s">
        <v>525</v>
      </c>
      <c r="K742" t="str">
        <f>IFERROR(VLOOKUP(F742&amp;"|"&amp;H742,Feature_Mappings!$A$2:$C$16,2,FALSE()),"")</f>
        <v>Leather Jacket</v>
      </c>
      <c r="L742" t="str">
        <f>IFERROR(VLOOKUP(F742&amp;"|"&amp;H742,Feature_Mappings!$A$2:$C$16,3,FALSE()),"")</f>
        <v>Metro Style Manufacturing</v>
      </c>
      <c r="M742" t="str">
        <f>IFERROR(VLOOKUP(J742,Feature_Mappings!$D$2:$E$5,2,FALSE()),"")</f>
        <v>Sophie Nguyen</v>
      </c>
      <c r="N742" t="s">
        <v>526</v>
      </c>
      <c r="O742" t="str">
        <f>IFERROR(INDEX(Store_Manager!$A$2:$A$5,MATCH(M742,Store_Manager!$B$2:$B$5,0)),"")</f>
        <v>MGR003</v>
      </c>
    </row>
    <row r="743" spans="1:15" ht="15.75" customHeight="1">
      <c r="A743">
        <v>742</v>
      </c>
      <c r="B743" s="2">
        <v>44947</v>
      </c>
      <c r="C743" t="s">
        <v>767</v>
      </c>
      <c r="D743" t="s">
        <v>21</v>
      </c>
      <c r="E743">
        <v>38</v>
      </c>
      <c r="F743" s="3" t="s">
        <v>24</v>
      </c>
      <c r="G743">
        <v>4</v>
      </c>
      <c r="H743" s="4">
        <v>500</v>
      </c>
      <c r="I743" s="4">
        <v>2000</v>
      </c>
      <c r="J743" t="s">
        <v>525</v>
      </c>
      <c r="K743" t="str">
        <f>IFERROR(VLOOKUP(F743&amp;"|"&amp;H743,Feature_Mappings!$A$2:$C$16,2,FALSE()),"")</f>
        <v>Smartphone</v>
      </c>
      <c r="L743" t="str">
        <f>IFERROR(VLOOKUP(F743&amp;"|"&amp;H743,Feature_Mappings!$A$2:$C$16,3,FALSE()),"")</f>
        <v>NovaTech Wholesale</v>
      </c>
      <c r="M743" t="str">
        <f>IFERROR(VLOOKUP(J743,Feature_Mappings!$D$2:$E$5,2,FALSE()),"")</f>
        <v>Sophie Nguyen</v>
      </c>
      <c r="N743" t="s">
        <v>526</v>
      </c>
      <c r="O743" t="str">
        <f>IFERROR(INDEX(Store_Manager!$A$2:$A$5,MATCH(M743,Store_Manager!$B$2:$B$5,0)),"")</f>
        <v>MGR003</v>
      </c>
    </row>
    <row r="744" spans="1:15" ht="15.75" customHeight="1">
      <c r="A744">
        <v>743</v>
      </c>
      <c r="B744" s="2">
        <v>44942</v>
      </c>
      <c r="C744" t="s">
        <v>768</v>
      </c>
      <c r="D744" t="s">
        <v>21</v>
      </c>
      <c r="E744">
        <v>34</v>
      </c>
      <c r="F744" s="3" t="s">
        <v>17</v>
      </c>
      <c r="G744">
        <v>4</v>
      </c>
      <c r="H744" s="4">
        <v>500</v>
      </c>
      <c r="I744" s="4">
        <v>2000</v>
      </c>
      <c r="J744" t="s">
        <v>525</v>
      </c>
      <c r="K744" t="str">
        <f>IFERROR(VLOOKUP(F744&amp;"|"&amp;H744,Feature_Mappings!$A$2:$C$16,2,FALSE()),"")</f>
        <v>LED Beauty Device</v>
      </c>
      <c r="L744" t="str">
        <f>IFERROR(VLOOKUP(F744&amp;"|"&amp;H744,Feature_Mappings!$A$2:$C$16,3,FALSE()),"")</f>
        <v>BeautyTech Pro</v>
      </c>
      <c r="M744" t="str">
        <f>IFERROR(VLOOKUP(J744,Feature_Mappings!$D$2:$E$5,2,FALSE()),"")</f>
        <v>Sophie Nguyen</v>
      </c>
      <c r="N744" t="s">
        <v>526</v>
      </c>
      <c r="O744" t="str">
        <f>IFERROR(INDEX(Store_Manager!$A$2:$A$5,MATCH(M744,Store_Manager!$B$2:$B$5,0)),"")</f>
        <v>MGR003</v>
      </c>
    </row>
    <row r="745" spans="1:15" ht="15.75" customHeight="1">
      <c r="A745">
        <v>744</v>
      </c>
      <c r="B745" s="2">
        <v>45053</v>
      </c>
      <c r="C745" t="s">
        <v>769</v>
      </c>
      <c r="D745" t="s">
        <v>16</v>
      </c>
      <c r="E745">
        <v>40</v>
      </c>
      <c r="F745" s="3" t="s">
        <v>24</v>
      </c>
      <c r="G745">
        <v>1</v>
      </c>
      <c r="H745" s="4">
        <v>25</v>
      </c>
      <c r="I745" s="4">
        <v>25</v>
      </c>
      <c r="J745" t="s">
        <v>525</v>
      </c>
      <c r="K745" t="str">
        <f>IFERROR(VLOOKUP(F745&amp;"|"&amp;H745,Feature_Mappings!$A$2:$C$16,2,FALSE()),"")</f>
        <v>USB-C Charger</v>
      </c>
      <c r="L745" t="str">
        <f>IFERROR(VLOOKUP(F745&amp;"|"&amp;H745,Feature_Mappings!$A$2:$C$16,3,FALSE()),"")</f>
        <v>VoltEdge Electronics</v>
      </c>
      <c r="M745" t="str">
        <f>IFERROR(VLOOKUP(J745,Feature_Mappings!$D$2:$E$5,2,FALSE()),"")</f>
        <v>Sophie Nguyen</v>
      </c>
      <c r="N745" t="s">
        <v>526</v>
      </c>
      <c r="O745" t="str">
        <f>IFERROR(INDEX(Store_Manager!$A$2:$A$5,MATCH(M745,Store_Manager!$B$2:$B$5,0)),"")</f>
        <v>MGR003</v>
      </c>
    </row>
    <row r="746" spans="1:15" ht="15.75" customHeight="1">
      <c r="A746">
        <v>745</v>
      </c>
      <c r="B746" s="2">
        <v>45029</v>
      </c>
      <c r="C746" t="s">
        <v>770</v>
      </c>
      <c r="D746" t="s">
        <v>16</v>
      </c>
      <c r="E746">
        <v>54</v>
      </c>
      <c r="F746" s="3" t="s">
        <v>17</v>
      </c>
      <c r="G746">
        <v>2</v>
      </c>
      <c r="H746" s="4">
        <v>50</v>
      </c>
      <c r="I746" s="4">
        <v>100</v>
      </c>
      <c r="J746" t="s">
        <v>525</v>
      </c>
      <c r="K746" t="str">
        <f>IFERROR(VLOOKUP(F746&amp;"|"&amp;H746,Feature_Mappings!$A$2:$C$16,2,FALSE()),"")</f>
        <v>Eau de Parfum</v>
      </c>
      <c r="L746" t="str">
        <f>IFERROR(VLOOKUP(F746&amp;"|"&amp;H746,Feature_Mappings!$A$2:$C$16,3,FALSE()),"")</f>
        <v>Luxe Aroma Labs</v>
      </c>
      <c r="M746" t="str">
        <f>IFERROR(VLOOKUP(J746,Feature_Mappings!$D$2:$E$5,2,FALSE()),"")</f>
        <v>Sophie Nguyen</v>
      </c>
      <c r="N746" t="s">
        <v>526</v>
      </c>
      <c r="O746" t="str">
        <f>IFERROR(INDEX(Store_Manager!$A$2:$A$5,MATCH(M746,Store_Manager!$B$2:$B$5,0)),"")</f>
        <v>MGR003</v>
      </c>
    </row>
    <row r="747" spans="1:15" ht="15.75" customHeight="1">
      <c r="A747">
        <v>746</v>
      </c>
      <c r="B747" s="2">
        <v>44937</v>
      </c>
      <c r="C747" t="s">
        <v>771</v>
      </c>
      <c r="D747" t="s">
        <v>21</v>
      </c>
      <c r="E747">
        <v>33</v>
      </c>
      <c r="F747" s="3" t="s">
        <v>22</v>
      </c>
      <c r="G747">
        <v>3</v>
      </c>
      <c r="H747" s="4">
        <v>30</v>
      </c>
      <c r="I747" s="4">
        <v>90</v>
      </c>
      <c r="J747" t="s">
        <v>525</v>
      </c>
      <c r="K747" t="str">
        <f>IFERROR(VLOOKUP(F747&amp;"|"&amp;H747,Feature_Mappings!$A$2:$C$16,2,FALSE()),"")</f>
        <v>Graphic T-Shirt</v>
      </c>
      <c r="L747" t="str">
        <f>IFERROR(VLOOKUP(F747&amp;"|"&amp;H747,Feature_Mappings!$A$2:$C$16,3,FALSE()),"")</f>
        <v>ThreadWorks Apparel</v>
      </c>
      <c r="M747" t="str">
        <f>IFERROR(VLOOKUP(J747,Feature_Mappings!$D$2:$E$5,2,FALSE()),"")</f>
        <v>Sophie Nguyen</v>
      </c>
      <c r="N747" t="s">
        <v>526</v>
      </c>
      <c r="O747" t="str">
        <f>IFERROR(INDEX(Store_Manager!$A$2:$A$5,MATCH(M747,Store_Manager!$B$2:$B$5,0)),"")</f>
        <v>MGR003</v>
      </c>
    </row>
    <row r="748" spans="1:15" ht="15.75" customHeight="1">
      <c r="A748">
        <v>747</v>
      </c>
      <c r="B748" s="2">
        <v>45245</v>
      </c>
      <c r="C748" t="s">
        <v>772</v>
      </c>
      <c r="D748" t="s">
        <v>16</v>
      </c>
      <c r="E748">
        <v>23</v>
      </c>
      <c r="F748" s="3" t="s">
        <v>17</v>
      </c>
      <c r="G748">
        <v>1</v>
      </c>
      <c r="H748" s="4">
        <v>30</v>
      </c>
      <c r="I748" s="4">
        <v>30</v>
      </c>
      <c r="J748" t="s">
        <v>525</v>
      </c>
      <c r="K748" t="str">
        <f>IFERROR(VLOOKUP(F748&amp;"|"&amp;H748,Feature_Mappings!$A$2:$C$16,2,FALSE()),"")</f>
        <v>Facial Cleanser</v>
      </c>
      <c r="L748" t="str">
        <f>IFERROR(VLOOKUP(F748&amp;"|"&amp;H748,Feature_Mappings!$A$2:$C$16,3,FALSE()),"")</f>
        <v>PureDerma Supplies</v>
      </c>
      <c r="M748" t="str">
        <f>IFERROR(VLOOKUP(J748,Feature_Mappings!$D$2:$E$5,2,FALSE()),"")</f>
        <v>Sophie Nguyen</v>
      </c>
      <c r="N748" t="s">
        <v>526</v>
      </c>
      <c r="O748" t="str">
        <f>IFERROR(INDEX(Store_Manager!$A$2:$A$5,MATCH(M748,Store_Manager!$B$2:$B$5,0)),"")</f>
        <v>MGR003</v>
      </c>
    </row>
    <row r="749" spans="1:15" ht="15.75" customHeight="1">
      <c r="A749">
        <v>748</v>
      </c>
      <c r="B749" s="2">
        <v>45005</v>
      </c>
      <c r="C749" t="s">
        <v>773</v>
      </c>
      <c r="D749" t="s">
        <v>16</v>
      </c>
      <c r="E749">
        <v>25</v>
      </c>
      <c r="F749" s="3" t="s">
        <v>22</v>
      </c>
      <c r="G749">
        <v>3</v>
      </c>
      <c r="H749" s="4">
        <v>50</v>
      </c>
      <c r="I749" s="4">
        <v>150</v>
      </c>
      <c r="J749" t="s">
        <v>525</v>
      </c>
      <c r="K749" t="str">
        <f>IFERROR(VLOOKUP(F749&amp;"|"&amp;H749,Feature_Mappings!$A$2:$C$16,2,FALSE()),"")</f>
        <v>Denim Jeans</v>
      </c>
      <c r="L749" t="str">
        <f>IFERROR(VLOOKUP(F749&amp;"|"&amp;H749,Feature_Mappings!$A$2:$C$16,3,FALSE()),"")</f>
        <v>BlueFit Garments</v>
      </c>
      <c r="M749" t="str">
        <f>IFERROR(VLOOKUP(J749,Feature_Mappings!$D$2:$E$5,2,FALSE()),"")</f>
        <v>Sophie Nguyen</v>
      </c>
      <c r="N749" t="s">
        <v>526</v>
      </c>
      <c r="O749" t="str">
        <f>IFERROR(INDEX(Store_Manager!$A$2:$A$5,MATCH(M749,Store_Manager!$B$2:$B$5,0)),"")</f>
        <v>MGR003</v>
      </c>
    </row>
    <row r="750" spans="1:15" ht="15.75" customHeight="1">
      <c r="A750">
        <v>749</v>
      </c>
      <c r="B750" s="2">
        <v>45049</v>
      </c>
      <c r="C750" t="s">
        <v>774</v>
      </c>
      <c r="D750" t="s">
        <v>16</v>
      </c>
      <c r="E750">
        <v>42</v>
      </c>
      <c r="F750" s="3" t="s">
        <v>17</v>
      </c>
      <c r="G750">
        <v>1</v>
      </c>
      <c r="H750" s="4">
        <v>30</v>
      </c>
      <c r="I750" s="4">
        <v>30</v>
      </c>
      <c r="J750" t="s">
        <v>525</v>
      </c>
      <c r="K750" t="str">
        <f>IFERROR(VLOOKUP(F750&amp;"|"&amp;H750,Feature_Mappings!$A$2:$C$16,2,FALSE()),"")</f>
        <v>Facial Cleanser</v>
      </c>
      <c r="L750" t="str">
        <f>IFERROR(VLOOKUP(F750&amp;"|"&amp;H750,Feature_Mappings!$A$2:$C$16,3,FALSE()),"")</f>
        <v>PureDerma Supplies</v>
      </c>
      <c r="M750" t="str">
        <f>IFERROR(VLOOKUP(J750,Feature_Mappings!$D$2:$E$5,2,FALSE()),"")</f>
        <v>Sophie Nguyen</v>
      </c>
      <c r="N750" t="s">
        <v>526</v>
      </c>
      <c r="O750" t="str">
        <f>IFERROR(INDEX(Store_Manager!$A$2:$A$5,MATCH(M750,Store_Manager!$B$2:$B$5,0)),"")</f>
        <v>MGR003</v>
      </c>
    </row>
    <row r="751" spans="1:15" ht="15.75" customHeight="1">
      <c r="A751">
        <v>750</v>
      </c>
      <c r="B751" s="2">
        <v>44991</v>
      </c>
      <c r="C751" t="s">
        <v>775</v>
      </c>
      <c r="D751" t="s">
        <v>21</v>
      </c>
      <c r="E751">
        <v>35</v>
      </c>
      <c r="F751" s="3" t="s">
        <v>22</v>
      </c>
      <c r="G751">
        <v>3</v>
      </c>
      <c r="H751" s="4">
        <v>25</v>
      </c>
      <c r="I751" s="4">
        <v>75</v>
      </c>
      <c r="J751" t="s">
        <v>525</v>
      </c>
      <c r="K751" t="str">
        <f>IFERROR(VLOOKUP(F751&amp;"|"&amp;H751,Feature_Mappings!$A$2:$C$16,2,FALSE()),"")</f>
        <v>Cotton Socks</v>
      </c>
      <c r="L751" t="str">
        <f>IFERROR(VLOOKUP(F751&amp;"|"&amp;H751,Feature_Mappings!$A$2:$C$16,3,FALSE()),"")</f>
        <v>Urban Basics Co.</v>
      </c>
      <c r="M751" t="str">
        <f>IFERROR(VLOOKUP(J751,Feature_Mappings!$D$2:$E$5,2,FALSE()),"")</f>
        <v>Sophie Nguyen</v>
      </c>
      <c r="N751" t="s">
        <v>526</v>
      </c>
      <c r="O751" t="str">
        <f>IFERROR(INDEX(Store_Manager!$A$2:$A$5,MATCH(M751,Store_Manager!$B$2:$B$5,0)),"")</f>
        <v>MGR003</v>
      </c>
    </row>
    <row r="752" spans="1:15" ht="15.75" customHeight="1">
      <c r="A752">
        <v>751</v>
      </c>
      <c r="B752" s="2">
        <v>45169</v>
      </c>
      <c r="C752" t="s">
        <v>776</v>
      </c>
      <c r="D752" t="s">
        <v>21</v>
      </c>
      <c r="E752">
        <v>42</v>
      </c>
      <c r="F752" s="3" t="s">
        <v>22</v>
      </c>
      <c r="G752">
        <v>2</v>
      </c>
      <c r="H752" s="4">
        <v>25</v>
      </c>
      <c r="I752" s="4">
        <v>50</v>
      </c>
      <c r="J752" t="s">
        <v>777</v>
      </c>
      <c r="K752" t="str">
        <f>IFERROR(VLOOKUP(F752&amp;"|"&amp;H752,Feature_Mappings!$A$2:$C$16,2,FALSE()),"")</f>
        <v>Cotton Socks</v>
      </c>
      <c r="L752" t="str">
        <f>IFERROR(VLOOKUP(F752&amp;"|"&amp;H752,Feature_Mappings!$A$2:$C$16,3,FALSE()),"")</f>
        <v>Urban Basics Co.</v>
      </c>
      <c r="M752" t="str">
        <f>IFERROR(VLOOKUP(J752,Feature_Mappings!$D$2:$E$5,2,FALSE()),"")</f>
        <v>Ethan Parker</v>
      </c>
      <c r="N752" t="s">
        <v>778</v>
      </c>
      <c r="O752" t="str">
        <f>IFERROR(INDEX(Store_Manager!$A$2:$A$5,MATCH(M752,Store_Manager!$B$2:$B$5,0)),"")</f>
        <v>MGR004</v>
      </c>
    </row>
    <row r="753" spans="1:15" ht="15.75" customHeight="1">
      <c r="A753">
        <v>752</v>
      </c>
      <c r="B753" s="2">
        <v>45269</v>
      </c>
      <c r="C753" t="s">
        <v>779</v>
      </c>
      <c r="D753" t="s">
        <v>16</v>
      </c>
      <c r="E753">
        <v>29</v>
      </c>
      <c r="F753" s="3" t="s">
        <v>22</v>
      </c>
      <c r="G753">
        <v>2</v>
      </c>
      <c r="H753" s="4">
        <v>50</v>
      </c>
      <c r="I753" s="4">
        <v>100</v>
      </c>
      <c r="J753" t="s">
        <v>777</v>
      </c>
      <c r="K753" t="str">
        <f>IFERROR(VLOOKUP(F753&amp;"|"&amp;H753,Feature_Mappings!$A$2:$C$16,2,FALSE()),"")</f>
        <v>Denim Jeans</v>
      </c>
      <c r="L753" t="str">
        <f>IFERROR(VLOOKUP(F753&amp;"|"&amp;H753,Feature_Mappings!$A$2:$C$16,3,FALSE()),"")</f>
        <v>BlueFit Garments</v>
      </c>
      <c r="M753" t="str">
        <f>IFERROR(VLOOKUP(J753,Feature_Mappings!$D$2:$E$5,2,FALSE()),"")</f>
        <v>Ethan Parker</v>
      </c>
      <c r="N753" t="s">
        <v>778</v>
      </c>
      <c r="O753" t="str">
        <f>IFERROR(INDEX(Store_Manager!$A$2:$A$5,MATCH(M753,Store_Manager!$B$2:$B$5,0)),"")</f>
        <v>MGR004</v>
      </c>
    </row>
    <row r="754" spans="1:15" ht="15.75" customHeight="1">
      <c r="A754">
        <v>753</v>
      </c>
      <c r="B754" s="2">
        <v>44985</v>
      </c>
      <c r="C754" t="s">
        <v>780</v>
      </c>
      <c r="D754" t="s">
        <v>21</v>
      </c>
      <c r="E754">
        <v>32</v>
      </c>
      <c r="F754" s="3" t="s">
        <v>22</v>
      </c>
      <c r="G754">
        <v>1</v>
      </c>
      <c r="H754" s="4">
        <v>30</v>
      </c>
      <c r="I754" s="4">
        <v>30</v>
      </c>
      <c r="J754" t="s">
        <v>777</v>
      </c>
      <c r="K754" t="str">
        <f>IFERROR(VLOOKUP(F754&amp;"|"&amp;H754,Feature_Mappings!$A$2:$C$16,2,FALSE()),"")</f>
        <v>Graphic T-Shirt</v>
      </c>
      <c r="L754" t="str">
        <f>IFERROR(VLOOKUP(F754&amp;"|"&amp;H754,Feature_Mappings!$A$2:$C$16,3,FALSE()),"")</f>
        <v>ThreadWorks Apparel</v>
      </c>
      <c r="M754" t="str">
        <f>IFERROR(VLOOKUP(J754,Feature_Mappings!$D$2:$E$5,2,FALSE()),"")</f>
        <v>Ethan Parker</v>
      </c>
      <c r="N754" t="s">
        <v>778</v>
      </c>
      <c r="O754" t="str">
        <f>IFERROR(INDEX(Store_Manager!$A$2:$A$5,MATCH(M754,Store_Manager!$B$2:$B$5,0)),"")</f>
        <v>MGR004</v>
      </c>
    </row>
    <row r="755" spans="1:15" ht="15.75" customHeight="1">
      <c r="A755">
        <v>754</v>
      </c>
      <c r="B755" s="2">
        <v>45215</v>
      </c>
      <c r="C755" t="s">
        <v>781</v>
      </c>
      <c r="D755" t="s">
        <v>21</v>
      </c>
      <c r="E755">
        <v>43</v>
      </c>
      <c r="F755" s="3" t="s">
        <v>24</v>
      </c>
      <c r="G755">
        <v>4</v>
      </c>
      <c r="H755" s="4">
        <v>25</v>
      </c>
      <c r="I755" s="4">
        <v>100</v>
      </c>
      <c r="J755" t="s">
        <v>777</v>
      </c>
      <c r="K755" t="str">
        <f>IFERROR(VLOOKUP(F755&amp;"|"&amp;H755,Feature_Mappings!$A$2:$C$16,2,FALSE()),"")</f>
        <v>USB-C Charger</v>
      </c>
      <c r="L755" t="str">
        <f>IFERROR(VLOOKUP(F755&amp;"|"&amp;H755,Feature_Mappings!$A$2:$C$16,3,FALSE()),"")</f>
        <v>VoltEdge Electronics</v>
      </c>
      <c r="M755" t="str">
        <f>IFERROR(VLOOKUP(J755,Feature_Mappings!$D$2:$E$5,2,FALSE()),"")</f>
        <v>Ethan Parker</v>
      </c>
      <c r="N755" t="s">
        <v>778</v>
      </c>
      <c r="O755" t="str">
        <f>IFERROR(INDEX(Store_Manager!$A$2:$A$5,MATCH(M755,Store_Manager!$B$2:$B$5,0)),"")</f>
        <v>MGR004</v>
      </c>
    </row>
    <row r="756" spans="1:15" ht="15.75" customHeight="1">
      <c r="A756">
        <v>755</v>
      </c>
      <c r="B756" s="2">
        <v>45038</v>
      </c>
      <c r="C756" t="s">
        <v>782</v>
      </c>
      <c r="D756" t="s">
        <v>21</v>
      </c>
      <c r="E756">
        <v>58</v>
      </c>
      <c r="F756" s="3" t="s">
        <v>22</v>
      </c>
      <c r="G756">
        <v>3</v>
      </c>
      <c r="H756" s="4">
        <v>25</v>
      </c>
      <c r="I756" s="4">
        <v>75</v>
      </c>
      <c r="J756" t="s">
        <v>777</v>
      </c>
      <c r="K756" t="str">
        <f>IFERROR(VLOOKUP(F756&amp;"|"&amp;H756,Feature_Mappings!$A$2:$C$16,2,FALSE()),"")</f>
        <v>Cotton Socks</v>
      </c>
      <c r="L756" t="str">
        <f>IFERROR(VLOOKUP(F756&amp;"|"&amp;H756,Feature_Mappings!$A$2:$C$16,3,FALSE()),"")</f>
        <v>Urban Basics Co.</v>
      </c>
      <c r="M756" t="str">
        <f>IFERROR(VLOOKUP(J756,Feature_Mappings!$D$2:$E$5,2,FALSE()),"")</f>
        <v>Ethan Parker</v>
      </c>
      <c r="N756" t="s">
        <v>778</v>
      </c>
      <c r="O756" t="str">
        <f>IFERROR(INDEX(Store_Manager!$A$2:$A$5,MATCH(M756,Store_Manager!$B$2:$B$5,0)),"")</f>
        <v>MGR004</v>
      </c>
    </row>
    <row r="757" spans="1:15" ht="15.75" customHeight="1">
      <c r="A757">
        <v>756</v>
      </c>
      <c r="B757" s="2">
        <v>45165</v>
      </c>
      <c r="C757" t="s">
        <v>783</v>
      </c>
      <c r="D757" t="s">
        <v>21</v>
      </c>
      <c r="E757">
        <v>62</v>
      </c>
      <c r="F757" s="3" t="s">
        <v>24</v>
      </c>
      <c r="G757">
        <v>4</v>
      </c>
      <c r="H757" s="4">
        <v>300</v>
      </c>
      <c r="I757" s="4">
        <v>1200</v>
      </c>
      <c r="J757" t="s">
        <v>777</v>
      </c>
      <c r="K757" t="str">
        <f>IFERROR(VLOOKUP(F757&amp;"|"&amp;H757,Feature_Mappings!$A$2:$C$16,2,FALSE()),"")</f>
        <v>Tablet</v>
      </c>
      <c r="L757" t="str">
        <f>IFERROR(VLOOKUP(F757&amp;"|"&amp;H757,Feature_Mappings!$A$2:$C$16,3,FALSE()),"")</f>
        <v>NextGen Devices</v>
      </c>
      <c r="M757" t="str">
        <f>IFERROR(VLOOKUP(J757,Feature_Mappings!$D$2:$E$5,2,FALSE()),"")</f>
        <v>Ethan Parker</v>
      </c>
      <c r="N757" t="s">
        <v>778</v>
      </c>
      <c r="O757" t="str">
        <f>IFERROR(INDEX(Store_Manager!$A$2:$A$5,MATCH(M757,Store_Manager!$B$2:$B$5,0)),"")</f>
        <v>MGR004</v>
      </c>
    </row>
    <row r="758" spans="1:15" ht="15.75" customHeight="1">
      <c r="A758">
        <v>757</v>
      </c>
      <c r="B758" s="2">
        <v>45285</v>
      </c>
      <c r="C758" t="s">
        <v>784</v>
      </c>
      <c r="D758" t="s">
        <v>21</v>
      </c>
      <c r="E758">
        <v>43</v>
      </c>
      <c r="F758" s="3" t="s">
        <v>24</v>
      </c>
      <c r="G758">
        <v>4</v>
      </c>
      <c r="H758" s="4">
        <v>300</v>
      </c>
      <c r="I758" s="4">
        <v>1200</v>
      </c>
      <c r="J758" t="s">
        <v>777</v>
      </c>
      <c r="K758" t="str">
        <f>IFERROR(VLOOKUP(F758&amp;"|"&amp;H758,Feature_Mappings!$A$2:$C$16,2,FALSE()),"")</f>
        <v>Tablet</v>
      </c>
      <c r="L758" t="str">
        <f>IFERROR(VLOOKUP(F758&amp;"|"&amp;H758,Feature_Mappings!$A$2:$C$16,3,FALSE()),"")</f>
        <v>NextGen Devices</v>
      </c>
      <c r="M758" t="str">
        <f>IFERROR(VLOOKUP(J758,Feature_Mappings!$D$2:$E$5,2,FALSE()),"")</f>
        <v>Ethan Parker</v>
      </c>
      <c r="N758" t="s">
        <v>778</v>
      </c>
      <c r="O758" t="str">
        <f>IFERROR(INDEX(Store_Manager!$A$2:$A$5,MATCH(M758,Store_Manager!$B$2:$B$5,0)),"")</f>
        <v>MGR004</v>
      </c>
    </row>
    <row r="759" spans="1:15" ht="15.75" customHeight="1">
      <c r="A759">
        <v>758</v>
      </c>
      <c r="B759" s="2">
        <v>45058</v>
      </c>
      <c r="C759" t="s">
        <v>785</v>
      </c>
      <c r="D759" t="s">
        <v>16</v>
      </c>
      <c r="E759">
        <v>64</v>
      </c>
      <c r="F759" s="3" t="s">
        <v>22</v>
      </c>
      <c r="G759">
        <v>4</v>
      </c>
      <c r="H759" s="4">
        <v>25</v>
      </c>
      <c r="I759" s="4">
        <v>100</v>
      </c>
      <c r="J759" t="s">
        <v>777</v>
      </c>
      <c r="K759" t="str">
        <f>IFERROR(VLOOKUP(F759&amp;"|"&amp;H759,Feature_Mappings!$A$2:$C$16,2,FALSE()),"")</f>
        <v>Cotton Socks</v>
      </c>
      <c r="L759" t="str">
        <f>IFERROR(VLOOKUP(F759&amp;"|"&amp;H759,Feature_Mappings!$A$2:$C$16,3,FALSE()),"")</f>
        <v>Urban Basics Co.</v>
      </c>
      <c r="M759" t="str">
        <f>IFERROR(VLOOKUP(J759,Feature_Mappings!$D$2:$E$5,2,FALSE()),"")</f>
        <v>Ethan Parker</v>
      </c>
      <c r="N759" t="s">
        <v>778</v>
      </c>
      <c r="O759" t="str">
        <f>IFERROR(INDEX(Store_Manager!$A$2:$A$5,MATCH(M759,Store_Manager!$B$2:$B$5,0)),"")</f>
        <v>MGR004</v>
      </c>
    </row>
    <row r="760" spans="1:15" ht="15.75" customHeight="1">
      <c r="A760">
        <v>759</v>
      </c>
      <c r="B760" s="2">
        <v>45115</v>
      </c>
      <c r="C760" t="s">
        <v>786</v>
      </c>
      <c r="D760" t="s">
        <v>16</v>
      </c>
      <c r="E760">
        <v>49</v>
      </c>
      <c r="F760" s="3" t="s">
        <v>24</v>
      </c>
      <c r="G760">
        <v>2</v>
      </c>
      <c r="H760" s="4">
        <v>50</v>
      </c>
      <c r="I760" s="4">
        <v>100</v>
      </c>
      <c r="J760" t="s">
        <v>777</v>
      </c>
      <c r="K760" t="str">
        <f>IFERROR(VLOOKUP(F760&amp;"|"&amp;H760,Feature_Mappings!$A$2:$C$16,2,FALSE()),"")</f>
        <v>Bluetooth Speaker</v>
      </c>
      <c r="L760" t="str">
        <f>IFERROR(VLOOKUP(F760&amp;"|"&amp;H760,Feature_Mappings!$A$2:$C$16,3,FALSE()),"")</f>
        <v>SoundSphere Supply</v>
      </c>
      <c r="M760" t="str">
        <f>IFERROR(VLOOKUP(J760,Feature_Mappings!$D$2:$E$5,2,FALSE()),"")</f>
        <v>Ethan Parker</v>
      </c>
      <c r="N760" t="s">
        <v>778</v>
      </c>
      <c r="O760" t="str">
        <f>IFERROR(INDEX(Store_Manager!$A$2:$A$5,MATCH(M760,Store_Manager!$B$2:$B$5,0)),"")</f>
        <v>MGR004</v>
      </c>
    </row>
    <row r="761" spans="1:15" ht="15.75" customHeight="1">
      <c r="A761">
        <v>760</v>
      </c>
      <c r="B761" s="2">
        <v>45012</v>
      </c>
      <c r="C761" t="s">
        <v>787</v>
      </c>
      <c r="D761" t="s">
        <v>16</v>
      </c>
      <c r="E761">
        <v>27</v>
      </c>
      <c r="F761" s="3" t="s">
        <v>17</v>
      </c>
      <c r="G761">
        <v>1</v>
      </c>
      <c r="H761" s="4">
        <v>500</v>
      </c>
      <c r="I761" s="4">
        <v>500</v>
      </c>
      <c r="J761" t="s">
        <v>777</v>
      </c>
      <c r="K761" t="str">
        <f>IFERROR(VLOOKUP(F761&amp;"|"&amp;H761,Feature_Mappings!$A$2:$C$16,2,FALSE()),"")</f>
        <v>LED Beauty Device</v>
      </c>
      <c r="L761" t="str">
        <f>IFERROR(VLOOKUP(F761&amp;"|"&amp;H761,Feature_Mappings!$A$2:$C$16,3,FALSE()),"")</f>
        <v>BeautyTech Pro</v>
      </c>
      <c r="M761" t="str">
        <f>IFERROR(VLOOKUP(J761,Feature_Mappings!$D$2:$E$5,2,FALSE()),"")</f>
        <v>Ethan Parker</v>
      </c>
      <c r="N761" t="s">
        <v>778</v>
      </c>
      <c r="O761" t="str">
        <f>IFERROR(INDEX(Store_Manager!$A$2:$A$5,MATCH(M761,Store_Manager!$B$2:$B$5,0)),"")</f>
        <v>MGR004</v>
      </c>
    </row>
    <row r="762" spans="1:15" ht="15.75" customHeight="1">
      <c r="A762">
        <v>761</v>
      </c>
      <c r="B762" s="2">
        <v>45237</v>
      </c>
      <c r="C762" t="s">
        <v>788</v>
      </c>
      <c r="D762" t="s">
        <v>21</v>
      </c>
      <c r="E762">
        <v>33</v>
      </c>
      <c r="F762" s="3" t="s">
        <v>22</v>
      </c>
      <c r="G762">
        <v>1</v>
      </c>
      <c r="H762" s="4">
        <v>500</v>
      </c>
      <c r="I762" s="4">
        <v>500</v>
      </c>
      <c r="J762" t="s">
        <v>777</v>
      </c>
      <c r="K762" t="str">
        <f>IFERROR(VLOOKUP(F762&amp;"|"&amp;H762,Feature_Mappings!$A$2:$C$16,2,FALSE()),"")</f>
        <v>Designer Coat</v>
      </c>
      <c r="L762" t="str">
        <f>IFERROR(VLOOKUP(F762&amp;"|"&amp;H762,Feature_Mappings!$A$2:$C$16,3,FALSE()),"")</f>
        <v>Prestige Fashion House</v>
      </c>
      <c r="M762" t="str">
        <f>IFERROR(VLOOKUP(J762,Feature_Mappings!$D$2:$E$5,2,FALSE()),"")</f>
        <v>Ethan Parker</v>
      </c>
      <c r="N762" t="s">
        <v>778</v>
      </c>
      <c r="O762" t="str">
        <f>IFERROR(INDEX(Store_Manager!$A$2:$A$5,MATCH(M762,Store_Manager!$B$2:$B$5,0)),"")</f>
        <v>MGR004</v>
      </c>
    </row>
    <row r="763" spans="1:15" ht="15.75" customHeight="1">
      <c r="A763">
        <v>762</v>
      </c>
      <c r="B763" s="2">
        <v>45237</v>
      </c>
      <c r="C763" t="s">
        <v>789</v>
      </c>
      <c r="D763" t="s">
        <v>21</v>
      </c>
      <c r="E763">
        <v>24</v>
      </c>
      <c r="F763" s="3" t="s">
        <v>24</v>
      </c>
      <c r="G763">
        <v>2</v>
      </c>
      <c r="H763" s="4">
        <v>25</v>
      </c>
      <c r="I763" s="4">
        <v>50</v>
      </c>
      <c r="J763" t="s">
        <v>777</v>
      </c>
      <c r="K763" t="str">
        <f>IFERROR(VLOOKUP(F763&amp;"|"&amp;H763,Feature_Mappings!$A$2:$C$16,2,FALSE()),"")</f>
        <v>USB-C Charger</v>
      </c>
      <c r="L763" t="str">
        <f>IFERROR(VLOOKUP(F763&amp;"|"&amp;H763,Feature_Mappings!$A$2:$C$16,3,FALSE()),"")</f>
        <v>VoltEdge Electronics</v>
      </c>
      <c r="M763" t="str">
        <f>IFERROR(VLOOKUP(J763,Feature_Mappings!$D$2:$E$5,2,FALSE()),"")</f>
        <v>Ethan Parker</v>
      </c>
      <c r="N763" t="s">
        <v>778</v>
      </c>
      <c r="O763" t="str">
        <f>IFERROR(INDEX(Store_Manager!$A$2:$A$5,MATCH(M763,Store_Manager!$B$2:$B$5,0)),"")</f>
        <v>MGR004</v>
      </c>
    </row>
    <row r="764" spans="1:15" ht="15.75" customHeight="1">
      <c r="A764">
        <v>763</v>
      </c>
      <c r="B764" s="2">
        <v>44985</v>
      </c>
      <c r="C764" t="s">
        <v>790</v>
      </c>
      <c r="D764" t="s">
        <v>16</v>
      </c>
      <c r="E764">
        <v>34</v>
      </c>
      <c r="F764" s="3" t="s">
        <v>22</v>
      </c>
      <c r="G764">
        <v>2</v>
      </c>
      <c r="H764" s="4">
        <v>25</v>
      </c>
      <c r="I764" s="4">
        <v>50</v>
      </c>
      <c r="J764" t="s">
        <v>777</v>
      </c>
      <c r="K764" t="str">
        <f>IFERROR(VLOOKUP(F764&amp;"|"&amp;H764,Feature_Mappings!$A$2:$C$16,2,FALSE()),"")</f>
        <v>Cotton Socks</v>
      </c>
      <c r="L764" t="str">
        <f>IFERROR(VLOOKUP(F764&amp;"|"&amp;H764,Feature_Mappings!$A$2:$C$16,3,FALSE()),"")</f>
        <v>Urban Basics Co.</v>
      </c>
      <c r="M764" t="str">
        <f>IFERROR(VLOOKUP(J764,Feature_Mappings!$D$2:$E$5,2,FALSE()),"")</f>
        <v>Ethan Parker</v>
      </c>
      <c r="N764" t="s">
        <v>778</v>
      </c>
      <c r="O764" t="str">
        <f>IFERROR(INDEX(Store_Manager!$A$2:$A$5,MATCH(M764,Store_Manager!$B$2:$B$5,0)),"")</f>
        <v>MGR004</v>
      </c>
    </row>
    <row r="765" spans="1:15" ht="15.75" customHeight="1">
      <c r="A765">
        <v>764</v>
      </c>
      <c r="B765" s="2">
        <v>45010</v>
      </c>
      <c r="C765" t="s">
        <v>791</v>
      </c>
      <c r="D765" t="s">
        <v>21</v>
      </c>
      <c r="E765">
        <v>40</v>
      </c>
      <c r="F765" s="3" t="s">
        <v>22</v>
      </c>
      <c r="G765">
        <v>1</v>
      </c>
      <c r="H765" s="4">
        <v>25</v>
      </c>
      <c r="I765" s="4">
        <v>25</v>
      </c>
      <c r="J765" t="s">
        <v>777</v>
      </c>
      <c r="K765" t="str">
        <f>IFERROR(VLOOKUP(F765&amp;"|"&amp;H765,Feature_Mappings!$A$2:$C$16,2,FALSE()),"")</f>
        <v>Cotton Socks</v>
      </c>
      <c r="L765" t="str">
        <f>IFERROR(VLOOKUP(F765&amp;"|"&amp;H765,Feature_Mappings!$A$2:$C$16,3,FALSE()),"")</f>
        <v>Urban Basics Co.</v>
      </c>
      <c r="M765" t="str">
        <f>IFERROR(VLOOKUP(J765,Feature_Mappings!$D$2:$E$5,2,FALSE()),"")</f>
        <v>Ethan Parker</v>
      </c>
      <c r="N765" t="s">
        <v>778</v>
      </c>
      <c r="O765" t="str">
        <f>IFERROR(INDEX(Store_Manager!$A$2:$A$5,MATCH(M765,Store_Manager!$B$2:$B$5,0)),"")</f>
        <v>MGR004</v>
      </c>
    </row>
    <row r="766" spans="1:15" ht="15.75" customHeight="1">
      <c r="A766">
        <v>765</v>
      </c>
      <c r="B766" s="2">
        <v>45086</v>
      </c>
      <c r="C766" t="s">
        <v>792</v>
      </c>
      <c r="D766" t="s">
        <v>16</v>
      </c>
      <c r="E766">
        <v>43</v>
      </c>
      <c r="F766" s="3" t="s">
        <v>22</v>
      </c>
      <c r="G766">
        <v>4</v>
      </c>
      <c r="H766" s="4">
        <v>50</v>
      </c>
      <c r="I766" s="4">
        <v>200</v>
      </c>
      <c r="J766" t="s">
        <v>777</v>
      </c>
      <c r="K766" t="str">
        <f>IFERROR(VLOOKUP(F766&amp;"|"&amp;H766,Feature_Mappings!$A$2:$C$16,2,FALSE()),"")</f>
        <v>Denim Jeans</v>
      </c>
      <c r="L766" t="str">
        <f>IFERROR(VLOOKUP(F766&amp;"|"&amp;H766,Feature_Mappings!$A$2:$C$16,3,FALSE()),"")</f>
        <v>BlueFit Garments</v>
      </c>
      <c r="M766" t="str">
        <f>IFERROR(VLOOKUP(J766,Feature_Mappings!$D$2:$E$5,2,FALSE()),"")</f>
        <v>Ethan Parker</v>
      </c>
      <c r="N766" t="s">
        <v>778</v>
      </c>
      <c r="O766" t="str">
        <f>IFERROR(INDEX(Store_Manager!$A$2:$A$5,MATCH(M766,Store_Manager!$B$2:$B$5,0)),"")</f>
        <v>MGR004</v>
      </c>
    </row>
    <row r="767" spans="1:15" ht="15.75" customHeight="1">
      <c r="A767">
        <v>766</v>
      </c>
      <c r="B767" s="2">
        <v>44982</v>
      </c>
      <c r="C767" t="s">
        <v>793</v>
      </c>
      <c r="D767" t="s">
        <v>16</v>
      </c>
      <c r="E767">
        <v>38</v>
      </c>
      <c r="F767" s="3" t="s">
        <v>24</v>
      </c>
      <c r="G767">
        <v>3</v>
      </c>
      <c r="H767" s="4">
        <v>300</v>
      </c>
      <c r="I767" s="4">
        <v>900</v>
      </c>
      <c r="J767" t="s">
        <v>777</v>
      </c>
      <c r="K767" t="str">
        <f>IFERROR(VLOOKUP(F767&amp;"|"&amp;H767,Feature_Mappings!$A$2:$C$16,2,FALSE()),"")</f>
        <v>Tablet</v>
      </c>
      <c r="L767" t="str">
        <f>IFERROR(VLOOKUP(F767&amp;"|"&amp;H767,Feature_Mappings!$A$2:$C$16,3,FALSE()),"")</f>
        <v>NextGen Devices</v>
      </c>
      <c r="M767" t="str">
        <f>IFERROR(VLOOKUP(J767,Feature_Mappings!$D$2:$E$5,2,FALSE()),"")</f>
        <v>Ethan Parker</v>
      </c>
      <c r="N767" t="s">
        <v>778</v>
      </c>
      <c r="O767" t="str">
        <f>IFERROR(INDEX(Store_Manager!$A$2:$A$5,MATCH(M767,Store_Manager!$B$2:$B$5,0)),"")</f>
        <v>MGR004</v>
      </c>
    </row>
    <row r="768" spans="1:15" ht="15.75" customHeight="1">
      <c r="A768">
        <v>767</v>
      </c>
      <c r="B768" s="2">
        <v>45223</v>
      </c>
      <c r="C768" t="s">
        <v>794</v>
      </c>
      <c r="D768" t="s">
        <v>16</v>
      </c>
      <c r="E768">
        <v>39</v>
      </c>
      <c r="F768" s="3" t="s">
        <v>17</v>
      </c>
      <c r="G768">
        <v>3</v>
      </c>
      <c r="H768" s="4">
        <v>25</v>
      </c>
      <c r="I768" s="4">
        <v>75</v>
      </c>
      <c r="J768" t="s">
        <v>777</v>
      </c>
      <c r="K768" t="str">
        <f>IFERROR(VLOOKUP(F768&amp;"|"&amp;H768,Feature_Mappings!$A$2:$C$16,2,FALSE()),"")</f>
        <v>Lip Balm</v>
      </c>
      <c r="L768" t="str">
        <f>IFERROR(VLOOKUP(F768&amp;"|"&amp;H768,Feature_Mappings!$A$2:$C$16,3,FALSE()),"")</f>
        <v>GlowSource Cosmetics</v>
      </c>
      <c r="M768" t="str">
        <f>IFERROR(VLOOKUP(J768,Feature_Mappings!$D$2:$E$5,2,FALSE()),"")</f>
        <v>Ethan Parker</v>
      </c>
      <c r="N768" t="s">
        <v>778</v>
      </c>
      <c r="O768" t="str">
        <f>IFERROR(INDEX(Store_Manager!$A$2:$A$5,MATCH(M768,Store_Manager!$B$2:$B$5,0)),"")</f>
        <v>MGR004</v>
      </c>
    </row>
    <row r="769" spans="1:15" ht="15.75" customHeight="1">
      <c r="A769">
        <v>768</v>
      </c>
      <c r="B769" s="2">
        <v>44940</v>
      </c>
      <c r="C769" t="s">
        <v>795</v>
      </c>
      <c r="D769" t="s">
        <v>21</v>
      </c>
      <c r="E769">
        <v>24</v>
      </c>
      <c r="F769" s="3" t="s">
        <v>17</v>
      </c>
      <c r="G769">
        <v>3</v>
      </c>
      <c r="H769" s="4">
        <v>25</v>
      </c>
      <c r="I769" s="4">
        <v>75</v>
      </c>
      <c r="J769" t="s">
        <v>777</v>
      </c>
      <c r="K769" t="str">
        <f>IFERROR(VLOOKUP(F769&amp;"|"&amp;H769,Feature_Mappings!$A$2:$C$16,2,FALSE()),"")</f>
        <v>Lip Balm</v>
      </c>
      <c r="L769" t="str">
        <f>IFERROR(VLOOKUP(F769&amp;"|"&amp;H769,Feature_Mappings!$A$2:$C$16,3,FALSE()),"")</f>
        <v>GlowSource Cosmetics</v>
      </c>
      <c r="M769" t="str">
        <f>IFERROR(VLOOKUP(J769,Feature_Mappings!$D$2:$E$5,2,FALSE()),"")</f>
        <v>Ethan Parker</v>
      </c>
      <c r="N769" t="s">
        <v>778</v>
      </c>
      <c r="O769" t="str">
        <f>IFERROR(INDEX(Store_Manager!$A$2:$A$5,MATCH(M769,Store_Manager!$B$2:$B$5,0)),"")</f>
        <v>MGR004</v>
      </c>
    </row>
    <row r="770" spans="1:15" ht="15.75" customHeight="1">
      <c r="A770">
        <v>769</v>
      </c>
      <c r="B770" s="2">
        <v>45086</v>
      </c>
      <c r="C770" t="s">
        <v>796</v>
      </c>
      <c r="D770" t="s">
        <v>21</v>
      </c>
      <c r="E770">
        <v>31</v>
      </c>
      <c r="F770" s="3" t="s">
        <v>24</v>
      </c>
      <c r="G770">
        <v>4</v>
      </c>
      <c r="H770" s="4">
        <v>30</v>
      </c>
      <c r="I770" s="4">
        <v>120</v>
      </c>
      <c r="J770" t="s">
        <v>777</v>
      </c>
      <c r="K770" t="str">
        <f>IFERROR(VLOOKUP(F770&amp;"|"&amp;H770,Feature_Mappings!$A$2:$C$16,2,FALSE()),"")</f>
        <v>Wireless Mouse</v>
      </c>
      <c r="L770" t="str">
        <f>IFERROR(VLOOKUP(F770&amp;"|"&amp;H770,Feature_Mappings!$A$2:$C$16,3,FALSE()),"")</f>
        <v>ByteWave Distributors</v>
      </c>
      <c r="M770" t="str">
        <f>IFERROR(VLOOKUP(J770,Feature_Mappings!$D$2:$E$5,2,FALSE()),"")</f>
        <v>Ethan Parker</v>
      </c>
      <c r="N770" t="s">
        <v>778</v>
      </c>
      <c r="O770" t="str">
        <f>IFERROR(INDEX(Store_Manager!$A$2:$A$5,MATCH(M770,Store_Manager!$B$2:$B$5,0)),"")</f>
        <v>MGR004</v>
      </c>
    </row>
    <row r="771" spans="1:15" ht="15.75" customHeight="1">
      <c r="A771">
        <v>770</v>
      </c>
      <c r="B771" s="2">
        <v>45221</v>
      </c>
      <c r="C771" t="s">
        <v>797</v>
      </c>
      <c r="D771" t="s">
        <v>16</v>
      </c>
      <c r="E771">
        <v>32</v>
      </c>
      <c r="F771" s="3" t="s">
        <v>22</v>
      </c>
      <c r="G771">
        <v>1</v>
      </c>
      <c r="H771" s="4">
        <v>50</v>
      </c>
      <c r="I771" s="4">
        <v>50</v>
      </c>
      <c r="J771" t="s">
        <v>777</v>
      </c>
      <c r="K771" t="str">
        <f>IFERROR(VLOOKUP(F771&amp;"|"&amp;H771,Feature_Mappings!$A$2:$C$16,2,FALSE()),"")</f>
        <v>Denim Jeans</v>
      </c>
      <c r="L771" t="str">
        <f>IFERROR(VLOOKUP(F771&amp;"|"&amp;H771,Feature_Mappings!$A$2:$C$16,3,FALSE()),"")</f>
        <v>BlueFit Garments</v>
      </c>
      <c r="M771" t="str">
        <f>IFERROR(VLOOKUP(J771,Feature_Mappings!$D$2:$E$5,2,FALSE()),"")</f>
        <v>Ethan Parker</v>
      </c>
      <c r="N771" t="s">
        <v>778</v>
      </c>
      <c r="O771" t="str">
        <f>IFERROR(INDEX(Store_Manager!$A$2:$A$5,MATCH(M771,Store_Manager!$B$2:$B$5,0)),"")</f>
        <v>MGR004</v>
      </c>
    </row>
    <row r="772" spans="1:15" ht="15.75" customHeight="1">
      <c r="A772">
        <v>771</v>
      </c>
      <c r="B772" s="2">
        <v>45273</v>
      </c>
      <c r="C772" t="s">
        <v>798</v>
      </c>
      <c r="D772" t="s">
        <v>16</v>
      </c>
      <c r="E772">
        <v>24</v>
      </c>
      <c r="F772" s="3" t="s">
        <v>24</v>
      </c>
      <c r="G772">
        <v>2</v>
      </c>
      <c r="H772" s="4">
        <v>25</v>
      </c>
      <c r="I772" s="4">
        <v>50</v>
      </c>
      <c r="J772" t="s">
        <v>777</v>
      </c>
      <c r="K772" t="str">
        <f>IFERROR(VLOOKUP(F772&amp;"|"&amp;H772,Feature_Mappings!$A$2:$C$16,2,FALSE()),"")</f>
        <v>USB-C Charger</v>
      </c>
      <c r="L772" t="str">
        <f>IFERROR(VLOOKUP(F772&amp;"|"&amp;H772,Feature_Mappings!$A$2:$C$16,3,FALSE()),"")</f>
        <v>VoltEdge Electronics</v>
      </c>
      <c r="M772" t="str">
        <f>IFERROR(VLOOKUP(J772,Feature_Mappings!$D$2:$E$5,2,FALSE()),"")</f>
        <v>Ethan Parker</v>
      </c>
      <c r="N772" t="s">
        <v>778</v>
      </c>
      <c r="O772" t="str">
        <f>IFERROR(INDEX(Store_Manager!$A$2:$A$5,MATCH(M772,Store_Manager!$B$2:$B$5,0)),"")</f>
        <v>MGR004</v>
      </c>
    </row>
    <row r="773" spans="1:15" ht="15.75" customHeight="1">
      <c r="A773">
        <v>772</v>
      </c>
      <c r="B773" s="2">
        <v>45119</v>
      </c>
      <c r="C773" t="s">
        <v>799</v>
      </c>
      <c r="D773" t="s">
        <v>16</v>
      </c>
      <c r="E773">
        <v>26</v>
      </c>
      <c r="F773" s="3" t="s">
        <v>24</v>
      </c>
      <c r="G773">
        <v>1</v>
      </c>
      <c r="H773" s="4">
        <v>30</v>
      </c>
      <c r="I773" s="4">
        <v>30</v>
      </c>
      <c r="J773" t="s">
        <v>777</v>
      </c>
      <c r="K773" t="str">
        <f>IFERROR(VLOOKUP(F773&amp;"|"&amp;H773,Feature_Mappings!$A$2:$C$16,2,FALSE()),"")</f>
        <v>Wireless Mouse</v>
      </c>
      <c r="L773" t="str">
        <f>IFERROR(VLOOKUP(F773&amp;"|"&amp;H773,Feature_Mappings!$A$2:$C$16,3,FALSE()),"")</f>
        <v>ByteWave Distributors</v>
      </c>
      <c r="M773" t="str">
        <f>IFERROR(VLOOKUP(J773,Feature_Mappings!$D$2:$E$5,2,FALSE()),"")</f>
        <v>Ethan Parker</v>
      </c>
      <c r="N773" t="s">
        <v>778</v>
      </c>
      <c r="O773" t="str">
        <f>IFERROR(INDEX(Store_Manager!$A$2:$A$5,MATCH(M773,Store_Manager!$B$2:$B$5,0)),"")</f>
        <v>MGR004</v>
      </c>
    </row>
    <row r="774" spans="1:15" ht="15.75" customHeight="1">
      <c r="A774">
        <v>773</v>
      </c>
      <c r="B774" s="2">
        <v>45130</v>
      </c>
      <c r="C774" t="s">
        <v>800</v>
      </c>
      <c r="D774" t="s">
        <v>16</v>
      </c>
      <c r="E774">
        <v>25</v>
      </c>
      <c r="F774" s="3" t="s">
        <v>24</v>
      </c>
      <c r="G774">
        <v>4</v>
      </c>
      <c r="H774" s="4">
        <v>500</v>
      </c>
      <c r="I774" s="4">
        <v>2000</v>
      </c>
      <c r="J774" t="s">
        <v>777</v>
      </c>
      <c r="K774" t="str">
        <f>IFERROR(VLOOKUP(F774&amp;"|"&amp;H774,Feature_Mappings!$A$2:$C$16,2,FALSE()),"")</f>
        <v>Smartphone</v>
      </c>
      <c r="L774" t="str">
        <f>IFERROR(VLOOKUP(F774&amp;"|"&amp;H774,Feature_Mappings!$A$2:$C$16,3,FALSE()),"")</f>
        <v>NovaTech Wholesale</v>
      </c>
      <c r="M774" t="str">
        <f>IFERROR(VLOOKUP(J774,Feature_Mappings!$D$2:$E$5,2,FALSE()),"")</f>
        <v>Ethan Parker</v>
      </c>
      <c r="N774" t="s">
        <v>778</v>
      </c>
      <c r="O774" t="str">
        <f>IFERROR(INDEX(Store_Manager!$A$2:$A$5,MATCH(M774,Store_Manager!$B$2:$B$5,0)),"")</f>
        <v>MGR004</v>
      </c>
    </row>
    <row r="775" spans="1:15" ht="15.75" customHeight="1">
      <c r="A775">
        <v>774</v>
      </c>
      <c r="B775" s="2">
        <v>45028</v>
      </c>
      <c r="C775" t="s">
        <v>801</v>
      </c>
      <c r="D775" t="s">
        <v>21</v>
      </c>
      <c r="E775">
        <v>40</v>
      </c>
      <c r="F775" s="3" t="s">
        <v>22</v>
      </c>
      <c r="G775">
        <v>2</v>
      </c>
      <c r="H775" s="4">
        <v>25</v>
      </c>
      <c r="I775" s="4">
        <v>50</v>
      </c>
      <c r="J775" t="s">
        <v>777</v>
      </c>
      <c r="K775" t="str">
        <f>IFERROR(VLOOKUP(F775&amp;"|"&amp;H775,Feature_Mappings!$A$2:$C$16,2,FALSE()),"")</f>
        <v>Cotton Socks</v>
      </c>
      <c r="L775" t="str">
        <f>IFERROR(VLOOKUP(F775&amp;"|"&amp;H775,Feature_Mappings!$A$2:$C$16,3,FALSE()),"")</f>
        <v>Urban Basics Co.</v>
      </c>
      <c r="M775" t="str">
        <f>IFERROR(VLOOKUP(J775,Feature_Mappings!$D$2:$E$5,2,FALSE()),"")</f>
        <v>Ethan Parker</v>
      </c>
      <c r="N775" t="s">
        <v>778</v>
      </c>
      <c r="O775" t="str">
        <f>IFERROR(INDEX(Store_Manager!$A$2:$A$5,MATCH(M775,Store_Manager!$B$2:$B$5,0)),"")</f>
        <v>MGR004</v>
      </c>
    </row>
    <row r="776" spans="1:15" ht="15.75" customHeight="1">
      <c r="A776">
        <v>775</v>
      </c>
      <c r="B776" s="2">
        <v>44965</v>
      </c>
      <c r="C776" t="s">
        <v>802</v>
      </c>
      <c r="D776" t="s">
        <v>21</v>
      </c>
      <c r="E776">
        <v>46</v>
      </c>
      <c r="F776" s="3" t="s">
        <v>24</v>
      </c>
      <c r="G776">
        <v>4</v>
      </c>
      <c r="H776" s="4">
        <v>25</v>
      </c>
      <c r="I776" s="4">
        <v>100</v>
      </c>
      <c r="J776" t="s">
        <v>777</v>
      </c>
      <c r="K776" t="str">
        <f>IFERROR(VLOOKUP(F776&amp;"|"&amp;H776,Feature_Mappings!$A$2:$C$16,2,FALSE()),"")</f>
        <v>USB-C Charger</v>
      </c>
      <c r="L776" t="str">
        <f>IFERROR(VLOOKUP(F776&amp;"|"&amp;H776,Feature_Mappings!$A$2:$C$16,3,FALSE()),"")</f>
        <v>VoltEdge Electronics</v>
      </c>
      <c r="M776" t="str">
        <f>IFERROR(VLOOKUP(J776,Feature_Mappings!$D$2:$E$5,2,FALSE()),"")</f>
        <v>Ethan Parker</v>
      </c>
      <c r="N776" t="s">
        <v>778</v>
      </c>
      <c r="O776" t="str">
        <f>IFERROR(INDEX(Store_Manager!$A$2:$A$5,MATCH(M776,Store_Manager!$B$2:$B$5,0)),"")</f>
        <v>MGR004</v>
      </c>
    </row>
    <row r="777" spans="1:15" ht="15.75" customHeight="1">
      <c r="A777">
        <v>776</v>
      </c>
      <c r="B777" s="2">
        <v>45230</v>
      </c>
      <c r="C777" t="s">
        <v>803</v>
      </c>
      <c r="D777" t="s">
        <v>16</v>
      </c>
      <c r="E777">
        <v>35</v>
      </c>
      <c r="F777" s="3" t="s">
        <v>22</v>
      </c>
      <c r="G777">
        <v>3</v>
      </c>
      <c r="H777" s="4">
        <v>30</v>
      </c>
      <c r="I777" s="4">
        <v>90</v>
      </c>
      <c r="J777" t="s">
        <v>777</v>
      </c>
      <c r="K777" t="str">
        <f>IFERROR(VLOOKUP(F777&amp;"|"&amp;H777,Feature_Mappings!$A$2:$C$16,2,FALSE()),"")</f>
        <v>Graphic T-Shirt</v>
      </c>
      <c r="L777" t="str">
        <f>IFERROR(VLOOKUP(F777&amp;"|"&amp;H777,Feature_Mappings!$A$2:$C$16,3,FALSE()),"")</f>
        <v>ThreadWorks Apparel</v>
      </c>
      <c r="M777" t="str">
        <f>IFERROR(VLOOKUP(J777,Feature_Mappings!$D$2:$E$5,2,FALSE()),"")</f>
        <v>Ethan Parker</v>
      </c>
      <c r="N777" t="s">
        <v>778</v>
      </c>
      <c r="O777" t="str">
        <f>IFERROR(INDEX(Store_Manager!$A$2:$A$5,MATCH(M777,Store_Manager!$B$2:$B$5,0)),"")</f>
        <v>MGR004</v>
      </c>
    </row>
    <row r="778" spans="1:15" ht="15.75" customHeight="1">
      <c r="A778">
        <v>777</v>
      </c>
      <c r="B778" s="2">
        <v>45280</v>
      </c>
      <c r="C778" t="s">
        <v>804</v>
      </c>
      <c r="D778" t="s">
        <v>16</v>
      </c>
      <c r="E778">
        <v>48</v>
      </c>
      <c r="F778" s="3" t="s">
        <v>24</v>
      </c>
      <c r="G778">
        <v>3</v>
      </c>
      <c r="H778" s="4">
        <v>50</v>
      </c>
      <c r="I778" s="4">
        <v>150</v>
      </c>
      <c r="J778" t="s">
        <v>777</v>
      </c>
      <c r="K778" t="str">
        <f>IFERROR(VLOOKUP(F778&amp;"|"&amp;H778,Feature_Mappings!$A$2:$C$16,2,FALSE()),"")</f>
        <v>Bluetooth Speaker</v>
      </c>
      <c r="L778" t="str">
        <f>IFERROR(VLOOKUP(F778&amp;"|"&amp;H778,Feature_Mappings!$A$2:$C$16,3,FALSE()),"")</f>
        <v>SoundSphere Supply</v>
      </c>
      <c r="M778" t="str">
        <f>IFERROR(VLOOKUP(J778,Feature_Mappings!$D$2:$E$5,2,FALSE()),"")</f>
        <v>Ethan Parker</v>
      </c>
      <c r="N778" t="s">
        <v>778</v>
      </c>
      <c r="O778" t="str">
        <f>IFERROR(INDEX(Store_Manager!$A$2:$A$5,MATCH(M778,Store_Manager!$B$2:$B$5,0)),"")</f>
        <v>MGR004</v>
      </c>
    </row>
    <row r="779" spans="1:15" ht="15.75" customHeight="1">
      <c r="A779">
        <v>778</v>
      </c>
      <c r="B779" s="2">
        <v>45248</v>
      </c>
      <c r="C779" t="s">
        <v>805</v>
      </c>
      <c r="D779" t="s">
        <v>21</v>
      </c>
      <c r="E779">
        <v>47</v>
      </c>
      <c r="F779" s="3" t="s">
        <v>17</v>
      </c>
      <c r="G779">
        <v>4</v>
      </c>
      <c r="H779" s="4">
        <v>25</v>
      </c>
      <c r="I779" s="4">
        <v>100</v>
      </c>
      <c r="J779" t="s">
        <v>777</v>
      </c>
      <c r="K779" t="str">
        <f>IFERROR(VLOOKUP(F779&amp;"|"&amp;H779,Feature_Mappings!$A$2:$C$16,2,FALSE()),"")</f>
        <v>Lip Balm</v>
      </c>
      <c r="L779" t="str">
        <f>IFERROR(VLOOKUP(F779&amp;"|"&amp;H779,Feature_Mappings!$A$2:$C$16,3,FALSE()),"")</f>
        <v>GlowSource Cosmetics</v>
      </c>
      <c r="M779" t="str">
        <f>IFERROR(VLOOKUP(J779,Feature_Mappings!$D$2:$E$5,2,FALSE()),"")</f>
        <v>Ethan Parker</v>
      </c>
      <c r="N779" t="s">
        <v>778</v>
      </c>
      <c r="O779" t="str">
        <f>IFERROR(INDEX(Store_Manager!$A$2:$A$5,MATCH(M779,Store_Manager!$B$2:$B$5,0)),"")</f>
        <v>MGR004</v>
      </c>
    </row>
    <row r="780" spans="1:15" ht="15.75" customHeight="1">
      <c r="A780">
        <v>779</v>
      </c>
      <c r="B780" s="2">
        <v>45051</v>
      </c>
      <c r="C780" t="s">
        <v>806</v>
      </c>
      <c r="D780" t="s">
        <v>21</v>
      </c>
      <c r="E780">
        <v>56</v>
      </c>
      <c r="F780" s="3" t="s">
        <v>24</v>
      </c>
      <c r="G780">
        <v>2</v>
      </c>
      <c r="H780" s="4">
        <v>500</v>
      </c>
      <c r="I780" s="4">
        <v>1000</v>
      </c>
      <c r="J780" t="s">
        <v>777</v>
      </c>
      <c r="K780" t="str">
        <f>IFERROR(VLOOKUP(F780&amp;"|"&amp;H780,Feature_Mappings!$A$2:$C$16,2,FALSE()),"")</f>
        <v>Smartphone</v>
      </c>
      <c r="L780" t="str">
        <f>IFERROR(VLOOKUP(F780&amp;"|"&amp;H780,Feature_Mappings!$A$2:$C$16,3,FALSE()),"")</f>
        <v>NovaTech Wholesale</v>
      </c>
      <c r="M780" t="str">
        <f>IFERROR(VLOOKUP(J780,Feature_Mappings!$D$2:$E$5,2,FALSE()),"")</f>
        <v>Ethan Parker</v>
      </c>
      <c r="N780" t="s">
        <v>778</v>
      </c>
      <c r="O780" t="str">
        <f>IFERROR(INDEX(Store_Manager!$A$2:$A$5,MATCH(M780,Store_Manager!$B$2:$B$5,0)),"")</f>
        <v>MGR004</v>
      </c>
    </row>
    <row r="781" spans="1:15" ht="15.75" customHeight="1">
      <c r="A781">
        <v>780</v>
      </c>
      <c r="B781" s="2">
        <v>44979</v>
      </c>
      <c r="C781" t="s">
        <v>807</v>
      </c>
      <c r="D781" t="s">
        <v>16</v>
      </c>
      <c r="E781">
        <v>52</v>
      </c>
      <c r="F781" s="3" t="s">
        <v>24</v>
      </c>
      <c r="G781">
        <v>2</v>
      </c>
      <c r="H781" s="4">
        <v>25</v>
      </c>
      <c r="I781" s="4">
        <v>50</v>
      </c>
      <c r="J781" t="s">
        <v>777</v>
      </c>
      <c r="K781" t="str">
        <f>IFERROR(VLOOKUP(F781&amp;"|"&amp;H781,Feature_Mappings!$A$2:$C$16,2,FALSE()),"")</f>
        <v>USB-C Charger</v>
      </c>
      <c r="L781" t="str">
        <f>IFERROR(VLOOKUP(F781&amp;"|"&amp;H781,Feature_Mappings!$A$2:$C$16,3,FALSE()),"")</f>
        <v>VoltEdge Electronics</v>
      </c>
      <c r="M781" t="str">
        <f>IFERROR(VLOOKUP(J781,Feature_Mappings!$D$2:$E$5,2,FALSE()),"")</f>
        <v>Ethan Parker</v>
      </c>
      <c r="N781" t="s">
        <v>778</v>
      </c>
      <c r="O781" t="str">
        <f>IFERROR(INDEX(Store_Manager!$A$2:$A$5,MATCH(M781,Store_Manager!$B$2:$B$5,0)),"")</f>
        <v>MGR004</v>
      </c>
    </row>
    <row r="782" spans="1:15" ht="15.75" customHeight="1">
      <c r="A782">
        <v>781</v>
      </c>
      <c r="B782" s="2">
        <v>45283</v>
      </c>
      <c r="C782" t="s">
        <v>808</v>
      </c>
      <c r="D782" t="s">
        <v>16</v>
      </c>
      <c r="E782">
        <v>35</v>
      </c>
      <c r="F782" s="3" t="s">
        <v>17</v>
      </c>
      <c r="G782">
        <v>1</v>
      </c>
      <c r="H782" s="4">
        <v>500</v>
      </c>
      <c r="I782" s="4">
        <v>500</v>
      </c>
      <c r="J782" t="s">
        <v>777</v>
      </c>
      <c r="K782" t="str">
        <f>IFERROR(VLOOKUP(F782&amp;"|"&amp;H782,Feature_Mappings!$A$2:$C$16,2,FALSE()),"")</f>
        <v>LED Beauty Device</v>
      </c>
      <c r="L782" t="str">
        <f>IFERROR(VLOOKUP(F782&amp;"|"&amp;H782,Feature_Mappings!$A$2:$C$16,3,FALSE()),"")</f>
        <v>BeautyTech Pro</v>
      </c>
      <c r="M782" t="str">
        <f>IFERROR(VLOOKUP(J782,Feature_Mappings!$D$2:$E$5,2,FALSE()),"")</f>
        <v>Ethan Parker</v>
      </c>
      <c r="N782" t="s">
        <v>778</v>
      </c>
      <c r="O782" t="str">
        <f>IFERROR(INDEX(Store_Manager!$A$2:$A$5,MATCH(M782,Store_Manager!$B$2:$B$5,0)),"")</f>
        <v>MGR004</v>
      </c>
    </row>
    <row r="783" spans="1:15" ht="15.75" customHeight="1">
      <c r="A783">
        <v>782</v>
      </c>
      <c r="B783" s="2">
        <v>45081</v>
      </c>
      <c r="C783" t="s">
        <v>809</v>
      </c>
      <c r="D783" t="s">
        <v>16</v>
      </c>
      <c r="E783">
        <v>59</v>
      </c>
      <c r="F783" s="3" t="s">
        <v>22</v>
      </c>
      <c r="G783">
        <v>3</v>
      </c>
      <c r="H783" s="4">
        <v>300</v>
      </c>
      <c r="I783" s="4">
        <v>900</v>
      </c>
      <c r="J783" t="s">
        <v>777</v>
      </c>
      <c r="K783" t="str">
        <f>IFERROR(VLOOKUP(F783&amp;"|"&amp;H783,Feature_Mappings!$A$2:$C$16,2,FALSE()),"")</f>
        <v>Leather Jacket</v>
      </c>
      <c r="L783" t="str">
        <f>IFERROR(VLOOKUP(F783&amp;"|"&amp;H783,Feature_Mappings!$A$2:$C$16,3,FALSE()),"")</f>
        <v>Metro Style Manufacturing</v>
      </c>
      <c r="M783" t="str">
        <f>IFERROR(VLOOKUP(J783,Feature_Mappings!$D$2:$E$5,2,FALSE()),"")</f>
        <v>Ethan Parker</v>
      </c>
      <c r="N783" t="s">
        <v>778</v>
      </c>
      <c r="O783" t="str">
        <f>IFERROR(INDEX(Store_Manager!$A$2:$A$5,MATCH(M783,Store_Manager!$B$2:$B$5,0)),"")</f>
        <v>MGR004</v>
      </c>
    </row>
    <row r="784" spans="1:15" ht="15.75" customHeight="1">
      <c r="A784">
        <v>783</v>
      </c>
      <c r="B784" s="2">
        <v>45277</v>
      </c>
      <c r="C784" t="s">
        <v>810</v>
      </c>
      <c r="D784" t="s">
        <v>21</v>
      </c>
      <c r="E784">
        <v>56</v>
      </c>
      <c r="F784" s="3" t="s">
        <v>22</v>
      </c>
      <c r="G784">
        <v>1</v>
      </c>
      <c r="H784" s="4">
        <v>300</v>
      </c>
      <c r="I784" s="4">
        <v>300</v>
      </c>
      <c r="J784" t="s">
        <v>777</v>
      </c>
      <c r="K784" t="str">
        <f>IFERROR(VLOOKUP(F784&amp;"|"&amp;H784,Feature_Mappings!$A$2:$C$16,2,FALSE()),"")</f>
        <v>Leather Jacket</v>
      </c>
      <c r="L784" t="str">
        <f>IFERROR(VLOOKUP(F784&amp;"|"&amp;H784,Feature_Mappings!$A$2:$C$16,3,FALSE()),"")</f>
        <v>Metro Style Manufacturing</v>
      </c>
      <c r="M784" t="str">
        <f>IFERROR(VLOOKUP(J784,Feature_Mappings!$D$2:$E$5,2,FALSE()),"")</f>
        <v>Ethan Parker</v>
      </c>
      <c r="N784" t="s">
        <v>778</v>
      </c>
      <c r="O784" t="str">
        <f>IFERROR(INDEX(Store_Manager!$A$2:$A$5,MATCH(M784,Store_Manager!$B$2:$B$5,0)),"")</f>
        <v>MGR004</v>
      </c>
    </row>
    <row r="785" spans="1:15" ht="15.75" customHeight="1">
      <c r="A785">
        <v>784</v>
      </c>
      <c r="B785" s="2">
        <v>45234</v>
      </c>
      <c r="C785" t="s">
        <v>811</v>
      </c>
      <c r="D785" t="s">
        <v>21</v>
      </c>
      <c r="E785">
        <v>34</v>
      </c>
      <c r="F785" s="3" t="s">
        <v>24</v>
      </c>
      <c r="G785">
        <v>1</v>
      </c>
      <c r="H785" s="4">
        <v>500</v>
      </c>
      <c r="I785" s="4">
        <v>500</v>
      </c>
      <c r="J785" t="s">
        <v>777</v>
      </c>
      <c r="K785" t="str">
        <f>IFERROR(VLOOKUP(F785&amp;"|"&amp;H785,Feature_Mappings!$A$2:$C$16,2,FALSE()),"")</f>
        <v>Smartphone</v>
      </c>
      <c r="L785" t="str">
        <f>IFERROR(VLOOKUP(F785&amp;"|"&amp;H785,Feature_Mappings!$A$2:$C$16,3,FALSE()),"")</f>
        <v>NovaTech Wholesale</v>
      </c>
      <c r="M785" t="str">
        <f>IFERROR(VLOOKUP(J785,Feature_Mappings!$D$2:$E$5,2,FALSE()),"")</f>
        <v>Ethan Parker</v>
      </c>
      <c r="N785" t="s">
        <v>778</v>
      </c>
      <c r="O785" t="str">
        <f>IFERROR(INDEX(Store_Manager!$A$2:$A$5,MATCH(M785,Store_Manager!$B$2:$B$5,0)),"")</f>
        <v>MGR004</v>
      </c>
    </row>
    <row r="786" spans="1:15" ht="15.75" customHeight="1">
      <c r="A786">
        <v>785</v>
      </c>
      <c r="B786" s="2">
        <v>44988</v>
      </c>
      <c r="C786" t="s">
        <v>812</v>
      </c>
      <c r="D786" t="s">
        <v>21</v>
      </c>
      <c r="E786">
        <v>31</v>
      </c>
      <c r="F786" s="3" t="s">
        <v>17</v>
      </c>
      <c r="G786">
        <v>4</v>
      </c>
      <c r="H786" s="4">
        <v>50</v>
      </c>
      <c r="I786" s="4">
        <v>200</v>
      </c>
      <c r="J786" t="s">
        <v>777</v>
      </c>
      <c r="K786" t="str">
        <f>IFERROR(VLOOKUP(F786&amp;"|"&amp;H786,Feature_Mappings!$A$2:$C$16,2,FALSE()),"")</f>
        <v>Eau de Parfum</v>
      </c>
      <c r="L786" t="str">
        <f>IFERROR(VLOOKUP(F786&amp;"|"&amp;H786,Feature_Mappings!$A$2:$C$16,3,FALSE()),"")</f>
        <v>Luxe Aroma Labs</v>
      </c>
      <c r="M786" t="str">
        <f>IFERROR(VLOOKUP(J786,Feature_Mappings!$D$2:$E$5,2,FALSE()),"")</f>
        <v>Ethan Parker</v>
      </c>
      <c r="N786" t="s">
        <v>778</v>
      </c>
      <c r="O786" t="str">
        <f>IFERROR(INDEX(Store_Manager!$A$2:$A$5,MATCH(M786,Store_Manager!$B$2:$B$5,0)),"")</f>
        <v>MGR004</v>
      </c>
    </row>
    <row r="787" spans="1:15" ht="15.75" customHeight="1">
      <c r="A787">
        <v>786</v>
      </c>
      <c r="B787" s="2">
        <v>45216</v>
      </c>
      <c r="C787" t="s">
        <v>813</v>
      </c>
      <c r="D787" t="s">
        <v>16</v>
      </c>
      <c r="E787">
        <v>48</v>
      </c>
      <c r="F787" s="3" t="s">
        <v>22</v>
      </c>
      <c r="G787">
        <v>4</v>
      </c>
      <c r="H787" s="4">
        <v>25</v>
      </c>
      <c r="I787" s="4">
        <v>100</v>
      </c>
      <c r="J787" t="s">
        <v>777</v>
      </c>
      <c r="K787" t="str">
        <f>IFERROR(VLOOKUP(F787&amp;"|"&amp;H787,Feature_Mappings!$A$2:$C$16,2,FALSE()),"")</f>
        <v>Cotton Socks</v>
      </c>
      <c r="L787" t="str">
        <f>IFERROR(VLOOKUP(F787&amp;"|"&amp;H787,Feature_Mappings!$A$2:$C$16,3,FALSE()),"")</f>
        <v>Urban Basics Co.</v>
      </c>
      <c r="M787" t="str">
        <f>IFERROR(VLOOKUP(J787,Feature_Mappings!$D$2:$E$5,2,FALSE()),"")</f>
        <v>Ethan Parker</v>
      </c>
      <c r="N787" t="s">
        <v>778</v>
      </c>
      <c r="O787" t="str">
        <f>IFERROR(INDEX(Store_Manager!$A$2:$A$5,MATCH(M787,Store_Manager!$B$2:$B$5,0)),"")</f>
        <v>MGR004</v>
      </c>
    </row>
    <row r="788" spans="1:15" ht="15.75" customHeight="1">
      <c r="A788">
        <v>787</v>
      </c>
      <c r="B788" s="2">
        <v>44948</v>
      </c>
      <c r="C788" t="s">
        <v>814</v>
      </c>
      <c r="D788" t="s">
        <v>16</v>
      </c>
      <c r="E788">
        <v>41</v>
      </c>
      <c r="F788" s="3" t="s">
        <v>24</v>
      </c>
      <c r="G788">
        <v>1</v>
      </c>
      <c r="H788" s="4">
        <v>25</v>
      </c>
      <c r="I788" s="4">
        <v>25</v>
      </c>
      <c r="J788" t="s">
        <v>777</v>
      </c>
      <c r="K788" t="str">
        <f>IFERROR(VLOOKUP(F788&amp;"|"&amp;H788,Feature_Mappings!$A$2:$C$16,2,FALSE()),"")</f>
        <v>USB-C Charger</v>
      </c>
      <c r="L788" t="str">
        <f>IFERROR(VLOOKUP(F788&amp;"|"&amp;H788,Feature_Mappings!$A$2:$C$16,3,FALSE()),"")</f>
        <v>VoltEdge Electronics</v>
      </c>
      <c r="M788" t="str">
        <f>IFERROR(VLOOKUP(J788,Feature_Mappings!$D$2:$E$5,2,FALSE()),"")</f>
        <v>Ethan Parker</v>
      </c>
      <c r="N788" t="s">
        <v>778</v>
      </c>
      <c r="O788" t="str">
        <f>IFERROR(INDEX(Store_Manager!$A$2:$A$5,MATCH(M788,Store_Manager!$B$2:$B$5,0)),"")</f>
        <v>MGR004</v>
      </c>
    </row>
    <row r="789" spans="1:15" ht="15.75" customHeight="1">
      <c r="A789">
        <v>788</v>
      </c>
      <c r="B789" s="2">
        <v>45104</v>
      </c>
      <c r="C789" t="s">
        <v>815</v>
      </c>
      <c r="D789" t="s">
        <v>21</v>
      </c>
      <c r="E789">
        <v>52</v>
      </c>
      <c r="F789" s="3" t="s">
        <v>17</v>
      </c>
      <c r="G789">
        <v>3</v>
      </c>
      <c r="H789" s="4">
        <v>300</v>
      </c>
      <c r="I789" s="4">
        <v>900</v>
      </c>
      <c r="J789" t="s">
        <v>777</v>
      </c>
      <c r="K789" t="str">
        <f>IFERROR(VLOOKUP(F789&amp;"|"&amp;H789,Feature_Mappings!$A$2:$C$16,2,FALSE()),"")</f>
        <v>Skincare Gift Set</v>
      </c>
      <c r="L789" t="str">
        <f>IFERROR(VLOOKUP(F789&amp;"|"&amp;H789,Feature_Mappings!$A$2:$C$16,3,FALSE()),"")</f>
        <v>Radiant Beauty Wholesale</v>
      </c>
      <c r="M789" t="str">
        <f>IFERROR(VLOOKUP(J789,Feature_Mappings!$D$2:$E$5,2,FALSE()),"")</f>
        <v>Ethan Parker</v>
      </c>
      <c r="N789" t="s">
        <v>778</v>
      </c>
      <c r="O789" t="str">
        <f>IFERROR(INDEX(Store_Manager!$A$2:$A$5,MATCH(M789,Store_Manager!$B$2:$B$5,0)),"")</f>
        <v>MGR004</v>
      </c>
    </row>
    <row r="790" spans="1:15" ht="15.75" customHeight="1">
      <c r="A790">
        <v>789</v>
      </c>
      <c r="B790" s="2">
        <v>45199</v>
      </c>
      <c r="C790" t="s">
        <v>816</v>
      </c>
      <c r="D790" t="s">
        <v>21</v>
      </c>
      <c r="E790">
        <v>61</v>
      </c>
      <c r="F790" s="3" t="s">
        <v>22</v>
      </c>
      <c r="G790">
        <v>4</v>
      </c>
      <c r="H790" s="4">
        <v>500</v>
      </c>
      <c r="I790" s="4">
        <v>2000</v>
      </c>
      <c r="J790" t="s">
        <v>777</v>
      </c>
      <c r="K790" t="str">
        <f>IFERROR(VLOOKUP(F790&amp;"|"&amp;H790,Feature_Mappings!$A$2:$C$16,2,FALSE()),"")</f>
        <v>Designer Coat</v>
      </c>
      <c r="L790" t="str">
        <f>IFERROR(VLOOKUP(F790&amp;"|"&amp;H790,Feature_Mappings!$A$2:$C$16,3,FALSE()),"")</f>
        <v>Prestige Fashion House</v>
      </c>
      <c r="M790" t="str">
        <f>IFERROR(VLOOKUP(J790,Feature_Mappings!$D$2:$E$5,2,FALSE()),"")</f>
        <v>Ethan Parker</v>
      </c>
      <c r="N790" t="s">
        <v>778</v>
      </c>
      <c r="O790" t="str">
        <f>IFERROR(INDEX(Store_Manager!$A$2:$A$5,MATCH(M790,Store_Manager!$B$2:$B$5,0)),"")</f>
        <v>MGR004</v>
      </c>
    </row>
    <row r="791" spans="1:15" ht="15.75" customHeight="1">
      <c r="A791">
        <v>790</v>
      </c>
      <c r="B791" s="2">
        <v>45146</v>
      </c>
      <c r="C791" t="s">
        <v>817</v>
      </c>
      <c r="D791" t="s">
        <v>16</v>
      </c>
      <c r="E791">
        <v>62</v>
      </c>
      <c r="F791" s="3" t="s">
        <v>22</v>
      </c>
      <c r="G791">
        <v>1</v>
      </c>
      <c r="H791" s="4">
        <v>25</v>
      </c>
      <c r="I791" s="4">
        <v>25</v>
      </c>
      <c r="J791" t="s">
        <v>777</v>
      </c>
      <c r="K791" t="str">
        <f>IFERROR(VLOOKUP(F791&amp;"|"&amp;H791,Feature_Mappings!$A$2:$C$16,2,FALSE()),"")</f>
        <v>Cotton Socks</v>
      </c>
      <c r="L791" t="str">
        <f>IFERROR(VLOOKUP(F791&amp;"|"&amp;H791,Feature_Mappings!$A$2:$C$16,3,FALSE()),"")</f>
        <v>Urban Basics Co.</v>
      </c>
      <c r="M791" t="str">
        <f>IFERROR(VLOOKUP(J791,Feature_Mappings!$D$2:$E$5,2,FALSE()),"")</f>
        <v>Ethan Parker</v>
      </c>
      <c r="N791" t="s">
        <v>778</v>
      </c>
      <c r="O791" t="str">
        <f>IFERROR(INDEX(Store_Manager!$A$2:$A$5,MATCH(M791,Store_Manager!$B$2:$B$5,0)),"")</f>
        <v>MGR004</v>
      </c>
    </row>
    <row r="792" spans="1:15" ht="15.75" customHeight="1">
      <c r="A792">
        <v>791</v>
      </c>
      <c r="B792" s="2">
        <v>45265</v>
      </c>
      <c r="C792" t="s">
        <v>818</v>
      </c>
      <c r="D792" t="s">
        <v>21</v>
      </c>
      <c r="E792">
        <v>51</v>
      </c>
      <c r="F792" s="3" t="s">
        <v>17</v>
      </c>
      <c r="G792">
        <v>1</v>
      </c>
      <c r="H792" s="4">
        <v>25</v>
      </c>
      <c r="I792" s="4">
        <v>25</v>
      </c>
      <c r="J792" t="s">
        <v>777</v>
      </c>
      <c r="K792" t="str">
        <f>IFERROR(VLOOKUP(F792&amp;"|"&amp;H792,Feature_Mappings!$A$2:$C$16,2,FALSE()),"")</f>
        <v>Lip Balm</v>
      </c>
      <c r="L792" t="str">
        <f>IFERROR(VLOOKUP(F792&amp;"|"&amp;H792,Feature_Mappings!$A$2:$C$16,3,FALSE()),"")</f>
        <v>GlowSource Cosmetics</v>
      </c>
      <c r="M792" t="str">
        <f>IFERROR(VLOOKUP(J792,Feature_Mappings!$D$2:$E$5,2,FALSE()),"")</f>
        <v>Ethan Parker</v>
      </c>
      <c r="N792" t="s">
        <v>778</v>
      </c>
      <c r="O792" t="str">
        <f>IFERROR(INDEX(Store_Manager!$A$2:$A$5,MATCH(M792,Store_Manager!$B$2:$B$5,0)),"")</f>
        <v>MGR004</v>
      </c>
    </row>
    <row r="793" spans="1:15" ht="15.75" customHeight="1">
      <c r="A793">
        <v>792</v>
      </c>
      <c r="B793" s="2">
        <v>45116</v>
      </c>
      <c r="C793" t="s">
        <v>819</v>
      </c>
      <c r="D793" t="s">
        <v>21</v>
      </c>
      <c r="E793">
        <v>20</v>
      </c>
      <c r="F793" s="3" t="s">
        <v>17</v>
      </c>
      <c r="G793">
        <v>1</v>
      </c>
      <c r="H793" s="4">
        <v>50</v>
      </c>
      <c r="I793" s="4">
        <v>50</v>
      </c>
      <c r="J793" t="s">
        <v>777</v>
      </c>
      <c r="K793" t="str">
        <f>IFERROR(VLOOKUP(F793&amp;"|"&amp;H793,Feature_Mappings!$A$2:$C$16,2,FALSE()),"")</f>
        <v>Eau de Parfum</v>
      </c>
      <c r="L793" t="str">
        <f>IFERROR(VLOOKUP(F793&amp;"|"&amp;H793,Feature_Mappings!$A$2:$C$16,3,FALSE()),"")</f>
        <v>Luxe Aroma Labs</v>
      </c>
      <c r="M793" t="str">
        <f>IFERROR(VLOOKUP(J793,Feature_Mappings!$D$2:$E$5,2,FALSE()),"")</f>
        <v>Ethan Parker</v>
      </c>
      <c r="N793" t="s">
        <v>778</v>
      </c>
      <c r="O793" t="str">
        <f>IFERROR(INDEX(Store_Manager!$A$2:$A$5,MATCH(M793,Store_Manager!$B$2:$B$5,0)),"")</f>
        <v>MGR004</v>
      </c>
    </row>
    <row r="794" spans="1:15" ht="15.75" customHeight="1">
      <c r="A794">
        <v>793</v>
      </c>
      <c r="B794" s="2">
        <v>44962</v>
      </c>
      <c r="C794" t="s">
        <v>820</v>
      </c>
      <c r="D794" t="s">
        <v>16</v>
      </c>
      <c r="E794">
        <v>54</v>
      </c>
      <c r="F794" s="3" t="s">
        <v>17</v>
      </c>
      <c r="G794">
        <v>1</v>
      </c>
      <c r="H794" s="4">
        <v>30</v>
      </c>
      <c r="I794" s="4">
        <v>30</v>
      </c>
      <c r="J794" t="s">
        <v>777</v>
      </c>
      <c r="K794" t="str">
        <f>IFERROR(VLOOKUP(F794&amp;"|"&amp;H794,Feature_Mappings!$A$2:$C$16,2,FALSE()),"")</f>
        <v>Facial Cleanser</v>
      </c>
      <c r="L794" t="str">
        <f>IFERROR(VLOOKUP(F794&amp;"|"&amp;H794,Feature_Mappings!$A$2:$C$16,3,FALSE()),"")</f>
        <v>PureDerma Supplies</v>
      </c>
      <c r="M794" t="str">
        <f>IFERROR(VLOOKUP(J794,Feature_Mappings!$D$2:$E$5,2,FALSE()),"")</f>
        <v>Ethan Parker</v>
      </c>
      <c r="N794" t="s">
        <v>778</v>
      </c>
      <c r="O794" t="str">
        <f>IFERROR(INDEX(Store_Manager!$A$2:$A$5,MATCH(M794,Store_Manager!$B$2:$B$5,0)),"")</f>
        <v>MGR004</v>
      </c>
    </row>
    <row r="795" spans="1:15" ht="15.75" customHeight="1">
      <c r="A795">
        <v>794</v>
      </c>
      <c r="B795" s="2">
        <v>45186</v>
      </c>
      <c r="C795" t="s">
        <v>821</v>
      </c>
      <c r="D795" t="s">
        <v>21</v>
      </c>
      <c r="E795">
        <v>60</v>
      </c>
      <c r="F795" s="3" t="s">
        <v>17</v>
      </c>
      <c r="G795">
        <v>1</v>
      </c>
      <c r="H795" s="4">
        <v>300</v>
      </c>
      <c r="I795" s="4">
        <v>300</v>
      </c>
      <c r="J795" t="s">
        <v>777</v>
      </c>
      <c r="K795" t="str">
        <f>IFERROR(VLOOKUP(F795&amp;"|"&amp;H795,Feature_Mappings!$A$2:$C$16,2,FALSE()),"")</f>
        <v>Skincare Gift Set</v>
      </c>
      <c r="L795" t="str">
        <f>IFERROR(VLOOKUP(F795&amp;"|"&amp;H795,Feature_Mappings!$A$2:$C$16,3,FALSE()),"")</f>
        <v>Radiant Beauty Wholesale</v>
      </c>
      <c r="M795" t="str">
        <f>IFERROR(VLOOKUP(J795,Feature_Mappings!$D$2:$E$5,2,FALSE()),"")</f>
        <v>Ethan Parker</v>
      </c>
      <c r="N795" t="s">
        <v>778</v>
      </c>
      <c r="O795" t="str">
        <f>IFERROR(INDEX(Store_Manager!$A$2:$A$5,MATCH(M795,Store_Manager!$B$2:$B$5,0)),"")</f>
        <v>MGR004</v>
      </c>
    </row>
    <row r="796" spans="1:15" ht="15.75" customHeight="1">
      <c r="A796">
        <v>795</v>
      </c>
      <c r="B796" s="2">
        <v>45258</v>
      </c>
      <c r="C796" t="s">
        <v>822</v>
      </c>
      <c r="D796" t="s">
        <v>16</v>
      </c>
      <c r="E796">
        <v>57</v>
      </c>
      <c r="F796" s="3" t="s">
        <v>24</v>
      </c>
      <c r="G796">
        <v>1</v>
      </c>
      <c r="H796" s="4">
        <v>300</v>
      </c>
      <c r="I796" s="4">
        <v>300</v>
      </c>
      <c r="J796" t="s">
        <v>777</v>
      </c>
      <c r="K796" t="str">
        <f>IFERROR(VLOOKUP(F796&amp;"|"&amp;H796,Feature_Mappings!$A$2:$C$16,2,FALSE()),"")</f>
        <v>Tablet</v>
      </c>
      <c r="L796" t="str">
        <f>IFERROR(VLOOKUP(F796&amp;"|"&amp;H796,Feature_Mappings!$A$2:$C$16,3,FALSE()),"")</f>
        <v>NextGen Devices</v>
      </c>
      <c r="M796" t="str">
        <f>IFERROR(VLOOKUP(J796,Feature_Mappings!$D$2:$E$5,2,FALSE()),"")</f>
        <v>Ethan Parker</v>
      </c>
      <c r="N796" t="s">
        <v>778</v>
      </c>
      <c r="O796" t="str">
        <f>IFERROR(INDEX(Store_Manager!$A$2:$A$5,MATCH(M796,Store_Manager!$B$2:$B$5,0)),"")</f>
        <v>MGR004</v>
      </c>
    </row>
    <row r="797" spans="1:15" ht="15.75" customHeight="1">
      <c r="A797">
        <v>796</v>
      </c>
      <c r="B797" s="2">
        <v>45101</v>
      </c>
      <c r="C797" t="s">
        <v>823</v>
      </c>
      <c r="D797" t="s">
        <v>16</v>
      </c>
      <c r="E797">
        <v>43</v>
      </c>
      <c r="F797" s="3" t="s">
        <v>17</v>
      </c>
      <c r="G797">
        <v>4</v>
      </c>
      <c r="H797" s="4">
        <v>30</v>
      </c>
      <c r="I797" s="4">
        <v>120</v>
      </c>
      <c r="J797" t="s">
        <v>777</v>
      </c>
      <c r="K797" t="str">
        <f>IFERROR(VLOOKUP(F797&amp;"|"&amp;H797,Feature_Mappings!$A$2:$C$16,2,FALSE()),"")</f>
        <v>Facial Cleanser</v>
      </c>
      <c r="L797" t="str">
        <f>IFERROR(VLOOKUP(F797&amp;"|"&amp;H797,Feature_Mappings!$A$2:$C$16,3,FALSE()),"")</f>
        <v>PureDerma Supplies</v>
      </c>
      <c r="M797" t="str">
        <f>IFERROR(VLOOKUP(J797,Feature_Mappings!$D$2:$E$5,2,FALSE()),"")</f>
        <v>Ethan Parker</v>
      </c>
      <c r="N797" t="s">
        <v>778</v>
      </c>
      <c r="O797" t="str">
        <f>IFERROR(INDEX(Store_Manager!$A$2:$A$5,MATCH(M797,Store_Manager!$B$2:$B$5,0)),"")</f>
        <v>MGR004</v>
      </c>
    </row>
    <row r="798" spans="1:15" ht="15.75" customHeight="1">
      <c r="A798">
        <v>797</v>
      </c>
      <c r="B798" s="2">
        <v>44933</v>
      </c>
      <c r="C798" t="s">
        <v>824</v>
      </c>
      <c r="D798" t="s">
        <v>16</v>
      </c>
      <c r="E798">
        <v>40</v>
      </c>
      <c r="F798" s="3" t="s">
        <v>22</v>
      </c>
      <c r="G798">
        <v>3</v>
      </c>
      <c r="H798" s="4">
        <v>25</v>
      </c>
      <c r="I798" s="4">
        <v>75</v>
      </c>
      <c r="J798" t="s">
        <v>777</v>
      </c>
      <c r="K798" t="str">
        <f>IFERROR(VLOOKUP(F798&amp;"|"&amp;H798,Feature_Mappings!$A$2:$C$16,2,FALSE()),"")</f>
        <v>Cotton Socks</v>
      </c>
      <c r="L798" t="str">
        <f>IFERROR(VLOOKUP(F798&amp;"|"&amp;H798,Feature_Mappings!$A$2:$C$16,3,FALSE()),"")</f>
        <v>Urban Basics Co.</v>
      </c>
      <c r="M798" t="str">
        <f>IFERROR(VLOOKUP(J798,Feature_Mappings!$D$2:$E$5,2,FALSE()),"")</f>
        <v>Ethan Parker</v>
      </c>
      <c r="N798" t="s">
        <v>778</v>
      </c>
      <c r="O798" t="str">
        <f>IFERROR(INDEX(Store_Manager!$A$2:$A$5,MATCH(M798,Store_Manager!$B$2:$B$5,0)),"")</f>
        <v>MGR004</v>
      </c>
    </row>
    <row r="799" spans="1:15" ht="15.75" customHeight="1">
      <c r="A799">
        <v>798</v>
      </c>
      <c r="B799" s="2">
        <v>45142</v>
      </c>
      <c r="C799" t="s">
        <v>825</v>
      </c>
      <c r="D799" t="s">
        <v>16</v>
      </c>
      <c r="E799">
        <v>61</v>
      </c>
      <c r="F799" s="3" t="s">
        <v>22</v>
      </c>
      <c r="G799">
        <v>1</v>
      </c>
      <c r="H799" s="4">
        <v>50</v>
      </c>
      <c r="I799" s="4">
        <v>50</v>
      </c>
      <c r="J799" t="s">
        <v>777</v>
      </c>
      <c r="K799" t="str">
        <f>IFERROR(VLOOKUP(F799&amp;"|"&amp;H799,Feature_Mappings!$A$2:$C$16,2,FALSE()),"")</f>
        <v>Denim Jeans</v>
      </c>
      <c r="L799" t="str">
        <f>IFERROR(VLOOKUP(F799&amp;"|"&amp;H799,Feature_Mappings!$A$2:$C$16,3,FALSE()),"")</f>
        <v>BlueFit Garments</v>
      </c>
      <c r="M799" t="str">
        <f>IFERROR(VLOOKUP(J799,Feature_Mappings!$D$2:$E$5,2,FALSE()),"")</f>
        <v>Ethan Parker</v>
      </c>
      <c r="N799" t="s">
        <v>778</v>
      </c>
      <c r="O799" t="str">
        <f>IFERROR(INDEX(Store_Manager!$A$2:$A$5,MATCH(M799,Store_Manager!$B$2:$B$5,0)),"")</f>
        <v>MGR004</v>
      </c>
    </row>
    <row r="800" spans="1:15" ht="15.75" customHeight="1">
      <c r="A800">
        <v>799</v>
      </c>
      <c r="B800" s="2">
        <v>45177</v>
      </c>
      <c r="C800" t="s">
        <v>826</v>
      </c>
      <c r="D800" t="s">
        <v>16</v>
      </c>
      <c r="E800">
        <v>56</v>
      </c>
      <c r="F800" s="3" t="s">
        <v>24</v>
      </c>
      <c r="G800">
        <v>2</v>
      </c>
      <c r="H800" s="4">
        <v>50</v>
      </c>
      <c r="I800" s="4">
        <v>100</v>
      </c>
      <c r="J800" t="s">
        <v>777</v>
      </c>
      <c r="K800" t="str">
        <f>IFERROR(VLOOKUP(F800&amp;"|"&amp;H800,Feature_Mappings!$A$2:$C$16,2,FALSE()),"")</f>
        <v>Bluetooth Speaker</v>
      </c>
      <c r="L800" t="str">
        <f>IFERROR(VLOOKUP(F800&amp;"|"&amp;H800,Feature_Mappings!$A$2:$C$16,3,FALSE()),"")</f>
        <v>SoundSphere Supply</v>
      </c>
      <c r="M800" t="str">
        <f>IFERROR(VLOOKUP(J800,Feature_Mappings!$D$2:$E$5,2,FALSE()),"")</f>
        <v>Ethan Parker</v>
      </c>
      <c r="N800" t="s">
        <v>778</v>
      </c>
      <c r="O800" t="str">
        <f>IFERROR(INDEX(Store_Manager!$A$2:$A$5,MATCH(M800,Store_Manager!$B$2:$B$5,0)),"")</f>
        <v>MGR004</v>
      </c>
    </row>
    <row r="801" spans="1:15" ht="15.75" customHeight="1">
      <c r="A801">
        <v>800</v>
      </c>
      <c r="B801" s="2">
        <v>44981</v>
      </c>
      <c r="C801" t="s">
        <v>827</v>
      </c>
      <c r="D801" t="s">
        <v>16</v>
      </c>
      <c r="E801">
        <v>32</v>
      </c>
      <c r="F801" s="3" t="s">
        <v>22</v>
      </c>
      <c r="G801">
        <v>4</v>
      </c>
      <c r="H801" s="4">
        <v>300</v>
      </c>
      <c r="I801" s="4">
        <v>1200</v>
      </c>
      <c r="J801" t="s">
        <v>777</v>
      </c>
      <c r="K801" t="str">
        <f>IFERROR(VLOOKUP(F801&amp;"|"&amp;H801,Feature_Mappings!$A$2:$C$16,2,FALSE()),"")</f>
        <v>Leather Jacket</v>
      </c>
      <c r="L801" t="str">
        <f>IFERROR(VLOOKUP(F801&amp;"|"&amp;H801,Feature_Mappings!$A$2:$C$16,3,FALSE()),"")</f>
        <v>Metro Style Manufacturing</v>
      </c>
      <c r="M801" t="str">
        <f>IFERROR(VLOOKUP(J801,Feature_Mappings!$D$2:$E$5,2,FALSE()),"")</f>
        <v>Ethan Parker</v>
      </c>
      <c r="N801" t="s">
        <v>778</v>
      </c>
      <c r="O801" t="str">
        <f>IFERROR(INDEX(Store_Manager!$A$2:$A$5,MATCH(M801,Store_Manager!$B$2:$B$5,0)),"")</f>
        <v>MGR004</v>
      </c>
    </row>
    <row r="802" spans="1:15" ht="15.75" customHeight="1">
      <c r="A802">
        <v>801</v>
      </c>
      <c r="B802" s="2">
        <v>45148</v>
      </c>
      <c r="C802" t="s">
        <v>828</v>
      </c>
      <c r="D802" t="s">
        <v>16</v>
      </c>
      <c r="E802">
        <v>21</v>
      </c>
      <c r="F802" s="3" t="s">
        <v>22</v>
      </c>
      <c r="G802">
        <v>4</v>
      </c>
      <c r="H802" s="4">
        <v>50</v>
      </c>
      <c r="I802" s="4">
        <v>200</v>
      </c>
      <c r="J802" t="s">
        <v>777</v>
      </c>
      <c r="K802" t="str">
        <f>IFERROR(VLOOKUP(F802&amp;"|"&amp;H802,Feature_Mappings!$A$2:$C$16,2,FALSE()),"")</f>
        <v>Denim Jeans</v>
      </c>
      <c r="L802" t="str">
        <f>IFERROR(VLOOKUP(F802&amp;"|"&amp;H802,Feature_Mappings!$A$2:$C$16,3,FALSE()),"")</f>
        <v>BlueFit Garments</v>
      </c>
      <c r="M802" t="str">
        <f>IFERROR(VLOOKUP(J802,Feature_Mappings!$D$2:$E$5,2,FALSE()),"")</f>
        <v>Ethan Parker</v>
      </c>
      <c r="N802" t="s">
        <v>778</v>
      </c>
      <c r="O802" t="str">
        <f>IFERROR(INDEX(Store_Manager!$A$2:$A$5,MATCH(M802,Store_Manager!$B$2:$B$5,0)),"")</f>
        <v>MGR004</v>
      </c>
    </row>
    <row r="803" spans="1:15" ht="15.75" customHeight="1">
      <c r="A803">
        <v>802</v>
      </c>
      <c r="B803" s="2">
        <v>45112</v>
      </c>
      <c r="C803" t="s">
        <v>829</v>
      </c>
      <c r="D803" t="s">
        <v>21</v>
      </c>
      <c r="E803">
        <v>46</v>
      </c>
      <c r="F803" s="3" t="s">
        <v>17</v>
      </c>
      <c r="G803">
        <v>1</v>
      </c>
      <c r="H803" s="4">
        <v>30</v>
      </c>
      <c r="I803" s="4">
        <v>30</v>
      </c>
      <c r="J803" t="s">
        <v>777</v>
      </c>
      <c r="K803" t="str">
        <f>IFERROR(VLOOKUP(F803&amp;"|"&amp;H803,Feature_Mappings!$A$2:$C$16,2,FALSE()),"")</f>
        <v>Facial Cleanser</v>
      </c>
      <c r="L803" t="str">
        <f>IFERROR(VLOOKUP(F803&amp;"|"&amp;H803,Feature_Mappings!$A$2:$C$16,3,FALSE()),"")</f>
        <v>PureDerma Supplies</v>
      </c>
      <c r="M803" t="str">
        <f>IFERROR(VLOOKUP(J803,Feature_Mappings!$D$2:$E$5,2,FALSE()),"")</f>
        <v>Ethan Parker</v>
      </c>
      <c r="N803" t="s">
        <v>778</v>
      </c>
      <c r="O803" t="str">
        <f>IFERROR(INDEX(Store_Manager!$A$2:$A$5,MATCH(M803,Store_Manager!$B$2:$B$5,0)),"")</f>
        <v>MGR004</v>
      </c>
    </row>
    <row r="804" spans="1:15" ht="15.75" customHeight="1">
      <c r="A804">
        <v>803</v>
      </c>
      <c r="B804" s="2">
        <v>45252</v>
      </c>
      <c r="C804" t="s">
        <v>830</v>
      </c>
      <c r="D804" t="s">
        <v>16</v>
      </c>
      <c r="E804">
        <v>39</v>
      </c>
      <c r="F804" s="3" t="s">
        <v>22</v>
      </c>
      <c r="G804">
        <v>4</v>
      </c>
      <c r="H804" s="4">
        <v>25</v>
      </c>
      <c r="I804" s="4">
        <v>100</v>
      </c>
      <c r="J804" t="s">
        <v>777</v>
      </c>
      <c r="K804" t="str">
        <f>IFERROR(VLOOKUP(F804&amp;"|"&amp;H804,Feature_Mappings!$A$2:$C$16,2,FALSE()),"")</f>
        <v>Cotton Socks</v>
      </c>
      <c r="L804" t="str">
        <f>IFERROR(VLOOKUP(F804&amp;"|"&amp;H804,Feature_Mappings!$A$2:$C$16,3,FALSE()),"")</f>
        <v>Urban Basics Co.</v>
      </c>
      <c r="M804" t="str">
        <f>IFERROR(VLOOKUP(J804,Feature_Mappings!$D$2:$E$5,2,FALSE()),"")</f>
        <v>Ethan Parker</v>
      </c>
      <c r="N804" t="s">
        <v>778</v>
      </c>
      <c r="O804" t="str">
        <f>IFERROR(INDEX(Store_Manager!$A$2:$A$5,MATCH(M804,Store_Manager!$B$2:$B$5,0)),"")</f>
        <v>MGR004</v>
      </c>
    </row>
    <row r="805" spans="1:15" ht="15.75" customHeight="1">
      <c r="A805">
        <v>804</v>
      </c>
      <c r="B805" s="2">
        <v>45162</v>
      </c>
      <c r="C805" t="s">
        <v>831</v>
      </c>
      <c r="D805" t="s">
        <v>16</v>
      </c>
      <c r="E805">
        <v>42</v>
      </c>
      <c r="F805" s="3" t="s">
        <v>24</v>
      </c>
      <c r="G805">
        <v>1</v>
      </c>
      <c r="H805" s="4">
        <v>30</v>
      </c>
      <c r="I805" s="4">
        <v>30</v>
      </c>
      <c r="J805" t="s">
        <v>777</v>
      </c>
      <c r="K805" t="str">
        <f>IFERROR(VLOOKUP(F805&amp;"|"&amp;H805,Feature_Mappings!$A$2:$C$16,2,FALSE()),"")</f>
        <v>Wireless Mouse</v>
      </c>
      <c r="L805" t="str">
        <f>IFERROR(VLOOKUP(F805&amp;"|"&amp;H805,Feature_Mappings!$A$2:$C$16,3,FALSE()),"")</f>
        <v>ByteWave Distributors</v>
      </c>
      <c r="M805" t="str">
        <f>IFERROR(VLOOKUP(J805,Feature_Mappings!$D$2:$E$5,2,FALSE()),"")</f>
        <v>Ethan Parker</v>
      </c>
      <c r="N805" t="s">
        <v>778</v>
      </c>
      <c r="O805" t="str">
        <f>IFERROR(INDEX(Store_Manager!$A$2:$A$5,MATCH(M805,Store_Manager!$B$2:$B$5,0)),"")</f>
        <v>MGR004</v>
      </c>
    </row>
    <row r="806" spans="1:15" ht="15.75" customHeight="1">
      <c r="A806">
        <v>805</v>
      </c>
      <c r="B806" s="2">
        <v>45289</v>
      </c>
      <c r="C806" t="s">
        <v>832</v>
      </c>
      <c r="D806" t="s">
        <v>21</v>
      </c>
      <c r="E806">
        <v>30</v>
      </c>
      <c r="F806" s="3" t="s">
        <v>17</v>
      </c>
      <c r="G806">
        <v>3</v>
      </c>
      <c r="H806" s="4">
        <v>500</v>
      </c>
      <c r="I806" s="4">
        <v>1500</v>
      </c>
      <c r="J806" t="s">
        <v>777</v>
      </c>
      <c r="K806" t="str">
        <f>IFERROR(VLOOKUP(F806&amp;"|"&amp;H806,Feature_Mappings!$A$2:$C$16,2,FALSE()),"")</f>
        <v>LED Beauty Device</v>
      </c>
      <c r="L806" t="str">
        <f>IFERROR(VLOOKUP(F806&amp;"|"&amp;H806,Feature_Mappings!$A$2:$C$16,3,FALSE()),"")</f>
        <v>BeautyTech Pro</v>
      </c>
      <c r="M806" t="str">
        <f>IFERROR(VLOOKUP(J806,Feature_Mappings!$D$2:$E$5,2,FALSE()),"")</f>
        <v>Ethan Parker</v>
      </c>
      <c r="N806" t="s">
        <v>778</v>
      </c>
      <c r="O806" t="str">
        <f>IFERROR(INDEX(Store_Manager!$A$2:$A$5,MATCH(M806,Store_Manager!$B$2:$B$5,0)),"")</f>
        <v>MGR004</v>
      </c>
    </row>
    <row r="807" spans="1:15" ht="15.75" customHeight="1">
      <c r="A807">
        <v>806</v>
      </c>
      <c r="B807" s="2">
        <v>45005</v>
      </c>
      <c r="C807" t="s">
        <v>833</v>
      </c>
      <c r="D807" t="s">
        <v>21</v>
      </c>
      <c r="E807">
        <v>35</v>
      </c>
      <c r="F807" s="3" t="s">
        <v>17</v>
      </c>
      <c r="G807">
        <v>3</v>
      </c>
      <c r="H807" s="4">
        <v>300</v>
      </c>
      <c r="I807" s="4">
        <v>900</v>
      </c>
      <c r="J807" t="s">
        <v>777</v>
      </c>
      <c r="K807" t="str">
        <f>IFERROR(VLOOKUP(F807&amp;"|"&amp;H807,Feature_Mappings!$A$2:$C$16,2,FALSE()),"")</f>
        <v>Skincare Gift Set</v>
      </c>
      <c r="L807" t="str">
        <f>IFERROR(VLOOKUP(F807&amp;"|"&amp;H807,Feature_Mappings!$A$2:$C$16,3,FALSE()),"")</f>
        <v>Radiant Beauty Wholesale</v>
      </c>
      <c r="M807" t="str">
        <f>IFERROR(VLOOKUP(J807,Feature_Mappings!$D$2:$E$5,2,FALSE()),"")</f>
        <v>Ethan Parker</v>
      </c>
      <c r="N807" t="s">
        <v>778</v>
      </c>
      <c r="O807" t="str">
        <f>IFERROR(INDEX(Store_Manager!$A$2:$A$5,MATCH(M807,Store_Manager!$B$2:$B$5,0)),"")</f>
        <v>MGR004</v>
      </c>
    </row>
    <row r="808" spans="1:15" ht="15.75" customHeight="1">
      <c r="A808">
        <v>807</v>
      </c>
      <c r="B808" s="2">
        <v>45149</v>
      </c>
      <c r="C808" t="s">
        <v>834</v>
      </c>
      <c r="D808" t="s">
        <v>21</v>
      </c>
      <c r="E808">
        <v>50</v>
      </c>
      <c r="F808" s="3" t="s">
        <v>24</v>
      </c>
      <c r="G808">
        <v>4</v>
      </c>
      <c r="H808" s="4">
        <v>50</v>
      </c>
      <c r="I808" s="4">
        <v>200</v>
      </c>
      <c r="J808" t="s">
        <v>777</v>
      </c>
      <c r="K808" t="str">
        <f>IFERROR(VLOOKUP(F808&amp;"|"&amp;H808,Feature_Mappings!$A$2:$C$16,2,FALSE()),"")</f>
        <v>Bluetooth Speaker</v>
      </c>
      <c r="L808" t="str">
        <f>IFERROR(VLOOKUP(F808&amp;"|"&amp;H808,Feature_Mappings!$A$2:$C$16,3,FALSE()),"")</f>
        <v>SoundSphere Supply</v>
      </c>
      <c r="M808" t="str">
        <f>IFERROR(VLOOKUP(J808,Feature_Mappings!$D$2:$E$5,2,FALSE()),"")</f>
        <v>Ethan Parker</v>
      </c>
      <c r="N808" t="s">
        <v>778</v>
      </c>
      <c r="O808" t="str">
        <f>IFERROR(INDEX(Store_Manager!$A$2:$A$5,MATCH(M808,Store_Manager!$B$2:$B$5,0)),"")</f>
        <v>MGR004</v>
      </c>
    </row>
    <row r="809" spans="1:15" ht="15.75" customHeight="1">
      <c r="A809">
        <v>808</v>
      </c>
      <c r="B809" s="2">
        <v>45017</v>
      </c>
      <c r="C809" t="s">
        <v>835</v>
      </c>
      <c r="D809" t="s">
        <v>16</v>
      </c>
      <c r="E809">
        <v>33</v>
      </c>
      <c r="F809" s="3" t="s">
        <v>17</v>
      </c>
      <c r="G809">
        <v>4</v>
      </c>
      <c r="H809" s="4">
        <v>500</v>
      </c>
      <c r="I809" s="4">
        <v>2000</v>
      </c>
      <c r="J809" t="s">
        <v>777</v>
      </c>
      <c r="K809" t="str">
        <f>IFERROR(VLOOKUP(F809&amp;"|"&amp;H809,Feature_Mappings!$A$2:$C$16,2,FALSE()),"")</f>
        <v>LED Beauty Device</v>
      </c>
      <c r="L809" t="str">
        <f>IFERROR(VLOOKUP(F809&amp;"|"&amp;H809,Feature_Mappings!$A$2:$C$16,3,FALSE()),"")</f>
        <v>BeautyTech Pro</v>
      </c>
      <c r="M809" t="str">
        <f>IFERROR(VLOOKUP(J809,Feature_Mappings!$D$2:$E$5,2,FALSE()),"")</f>
        <v>Ethan Parker</v>
      </c>
      <c r="N809" t="s">
        <v>778</v>
      </c>
      <c r="O809" t="str">
        <f>IFERROR(INDEX(Store_Manager!$A$2:$A$5,MATCH(M809,Store_Manager!$B$2:$B$5,0)),"")</f>
        <v>MGR004</v>
      </c>
    </row>
    <row r="810" spans="1:15" ht="15.75" customHeight="1">
      <c r="A810">
        <v>809</v>
      </c>
      <c r="B810" s="2">
        <v>45194</v>
      </c>
      <c r="C810" t="s">
        <v>836</v>
      </c>
      <c r="D810" t="s">
        <v>21</v>
      </c>
      <c r="E810">
        <v>62</v>
      </c>
      <c r="F810" s="3" t="s">
        <v>17</v>
      </c>
      <c r="G810">
        <v>2</v>
      </c>
      <c r="H810" s="4">
        <v>50</v>
      </c>
      <c r="I810" s="4">
        <v>100</v>
      </c>
      <c r="J810" t="s">
        <v>777</v>
      </c>
      <c r="K810" t="str">
        <f>IFERROR(VLOOKUP(F810&amp;"|"&amp;H810,Feature_Mappings!$A$2:$C$16,2,FALSE()),"")</f>
        <v>Eau de Parfum</v>
      </c>
      <c r="L810" t="str">
        <f>IFERROR(VLOOKUP(F810&amp;"|"&amp;H810,Feature_Mappings!$A$2:$C$16,3,FALSE()),"")</f>
        <v>Luxe Aroma Labs</v>
      </c>
      <c r="M810" t="str">
        <f>IFERROR(VLOOKUP(J810,Feature_Mappings!$D$2:$E$5,2,FALSE()),"")</f>
        <v>Ethan Parker</v>
      </c>
      <c r="N810" t="s">
        <v>778</v>
      </c>
      <c r="O810" t="str">
        <f>IFERROR(INDEX(Store_Manager!$A$2:$A$5,MATCH(M810,Store_Manager!$B$2:$B$5,0)),"")</f>
        <v>MGR004</v>
      </c>
    </row>
    <row r="811" spans="1:15" ht="15.75" customHeight="1">
      <c r="A811">
        <v>810</v>
      </c>
      <c r="B811" s="2">
        <v>45260</v>
      </c>
      <c r="C811" t="s">
        <v>837</v>
      </c>
      <c r="D811" t="s">
        <v>16</v>
      </c>
      <c r="E811">
        <v>59</v>
      </c>
      <c r="F811" s="3" t="s">
        <v>24</v>
      </c>
      <c r="G811">
        <v>4</v>
      </c>
      <c r="H811" s="4">
        <v>25</v>
      </c>
      <c r="I811" s="4">
        <v>100</v>
      </c>
      <c r="J811" t="s">
        <v>777</v>
      </c>
      <c r="K811" t="str">
        <f>IFERROR(VLOOKUP(F811&amp;"|"&amp;H811,Feature_Mappings!$A$2:$C$16,2,FALSE()),"")</f>
        <v>USB-C Charger</v>
      </c>
      <c r="L811" t="str">
        <f>IFERROR(VLOOKUP(F811&amp;"|"&amp;H811,Feature_Mappings!$A$2:$C$16,3,FALSE()),"")</f>
        <v>VoltEdge Electronics</v>
      </c>
      <c r="M811" t="str">
        <f>IFERROR(VLOOKUP(J811,Feature_Mappings!$D$2:$E$5,2,FALSE()),"")</f>
        <v>Ethan Parker</v>
      </c>
      <c r="N811" t="s">
        <v>778</v>
      </c>
      <c r="O811" t="str">
        <f>IFERROR(INDEX(Store_Manager!$A$2:$A$5,MATCH(M811,Store_Manager!$B$2:$B$5,0)),"")</f>
        <v>MGR004</v>
      </c>
    </row>
    <row r="812" spans="1:15" ht="15.75" customHeight="1">
      <c r="A812">
        <v>811</v>
      </c>
      <c r="B812" s="2">
        <v>45065</v>
      </c>
      <c r="C812" t="s">
        <v>838</v>
      </c>
      <c r="D812" t="s">
        <v>16</v>
      </c>
      <c r="E812">
        <v>61</v>
      </c>
      <c r="F812" s="3" t="s">
        <v>17</v>
      </c>
      <c r="G812">
        <v>2</v>
      </c>
      <c r="H812" s="4">
        <v>25</v>
      </c>
      <c r="I812" s="4">
        <v>50</v>
      </c>
      <c r="J812" t="s">
        <v>777</v>
      </c>
      <c r="K812" t="str">
        <f>IFERROR(VLOOKUP(F812&amp;"|"&amp;H812,Feature_Mappings!$A$2:$C$16,2,FALSE()),"")</f>
        <v>Lip Balm</v>
      </c>
      <c r="L812" t="str">
        <f>IFERROR(VLOOKUP(F812&amp;"|"&amp;H812,Feature_Mappings!$A$2:$C$16,3,FALSE()),"")</f>
        <v>GlowSource Cosmetics</v>
      </c>
      <c r="M812" t="str">
        <f>IFERROR(VLOOKUP(J812,Feature_Mappings!$D$2:$E$5,2,FALSE()),"")</f>
        <v>Ethan Parker</v>
      </c>
      <c r="N812" t="s">
        <v>778</v>
      </c>
      <c r="O812" t="str">
        <f>IFERROR(INDEX(Store_Manager!$A$2:$A$5,MATCH(M812,Store_Manager!$B$2:$B$5,0)),"")</f>
        <v>MGR004</v>
      </c>
    </row>
    <row r="813" spans="1:15" ht="15.75" customHeight="1">
      <c r="A813">
        <v>812</v>
      </c>
      <c r="B813" s="2">
        <v>45242</v>
      </c>
      <c r="C813" t="s">
        <v>839</v>
      </c>
      <c r="D813" t="s">
        <v>16</v>
      </c>
      <c r="E813">
        <v>19</v>
      </c>
      <c r="F813" s="3" t="s">
        <v>24</v>
      </c>
      <c r="G813">
        <v>3</v>
      </c>
      <c r="H813" s="4">
        <v>25</v>
      </c>
      <c r="I813" s="4">
        <v>75</v>
      </c>
      <c r="J813" t="s">
        <v>777</v>
      </c>
      <c r="K813" t="str">
        <f>IFERROR(VLOOKUP(F813&amp;"|"&amp;H813,Feature_Mappings!$A$2:$C$16,2,FALSE()),"")</f>
        <v>USB-C Charger</v>
      </c>
      <c r="L813" t="str">
        <f>IFERROR(VLOOKUP(F813&amp;"|"&amp;H813,Feature_Mappings!$A$2:$C$16,3,FALSE()),"")</f>
        <v>VoltEdge Electronics</v>
      </c>
      <c r="M813" t="str">
        <f>IFERROR(VLOOKUP(J813,Feature_Mappings!$D$2:$E$5,2,FALSE()),"")</f>
        <v>Ethan Parker</v>
      </c>
      <c r="N813" t="s">
        <v>778</v>
      </c>
      <c r="O813" t="str">
        <f>IFERROR(INDEX(Store_Manager!$A$2:$A$5,MATCH(M813,Store_Manager!$B$2:$B$5,0)),"")</f>
        <v>MGR004</v>
      </c>
    </row>
    <row r="814" spans="1:15" ht="15.75" customHeight="1">
      <c r="A814">
        <v>813</v>
      </c>
      <c r="B814" s="2">
        <v>45202</v>
      </c>
      <c r="C814" t="s">
        <v>840</v>
      </c>
      <c r="D814" t="s">
        <v>16</v>
      </c>
      <c r="E814">
        <v>52</v>
      </c>
      <c r="F814" s="3" t="s">
        <v>24</v>
      </c>
      <c r="G814">
        <v>3</v>
      </c>
      <c r="H814" s="4">
        <v>50</v>
      </c>
      <c r="I814" s="4">
        <v>150</v>
      </c>
      <c r="J814" t="s">
        <v>777</v>
      </c>
      <c r="K814" t="str">
        <f>IFERROR(VLOOKUP(F814&amp;"|"&amp;H814,Feature_Mappings!$A$2:$C$16,2,FALSE()),"")</f>
        <v>Bluetooth Speaker</v>
      </c>
      <c r="L814" t="str">
        <f>IFERROR(VLOOKUP(F814&amp;"|"&amp;H814,Feature_Mappings!$A$2:$C$16,3,FALSE()),"")</f>
        <v>SoundSphere Supply</v>
      </c>
      <c r="M814" t="str">
        <f>IFERROR(VLOOKUP(J814,Feature_Mappings!$D$2:$E$5,2,FALSE()),"")</f>
        <v>Ethan Parker</v>
      </c>
      <c r="N814" t="s">
        <v>778</v>
      </c>
      <c r="O814" t="str">
        <f>IFERROR(INDEX(Store_Manager!$A$2:$A$5,MATCH(M814,Store_Manager!$B$2:$B$5,0)),"")</f>
        <v>MGR004</v>
      </c>
    </row>
    <row r="815" spans="1:15" ht="15.75" customHeight="1">
      <c r="A815">
        <v>814</v>
      </c>
      <c r="B815" s="2">
        <v>45174</v>
      </c>
      <c r="C815" t="s">
        <v>841</v>
      </c>
      <c r="D815" t="s">
        <v>21</v>
      </c>
      <c r="E815">
        <v>59</v>
      </c>
      <c r="F815" s="3" t="s">
        <v>22</v>
      </c>
      <c r="G815">
        <v>1</v>
      </c>
      <c r="H815" s="4">
        <v>500</v>
      </c>
      <c r="I815" s="4">
        <v>500</v>
      </c>
      <c r="J815" t="s">
        <v>777</v>
      </c>
      <c r="K815" t="str">
        <f>IFERROR(VLOOKUP(F815&amp;"|"&amp;H815,Feature_Mappings!$A$2:$C$16,2,FALSE()),"")</f>
        <v>Designer Coat</v>
      </c>
      <c r="L815" t="str">
        <f>IFERROR(VLOOKUP(F815&amp;"|"&amp;H815,Feature_Mappings!$A$2:$C$16,3,FALSE()),"")</f>
        <v>Prestige Fashion House</v>
      </c>
      <c r="M815" t="str">
        <f>IFERROR(VLOOKUP(J815,Feature_Mappings!$D$2:$E$5,2,FALSE()),"")</f>
        <v>Ethan Parker</v>
      </c>
      <c r="N815" t="s">
        <v>778</v>
      </c>
      <c r="O815" t="str">
        <f>IFERROR(INDEX(Store_Manager!$A$2:$A$5,MATCH(M815,Store_Manager!$B$2:$B$5,0)),"")</f>
        <v>MGR004</v>
      </c>
    </row>
    <row r="816" spans="1:15" ht="15.75" customHeight="1">
      <c r="A816">
        <v>815</v>
      </c>
      <c r="B816" s="2">
        <v>45165</v>
      </c>
      <c r="C816" t="s">
        <v>842</v>
      </c>
      <c r="D816" t="s">
        <v>21</v>
      </c>
      <c r="E816">
        <v>51</v>
      </c>
      <c r="F816" s="3" t="s">
        <v>22</v>
      </c>
      <c r="G816">
        <v>3</v>
      </c>
      <c r="H816" s="4">
        <v>25</v>
      </c>
      <c r="I816" s="4">
        <v>75</v>
      </c>
      <c r="J816" t="s">
        <v>777</v>
      </c>
      <c r="K816" t="str">
        <f>IFERROR(VLOOKUP(F816&amp;"|"&amp;H816,Feature_Mappings!$A$2:$C$16,2,FALSE()),"")</f>
        <v>Cotton Socks</v>
      </c>
      <c r="L816" t="str">
        <f>IFERROR(VLOOKUP(F816&amp;"|"&amp;H816,Feature_Mappings!$A$2:$C$16,3,FALSE()),"")</f>
        <v>Urban Basics Co.</v>
      </c>
      <c r="M816" t="str">
        <f>IFERROR(VLOOKUP(J816,Feature_Mappings!$D$2:$E$5,2,FALSE()),"")</f>
        <v>Ethan Parker</v>
      </c>
      <c r="N816" t="s">
        <v>778</v>
      </c>
      <c r="O816" t="str">
        <f>IFERROR(INDEX(Store_Manager!$A$2:$A$5,MATCH(M816,Store_Manager!$B$2:$B$5,0)),"")</f>
        <v>MGR004</v>
      </c>
    </row>
    <row r="817" spans="1:15" ht="15.75" customHeight="1">
      <c r="A817">
        <v>816</v>
      </c>
      <c r="B817" s="2">
        <v>45150</v>
      </c>
      <c r="C817" t="s">
        <v>843</v>
      </c>
      <c r="D817" t="s">
        <v>16</v>
      </c>
      <c r="E817">
        <v>47</v>
      </c>
      <c r="F817" s="3" t="s">
        <v>17</v>
      </c>
      <c r="G817">
        <v>2</v>
      </c>
      <c r="H817" s="4">
        <v>500</v>
      </c>
      <c r="I817" s="4">
        <v>1000</v>
      </c>
      <c r="J817" t="s">
        <v>777</v>
      </c>
      <c r="K817" t="str">
        <f>IFERROR(VLOOKUP(F817&amp;"|"&amp;H817,Feature_Mappings!$A$2:$C$16,2,FALSE()),"")</f>
        <v>LED Beauty Device</v>
      </c>
      <c r="L817" t="str">
        <f>IFERROR(VLOOKUP(F817&amp;"|"&amp;H817,Feature_Mappings!$A$2:$C$16,3,FALSE()),"")</f>
        <v>BeautyTech Pro</v>
      </c>
      <c r="M817" t="str">
        <f>IFERROR(VLOOKUP(J817,Feature_Mappings!$D$2:$E$5,2,FALSE()),"")</f>
        <v>Ethan Parker</v>
      </c>
      <c r="N817" t="s">
        <v>778</v>
      </c>
      <c r="O817" t="str">
        <f>IFERROR(INDEX(Store_Manager!$A$2:$A$5,MATCH(M817,Store_Manager!$B$2:$B$5,0)),"")</f>
        <v>MGR004</v>
      </c>
    </row>
    <row r="818" spans="1:15" ht="15.75" customHeight="1">
      <c r="A818">
        <v>817</v>
      </c>
      <c r="B818" s="2">
        <v>45230</v>
      </c>
      <c r="C818" t="s">
        <v>844</v>
      </c>
      <c r="D818" t="s">
        <v>16</v>
      </c>
      <c r="E818">
        <v>30</v>
      </c>
      <c r="F818" s="3" t="s">
        <v>17</v>
      </c>
      <c r="G818">
        <v>4</v>
      </c>
      <c r="H818" s="4">
        <v>50</v>
      </c>
      <c r="I818" s="4">
        <v>200</v>
      </c>
      <c r="J818" t="s">
        <v>777</v>
      </c>
      <c r="K818" t="str">
        <f>IFERROR(VLOOKUP(F818&amp;"|"&amp;H818,Feature_Mappings!$A$2:$C$16,2,FALSE()),"")</f>
        <v>Eau de Parfum</v>
      </c>
      <c r="L818" t="str">
        <f>IFERROR(VLOOKUP(F818&amp;"|"&amp;H818,Feature_Mappings!$A$2:$C$16,3,FALSE()),"")</f>
        <v>Luxe Aroma Labs</v>
      </c>
      <c r="M818" t="str">
        <f>IFERROR(VLOOKUP(J818,Feature_Mappings!$D$2:$E$5,2,FALSE()),"")</f>
        <v>Ethan Parker</v>
      </c>
      <c r="N818" t="s">
        <v>778</v>
      </c>
      <c r="O818" t="str">
        <f>IFERROR(INDEX(Store_Manager!$A$2:$A$5,MATCH(M818,Store_Manager!$B$2:$B$5,0)),"")</f>
        <v>MGR004</v>
      </c>
    </row>
    <row r="819" spans="1:15" ht="15.75" customHeight="1">
      <c r="A819">
        <v>818</v>
      </c>
      <c r="B819" s="2">
        <v>45064</v>
      </c>
      <c r="C819" t="s">
        <v>845</v>
      </c>
      <c r="D819" t="s">
        <v>16</v>
      </c>
      <c r="E819">
        <v>30</v>
      </c>
      <c r="F819" s="3" t="s">
        <v>24</v>
      </c>
      <c r="G819">
        <v>1</v>
      </c>
      <c r="H819" s="4">
        <v>500</v>
      </c>
      <c r="I819" s="4">
        <v>500</v>
      </c>
      <c r="J819" t="s">
        <v>777</v>
      </c>
      <c r="K819" t="str">
        <f>IFERROR(VLOOKUP(F819&amp;"|"&amp;H819,Feature_Mappings!$A$2:$C$16,2,FALSE()),"")</f>
        <v>Smartphone</v>
      </c>
      <c r="L819" t="str">
        <f>IFERROR(VLOOKUP(F819&amp;"|"&amp;H819,Feature_Mappings!$A$2:$C$16,3,FALSE()),"")</f>
        <v>NovaTech Wholesale</v>
      </c>
      <c r="M819" t="str">
        <f>IFERROR(VLOOKUP(J819,Feature_Mappings!$D$2:$E$5,2,FALSE()),"")</f>
        <v>Ethan Parker</v>
      </c>
      <c r="N819" t="s">
        <v>778</v>
      </c>
      <c r="O819" t="str">
        <f>IFERROR(INDEX(Store_Manager!$A$2:$A$5,MATCH(M819,Store_Manager!$B$2:$B$5,0)),"")</f>
        <v>MGR004</v>
      </c>
    </row>
    <row r="820" spans="1:15" ht="15.75" customHeight="1">
      <c r="A820">
        <v>819</v>
      </c>
      <c r="B820" s="2">
        <v>45092</v>
      </c>
      <c r="C820" t="s">
        <v>846</v>
      </c>
      <c r="D820" t="s">
        <v>21</v>
      </c>
      <c r="E820">
        <v>35</v>
      </c>
      <c r="F820" s="3" t="s">
        <v>17</v>
      </c>
      <c r="G820">
        <v>2</v>
      </c>
      <c r="H820" s="4">
        <v>50</v>
      </c>
      <c r="I820" s="4">
        <v>100</v>
      </c>
      <c r="J820" t="s">
        <v>777</v>
      </c>
      <c r="K820" t="str">
        <f>IFERROR(VLOOKUP(F820&amp;"|"&amp;H820,Feature_Mappings!$A$2:$C$16,2,FALSE()),"")</f>
        <v>Eau de Parfum</v>
      </c>
      <c r="L820" t="str">
        <f>IFERROR(VLOOKUP(F820&amp;"|"&amp;H820,Feature_Mappings!$A$2:$C$16,3,FALSE()),"")</f>
        <v>Luxe Aroma Labs</v>
      </c>
      <c r="M820" t="str">
        <f>IFERROR(VLOOKUP(J820,Feature_Mappings!$D$2:$E$5,2,FALSE()),"")</f>
        <v>Ethan Parker</v>
      </c>
      <c r="N820" t="s">
        <v>778</v>
      </c>
      <c r="O820" t="str">
        <f>IFERROR(INDEX(Store_Manager!$A$2:$A$5,MATCH(M820,Store_Manager!$B$2:$B$5,0)),"")</f>
        <v>MGR004</v>
      </c>
    </row>
    <row r="821" spans="1:15" ht="15.75" customHeight="1">
      <c r="A821">
        <v>820</v>
      </c>
      <c r="B821" s="2">
        <v>45052</v>
      </c>
      <c r="C821" t="s">
        <v>847</v>
      </c>
      <c r="D821" t="s">
        <v>16</v>
      </c>
      <c r="E821">
        <v>49</v>
      </c>
      <c r="F821" s="3" t="s">
        <v>24</v>
      </c>
      <c r="G821">
        <v>4</v>
      </c>
      <c r="H821" s="4">
        <v>50</v>
      </c>
      <c r="I821" s="4">
        <v>200</v>
      </c>
      <c r="J821" t="s">
        <v>777</v>
      </c>
      <c r="K821" t="str">
        <f>IFERROR(VLOOKUP(F821&amp;"|"&amp;H821,Feature_Mappings!$A$2:$C$16,2,FALSE()),"")</f>
        <v>Bluetooth Speaker</v>
      </c>
      <c r="L821" t="str">
        <f>IFERROR(VLOOKUP(F821&amp;"|"&amp;H821,Feature_Mappings!$A$2:$C$16,3,FALSE()),"")</f>
        <v>SoundSphere Supply</v>
      </c>
      <c r="M821" t="str">
        <f>IFERROR(VLOOKUP(J821,Feature_Mappings!$D$2:$E$5,2,FALSE()),"")</f>
        <v>Ethan Parker</v>
      </c>
      <c r="N821" t="s">
        <v>778</v>
      </c>
      <c r="O821" t="str">
        <f>IFERROR(INDEX(Store_Manager!$A$2:$A$5,MATCH(M821,Store_Manager!$B$2:$B$5,0)),"")</f>
        <v>MGR004</v>
      </c>
    </row>
    <row r="822" spans="1:15" ht="15.75" customHeight="1">
      <c r="A822">
        <v>821</v>
      </c>
      <c r="B822" s="2">
        <v>44971</v>
      </c>
      <c r="C822" t="s">
        <v>848</v>
      </c>
      <c r="D822" t="s">
        <v>16</v>
      </c>
      <c r="E822">
        <v>49</v>
      </c>
      <c r="F822" s="3" t="s">
        <v>24</v>
      </c>
      <c r="G822">
        <v>1</v>
      </c>
      <c r="H822" s="4">
        <v>300</v>
      </c>
      <c r="I822" s="4">
        <v>300</v>
      </c>
      <c r="J822" t="s">
        <v>777</v>
      </c>
      <c r="K822" t="str">
        <f>IFERROR(VLOOKUP(F822&amp;"|"&amp;H822,Feature_Mappings!$A$2:$C$16,2,FALSE()),"")</f>
        <v>Tablet</v>
      </c>
      <c r="L822" t="str">
        <f>IFERROR(VLOOKUP(F822&amp;"|"&amp;H822,Feature_Mappings!$A$2:$C$16,3,FALSE()),"")</f>
        <v>NextGen Devices</v>
      </c>
      <c r="M822" t="str">
        <f>IFERROR(VLOOKUP(J822,Feature_Mappings!$D$2:$E$5,2,FALSE()),"")</f>
        <v>Ethan Parker</v>
      </c>
      <c r="N822" t="s">
        <v>778</v>
      </c>
      <c r="O822" t="str">
        <f>IFERROR(INDEX(Store_Manager!$A$2:$A$5,MATCH(M822,Store_Manager!$B$2:$B$5,0)),"")</f>
        <v>MGR004</v>
      </c>
    </row>
    <row r="823" spans="1:15" ht="15.75" customHeight="1">
      <c r="A823">
        <v>822</v>
      </c>
      <c r="B823" s="2">
        <v>45069</v>
      </c>
      <c r="C823" t="s">
        <v>849</v>
      </c>
      <c r="D823" t="s">
        <v>21</v>
      </c>
      <c r="E823">
        <v>52</v>
      </c>
      <c r="F823" s="3" t="s">
        <v>17</v>
      </c>
      <c r="G823">
        <v>3</v>
      </c>
      <c r="H823" s="4">
        <v>50</v>
      </c>
      <c r="I823" s="4">
        <v>150</v>
      </c>
      <c r="J823" t="s">
        <v>777</v>
      </c>
      <c r="K823" t="str">
        <f>IFERROR(VLOOKUP(F823&amp;"|"&amp;H823,Feature_Mappings!$A$2:$C$16,2,FALSE()),"")</f>
        <v>Eau de Parfum</v>
      </c>
      <c r="L823" t="str">
        <f>IFERROR(VLOOKUP(F823&amp;"|"&amp;H823,Feature_Mappings!$A$2:$C$16,3,FALSE()),"")</f>
        <v>Luxe Aroma Labs</v>
      </c>
      <c r="M823" t="str">
        <f>IFERROR(VLOOKUP(J823,Feature_Mappings!$D$2:$E$5,2,FALSE()),"")</f>
        <v>Ethan Parker</v>
      </c>
      <c r="N823" t="s">
        <v>778</v>
      </c>
      <c r="O823" t="str">
        <f>IFERROR(INDEX(Store_Manager!$A$2:$A$5,MATCH(M823,Store_Manager!$B$2:$B$5,0)),"")</f>
        <v>MGR004</v>
      </c>
    </row>
    <row r="824" spans="1:15" ht="15.75" customHeight="1">
      <c r="A824">
        <v>823</v>
      </c>
      <c r="B824" s="2">
        <v>45157</v>
      </c>
      <c r="C824" t="s">
        <v>850</v>
      </c>
      <c r="D824" t="s">
        <v>21</v>
      </c>
      <c r="E824">
        <v>56</v>
      </c>
      <c r="F824" s="3" t="s">
        <v>24</v>
      </c>
      <c r="G824">
        <v>2</v>
      </c>
      <c r="H824" s="4">
        <v>50</v>
      </c>
      <c r="I824" s="4">
        <v>100</v>
      </c>
      <c r="J824" t="s">
        <v>777</v>
      </c>
      <c r="K824" t="str">
        <f>IFERROR(VLOOKUP(F824&amp;"|"&amp;H824,Feature_Mappings!$A$2:$C$16,2,FALSE()),"")</f>
        <v>Bluetooth Speaker</v>
      </c>
      <c r="L824" t="str">
        <f>IFERROR(VLOOKUP(F824&amp;"|"&amp;H824,Feature_Mappings!$A$2:$C$16,3,FALSE()),"")</f>
        <v>SoundSphere Supply</v>
      </c>
      <c r="M824" t="str">
        <f>IFERROR(VLOOKUP(J824,Feature_Mappings!$D$2:$E$5,2,FALSE()),"")</f>
        <v>Ethan Parker</v>
      </c>
      <c r="N824" t="s">
        <v>778</v>
      </c>
      <c r="O824" t="str">
        <f>IFERROR(INDEX(Store_Manager!$A$2:$A$5,MATCH(M824,Store_Manager!$B$2:$B$5,0)),"")</f>
        <v>MGR004</v>
      </c>
    </row>
    <row r="825" spans="1:15" ht="15.75" customHeight="1">
      <c r="A825">
        <v>824</v>
      </c>
      <c r="B825" s="2">
        <v>45051</v>
      </c>
      <c r="C825" t="s">
        <v>851</v>
      </c>
      <c r="D825" t="s">
        <v>16</v>
      </c>
      <c r="E825">
        <v>63</v>
      </c>
      <c r="F825" s="3" t="s">
        <v>22</v>
      </c>
      <c r="G825">
        <v>4</v>
      </c>
      <c r="H825" s="4">
        <v>30</v>
      </c>
      <c r="I825" s="4">
        <v>120</v>
      </c>
      <c r="J825" t="s">
        <v>777</v>
      </c>
      <c r="K825" t="str">
        <f>IFERROR(VLOOKUP(F825&amp;"|"&amp;H825,Feature_Mappings!$A$2:$C$16,2,FALSE()),"")</f>
        <v>Graphic T-Shirt</v>
      </c>
      <c r="L825" t="str">
        <f>IFERROR(VLOOKUP(F825&amp;"|"&amp;H825,Feature_Mappings!$A$2:$C$16,3,FALSE()),"")</f>
        <v>ThreadWorks Apparel</v>
      </c>
      <c r="M825" t="str">
        <f>IFERROR(VLOOKUP(J825,Feature_Mappings!$D$2:$E$5,2,FALSE()),"")</f>
        <v>Ethan Parker</v>
      </c>
      <c r="N825" t="s">
        <v>778</v>
      </c>
      <c r="O825" t="str">
        <f>IFERROR(INDEX(Store_Manager!$A$2:$A$5,MATCH(M825,Store_Manager!$B$2:$B$5,0)),"")</f>
        <v>MGR004</v>
      </c>
    </row>
    <row r="826" spans="1:15" ht="15.75" customHeight="1">
      <c r="A826">
        <v>825</v>
      </c>
      <c r="B826" s="2">
        <v>45164</v>
      </c>
      <c r="C826" t="s">
        <v>852</v>
      </c>
      <c r="D826" t="s">
        <v>21</v>
      </c>
      <c r="E826">
        <v>46</v>
      </c>
      <c r="F826" s="3" t="s">
        <v>17</v>
      </c>
      <c r="G826">
        <v>1</v>
      </c>
      <c r="H826" s="4">
        <v>25</v>
      </c>
      <c r="I826" s="4">
        <v>25</v>
      </c>
      <c r="J826" t="s">
        <v>777</v>
      </c>
      <c r="K826" t="str">
        <f>IFERROR(VLOOKUP(F826&amp;"|"&amp;H826,Feature_Mappings!$A$2:$C$16,2,FALSE()),"")</f>
        <v>Lip Balm</v>
      </c>
      <c r="L826" t="str">
        <f>IFERROR(VLOOKUP(F826&amp;"|"&amp;H826,Feature_Mappings!$A$2:$C$16,3,FALSE()),"")</f>
        <v>GlowSource Cosmetics</v>
      </c>
      <c r="M826" t="str">
        <f>IFERROR(VLOOKUP(J826,Feature_Mappings!$D$2:$E$5,2,FALSE()),"")</f>
        <v>Ethan Parker</v>
      </c>
      <c r="N826" t="s">
        <v>778</v>
      </c>
      <c r="O826" t="str">
        <f>IFERROR(INDEX(Store_Manager!$A$2:$A$5,MATCH(M826,Store_Manager!$B$2:$B$5,0)),"")</f>
        <v>MGR004</v>
      </c>
    </row>
    <row r="827" spans="1:15" ht="15.75" customHeight="1">
      <c r="A827">
        <v>826</v>
      </c>
      <c r="B827" s="2">
        <v>45218</v>
      </c>
      <c r="C827" t="s">
        <v>853</v>
      </c>
      <c r="D827" t="s">
        <v>21</v>
      </c>
      <c r="E827">
        <v>46</v>
      </c>
      <c r="F827" s="3" t="s">
        <v>22</v>
      </c>
      <c r="G827">
        <v>1</v>
      </c>
      <c r="H827" s="4">
        <v>300</v>
      </c>
      <c r="I827" s="4">
        <v>300</v>
      </c>
      <c r="J827" t="s">
        <v>777</v>
      </c>
      <c r="K827" t="str">
        <f>IFERROR(VLOOKUP(F827&amp;"|"&amp;H827,Feature_Mappings!$A$2:$C$16,2,FALSE()),"")</f>
        <v>Leather Jacket</v>
      </c>
      <c r="L827" t="str">
        <f>IFERROR(VLOOKUP(F827&amp;"|"&amp;H827,Feature_Mappings!$A$2:$C$16,3,FALSE()),"")</f>
        <v>Metro Style Manufacturing</v>
      </c>
      <c r="M827" t="str">
        <f>IFERROR(VLOOKUP(J827,Feature_Mappings!$D$2:$E$5,2,FALSE()),"")</f>
        <v>Ethan Parker</v>
      </c>
      <c r="N827" t="s">
        <v>778</v>
      </c>
      <c r="O827" t="str">
        <f>IFERROR(INDEX(Store_Manager!$A$2:$A$5,MATCH(M827,Store_Manager!$B$2:$B$5,0)),"")</f>
        <v>MGR004</v>
      </c>
    </row>
    <row r="828" spans="1:15" ht="15.75" customHeight="1">
      <c r="A828">
        <v>827</v>
      </c>
      <c r="B828" s="2">
        <v>45239</v>
      </c>
      <c r="C828" t="s">
        <v>854</v>
      </c>
      <c r="D828" t="s">
        <v>16</v>
      </c>
      <c r="E828">
        <v>61</v>
      </c>
      <c r="F828" s="3" t="s">
        <v>17</v>
      </c>
      <c r="G828">
        <v>3</v>
      </c>
      <c r="H828" s="4">
        <v>300</v>
      </c>
      <c r="I828" s="4">
        <v>900</v>
      </c>
      <c r="J828" t="s">
        <v>777</v>
      </c>
      <c r="K828" t="str">
        <f>IFERROR(VLOOKUP(F828&amp;"|"&amp;H828,Feature_Mappings!$A$2:$C$16,2,FALSE()),"")</f>
        <v>Skincare Gift Set</v>
      </c>
      <c r="L828" t="str">
        <f>IFERROR(VLOOKUP(F828&amp;"|"&amp;H828,Feature_Mappings!$A$2:$C$16,3,FALSE()),"")</f>
        <v>Radiant Beauty Wholesale</v>
      </c>
      <c r="M828" t="str">
        <f>IFERROR(VLOOKUP(J828,Feature_Mappings!$D$2:$E$5,2,FALSE()),"")</f>
        <v>Ethan Parker</v>
      </c>
      <c r="N828" t="s">
        <v>778</v>
      </c>
      <c r="O828" t="str">
        <f>IFERROR(INDEX(Store_Manager!$A$2:$A$5,MATCH(M828,Store_Manager!$B$2:$B$5,0)),"")</f>
        <v>MGR004</v>
      </c>
    </row>
    <row r="829" spans="1:15" ht="15.75" customHeight="1">
      <c r="A829">
        <v>828</v>
      </c>
      <c r="B829" s="2">
        <v>45269</v>
      </c>
      <c r="C829" t="s">
        <v>855</v>
      </c>
      <c r="D829" t="s">
        <v>21</v>
      </c>
      <c r="E829">
        <v>33</v>
      </c>
      <c r="F829" s="3" t="s">
        <v>24</v>
      </c>
      <c r="G829">
        <v>4</v>
      </c>
      <c r="H829" s="4">
        <v>300</v>
      </c>
      <c r="I829" s="4">
        <v>1200</v>
      </c>
      <c r="J829" t="s">
        <v>777</v>
      </c>
      <c r="K829" t="str">
        <f>IFERROR(VLOOKUP(F829&amp;"|"&amp;H829,Feature_Mappings!$A$2:$C$16,2,FALSE()),"")</f>
        <v>Tablet</v>
      </c>
      <c r="L829" t="str">
        <f>IFERROR(VLOOKUP(F829&amp;"|"&amp;H829,Feature_Mappings!$A$2:$C$16,3,FALSE()),"")</f>
        <v>NextGen Devices</v>
      </c>
      <c r="M829" t="str">
        <f>IFERROR(VLOOKUP(J829,Feature_Mappings!$D$2:$E$5,2,FALSE()),"")</f>
        <v>Ethan Parker</v>
      </c>
      <c r="N829" t="s">
        <v>778</v>
      </c>
      <c r="O829" t="str">
        <f>IFERROR(INDEX(Store_Manager!$A$2:$A$5,MATCH(M829,Store_Manager!$B$2:$B$5,0)),"")</f>
        <v>MGR004</v>
      </c>
    </row>
    <row r="830" spans="1:15" ht="15.75" customHeight="1">
      <c r="A830">
        <v>829</v>
      </c>
      <c r="B830" s="2">
        <v>45121</v>
      </c>
      <c r="C830" t="s">
        <v>856</v>
      </c>
      <c r="D830" t="s">
        <v>16</v>
      </c>
      <c r="E830">
        <v>61</v>
      </c>
      <c r="F830" s="3" t="s">
        <v>17</v>
      </c>
      <c r="G830">
        <v>3</v>
      </c>
      <c r="H830" s="4">
        <v>30</v>
      </c>
      <c r="I830" s="4">
        <v>90</v>
      </c>
      <c r="J830" t="s">
        <v>777</v>
      </c>
      <c r="K830" t="str">
        <f>IFERROR(VLOOKUP(F830&amp;"|"&amp;H830,Feature_Mappings!$A$2:$C$16,2,FALSE()),"")</f>
        <v>Facial Cleanser</v>
      </c>
      <c r="L830" t="str">
        <f>IFERROR(VLOOKUP(F830&amp;"|"&amp;H830,Feature_Mappings!$A$2:$C$16,3,FALSE()),"")</f>
        <v>PureDerma Supplies</v>
      </c>
      <c r="M830" t="str">
        <f>IFERROR(VLOOKUP(J830,Feature_Mappings!$D$2:$E$5,2,FALSE()),"")</f>
        <v>Ethan Parker</v>
      </c>
      <c r="N830" t="s">
        <v>778</v>
      </c>
      <c r="O830" t="str">
        <f>IFERROR(INDEX(Store_Manager!$A$2:$A$5,MATCH(M830,Store_Manager!$B$2:$B$5,0)),"")</f>
        <v>MGR004</v>
      </c>
    </row>
    <row r="831" spans="1:15" ht="15.75" customHeight="1">
      <c r="A831">
        <v>830</v>
      </c>
      <c r="B831" s="2">
        <v>45099</v>
      </c>
      <c r="C831" t="s">
        <v>857</v>
      </c>
      <c r="D831" t="s">
        <v>21</v>
      </c>
      <c r="E831">
        <v>64</v>
      </c>
      <c r="F831" s="3" t="s">
        <v>22</v>
      </c>
      <c r="G831">
        <v>3</v>
      </c>
      <c r="H831" s="4">
        <v>50</v>
      </c>
      <c r="I831" s="4">
        <v>150</v>
      </c>
      <c r="J831" t="s">
        <v>777</v>
      </c>
      <c r="K831" t="str">
        <f>IFERROR(VLOOKUP(F831&amp;"|"&amp;H831,Feature_Mappings!$A$2:$C$16,2,FALSE()),"")</f>
        <v>Denim Jeans</v>
      </c>
      <c r="L831" t="str">
        <f>IFERROR(VLOOKUP(F831&amp;"|"&amp;H831,Feature_Mappings!$A$2:$C$16,3,FALSE()),"")</f>
        <v>BlueFit Garments</v>
      </c>
      <c r="M831" t="str">
        <f>IFERROR(VLOOKUP(J831,Feature_Mappings!$D$2:$E$5,2,FALSE()),"")</f>
        <v>Ethan Parker</v>
      </c>
      <c r="N831" t="s">
        <v>778</v>
      </c>
      <c r="O831" t="str">
        <f>IFERROR(INDEX(Store_Manager!$A$2:$A$5,MATCH(M831,Store_Manager!$B$2:$B$5,0)),"")</f>
        <v>MGR004</v>
      </c>
    </row>
    <row r="832" spans="1:15" ht="15.75" customHeight="1">
      <c r="A832">
        <v>831</v>
      </c>
      <c r="B832" s="2">
        <v>44941</v>
      </c>
      <c r="C832" t="s">
        <v>858</v>
      </c>
      <c r="D832" t="s">
        <v>16</v>
      </c>
      <c r="E832">
        <v>27</v>
      </c>
      <c r="F832" s="3" t="s">
        <v>24</v>
      </c>
      <c r="G832">
        <v>4</v>
      </c>
      <c r="H832" s="4">
        <v>25</v>
      </c>
      <c r="I832" s="4">
        <v>100</v>
      </c>
      <c r="J832" t="s">
        <v>777</v>
      </c>
      <c r="K832" t="str">
        <f>IFERROR(VLOOKUP(F832&amp;"|"&amp;H832,Feature_Mappings!$A$2:$C$16,2,FALSE()),"")</f>
        <v>USB-C Charger</v>
      </c>
      <c r="L832" t="str">
        <f>IFERROR(VLOOKUP(F832&amp;"|"&amp;H832,Feature_Mappings!$A$2:$C$16,3,FALSE()),"")</f>
        <v>VoltEdge Electronics</v>
      </c>
      <c r="M832" t="str">
        <f>IFERROR(VLOOKUP(J832,Feature_Mappings!$D$2:$E$5,2,FALSE()),"")</f>
        <v>Ethan Parker</v>
      </c>
      <c r="N832" t="s">
        <v>778</v>
      </c>
      <c r="O832" t="str">
        <f>IFERROR(INDEX(Store_Manager!$A$2:$A$5,MATCH(M832,Store_Manager!$B$2:$B$5,0)),"")</f>
        <v>MGR004</v>
      </c>
    </row>
    <row r="833" spans="1:15" ht="15.75" customHeight="1">
      <c r="A833">
        <v>832</v>
      </c>
      <c r="B833" s="2">
        <v>45180</v>
      </c>
      <c r="C833" t="s">
        <v>859</v>
      </c>
      <c r="D833" t="s">
        <v>16</v>
      </c>
      <c r="E833">
        <v>47</v>
      </c>
      <c r="F833" s="3" t="s">
        <v>17</v>
      </c>
      <c r="G833">
        <v>4</v>
      </c>
      <c r="H833" s="4">
        <v>500</v>
      </c>
      <c r="I833" s="4">
        <v>2000</v>
      </c>
      <c r="J833" t="s">
        <v>777</v>
      </c>
      <c r="K833" t="str">
        <f>IFERROR(VLOOKUP(F833&amp;"|"&amp;H833,Feature_Mappings!$A$2:$C$16,2,FALSE()),"")</f>
        <v>LED Beauty Device</v>
      </c>
      <c r="L833" t="str">
        <f>IFERROR(VLOOKUP(F833&amp;"|"&amp;H833,Feature_Mappings!$A$2:$C$16,3,FALSE()),"")</f>
        <v>BeautyTech Pro</v>
      </c>
      <c r="M833" t="str">
        <f>IFERROR(VLOOKUP(J833,Feature_Mappings!$D$2:$E$5,2,FALSE()),"")</f>
        <v>Ethan Parker</v>
      </c>
      <c r="N833" t="s">
        <v>778</v>
      </c>
      <c r="O833" t="str">
        <f>IFERROR(INDEX(Store_Manager!$A$2:$A$5,MATCH(M833,Store_Manager!$B$2:$B$5,0)),"")</f>
        <v>MGR004</v>
      </c>
    </row>
    <row r="834" spans="1:15" ht="15.75" customHeight="1">
      <c r="A834">
        <v>833</v>
      </c>
      <c r="B834" s="2">
        <v>45093</v>
      </c>
      <c r="C834" t="s">
        <v>860</v>
      </c>
      <c r="D834" t="s">
        <v>16</v>
      </c>
      <c r="E834">
        <v>42</v>
      </c>
      <c r="F834" s="3" t="s">
        <v>17</v>
      </c>
      <c r="G834">
        <v>4</v>
      </c>
      <c r="H834" s="4">
        <v>50</v>
      </c>
      <c r="I834" s="4">
        <v>200</v>
      </c>
      <c r="J834" t="s">
        <v>777</v>
      </c>
      <c r="K834" t="str">
        <f>IFERROR(VLOOKUP(F834&amp;"|"&amp;H834,Feature_Mappings!$A$2:$C$16,2,FALSE()),"")</f>
        <v>Eau de Parfum</v>
      </c>
      <c r="L834" t="str">
        <f>IFERROR(VLOOKUP(F834&amp;"|"&amp;H834,Feature_Mappings!$A$2:$C$16,3,FALSE()),"")</f>
        <v>Luxe Aroma Labs</v>
      </c>
      <c r="M834" t="str">
        <f>IFERROR(VLOOKUP(J834,Feature_Mappings!$D$2:$E$5,2,FALSE()),"")</f>
        <v>Ethan Parker</v>
      </c>
      <c r="N834" t="s">
        <v>778</v>
      </c>
      <c r="O834" t="str">
        <f>IFERROR(INDEX(Store_Manager!$A$2:$A$5,MATCH(M834,Store_Manager!$B$2:$B$5,0)),"")</f>
        <v>MGR004</v>
      </c>
    </row>
    <row r="835" spans="1:15" ht="15.75" customHeight="1">
      <c r="A835">
        <v>834</v>
      </c>
      <c r="B835" s="2">
        <v>45020</v>
      </c>
      <c r="C835" t="s">
        <v>861</v>
      </c>
      <c r="D835" t="s">
        <v>21</v>
      </c>
      <c r="E835">
        <v>56</v>
      </c>
      <c r="F835" s="3" t="s">
        <v>17</v>
      </c>
      <c r="G835">
        <v>2</v>
      </c>
      <c r="H835" s="4">
        <v>30</v>
      </c>
      <c r="I835" s="4">
        <v>60</v>
      </c>
      <c r="J835" t="s">
        <v>777</v>
      </c>
      <c r="K835" t="str">
        <f>IFERROR(VLOOKUP(F835&amp;"|"&amp;H835,Feature_Mappings!$A$2:$C$16,2,FALSE()),"")</f>
        <v>Facial Cleanser</v>
      </c>
      <c r="L835" t="str">
        <f>IFERROR(VLOOKUP(F835&amp;"|"&amp;H835,Feature_Mappings!$A$2:$C$16,3,FALSE()),"")</f>
        <v>PureDerma Supplies</v>
      </c>
      <c r="M835" t="str">
        <f>IFERROR(VLOOKUP(J835,Feature_Mappings!$D$2:$E$5,2,FALSE()),"")</f>
        <v>Ethan Parker</v>
      </c>
      <c r="N835" t="s">
        <v>778</v>
      </c>
      <c r="O835" t="str">
        <f>IFERROR(INDEX(Store_Manager!$A$2:$A$5,MATCH(M835,Store_Manager!$B$2:$B$5,0)),"")</f>
        <v>MGR004</v>
      </c>
    </row>
    <row r="836" spans="1:15" ht="15.75" customHeight="1">
      <c r="A836">
        <v>835</v>
      </c>
      <c r="B836" s="2">
        <v>45176</v>
      </c>
      <c r="C836" t="s">
        <v>862</v>
      </c>
      <c r="D836" t="s">
        <v>16</v>
      </c>
      <c r="E836">
        <v>37</v>
      </c>
      <c r="F836" s="3" t="s">
        <v>22</v>
      </c>
      <c r="G836">
        <v>4</v>
      </c>
      <c r="H836" s="4">
        <v>50</v>
      </c>
      <c r="I836" s="4">
        <v>200</v>
      </c>
      <c r="J836" t="s">
        <v>777</v>
      </c>
      <c r="K836" t="str">
        <f>IFERROR(VLOOKUP(F836&amp;"|"&amp;H836,Feature_Mappings!$A$2:$C$16,2,FALSE()),"")</f>
        <v>Denim Jeans</v>
      </c>
      <c r="L836" t="str">
        <f>IFERROR(VLOOKUP(F836&amp;"|"&amp;H836,Feature_Mappings!$A$2:$C$16,3,FALSE()),"")</f>
        <v>BlueFit Garments</v>
      </c>
      <c r="M836" t="str">
        <f>IFERROR(VLOOKUP(J836,Feature_Mappings!$D$2:$E$5,2,FALSE()),"")</f>
        <v>Ethan Parker</v>
      </c>
      <c r="N836" t="s">
        <v>778</v>
      </c>
      <c r="O836" t="str">
        <f>IFERROR(INDEX(Store_Manager!$A$2:$A$5,MATCH(M836,Store_Manager!$B$2:$B$5,0)),"")</f>
        <v>MGR004</v>
      </c>
    </row>
    <row r="837" spans="1:15" ht="15.75" customHeight="1">
      <c r="A837">
        <v>836</v>
      </c>
      <c r="B837" s="2">
        <v>45035</v>
      </c>
      <c r="C837" t="s">
        <v>863</v>
      </c>
      <c r="D837" t="s">
        <v>21</v>
      </c>
      <c r="E837">
        <v>22</v>
      </c>
      <c r="F837" s="3" t="s">
        <v>22</v>
      </c>
      <c r="G837">
        <v>1</v>
      </c>
      <c r="H837" s="4">
        <v>50</v>
      </c>
      <c r="I837" s="4">
        <v>50</v>
      </c>
      <c r="J837" t="s">
        <v>777</v>
      </c>
      <c r="K837" t="str">
        <f>IFERROR(VLOOKUP(F837&amp;"|"&amp;H837,Feature_Mappings!$A$2:$C$16,2,FALSE()),"")</f>
        <v>Denim Jeans</v>
      </c>
      <c r="L837" t="str">
        <f>IFERROR(VLOOKUP(F837&amp;"|"&amp;H837,Feature_Mappings!$A$2:$C$16,3,FALSE()),"")</f>
        <v>BlueFit Garments</v>
      </c>
      <c r="M837" t="str">
        <f>IFERROR(VLOOKUP(J837,Feature_Mappings!$D$2:$E$5,2,FALSE()),"")</f>
        <v>Ethan Parker</v>
      </c>
      <c r="N837" t="s">
        <v>778</v>
      </c>
      <c r="O837" t="str">
        <f>IFERROR(INDEX(Store_Manager!$A$2:$A$5,MATCH(M837,Store_Manager!$B$2:$B$5,0)),"")</f>
        <v>MGR004</v>
      </c>
    </row>
    <row r="838" spans="1:15" ht="15.75" customHeight="1">
      <c r="A838">
        <v>837</v>
      </c>
      <c r="B838" s="2">
        <v>45108</v>
      </c>
      <c r="C838" t="s">
        <v>864</v>
      </c>
      <c r="D838" t="s">
        <v>16</v>
      </c>
      <c r="E838">
        <v>18</v>
      </c>
      <c r="F838" s="3" t="s">
        <v>17</v>
      </c>
      <c r="G838">
        <v>3</v>
      </c>
      <c r="H838" s="4">
        <v>30</v>
      </c>
      <c r="I838" s="4">
        <v>90</v>
      </c>
      <c r="J838" t="s">
        <v>777</v>
      </c>
      <c r="K838" t="str">
        <f>IFERROR(VLOOKUP(F838&amp;"|"&amp;H838,Feature_Mappings!$A$2:$C$16,2,FALSE()),"")</f>
        <v>Facial Cleanser</v>
      </c>
      <c r="L838" t="str">
        <f>IFERROR(VLOOKUP(F838&amp;"|"&amp;H838,Feature_Mappings!$A$2:$C$16,3,FALSE()),"")</f>
        <v>PureDerma Supplies</v>
      </c>
      <c r="M838" t="str">
        <f>IFERROR(VLOOKUP(J838,Feature_Mappings!$D$2:$E$5,2,FALSE()),"")</f>
        <v>Ethan Parker</v>
      </c>
      <c r="N838" t="s">
        <v>778</v>
      </c>
      <c r="O838" t="str">
        <f>IFERROR(INDEX(Store_Manager!$A$2:$A$5,MATCH(M838,Store_Manager!$B$2:$B$5,0)),"")</f>
        <v>MGR004</v>
      </c>
    </row>
    <row r="839" spans="1:15" ht="15.75" customHeight="1">
      <c r="A839">
        <v>838</v>
      </c>
      <c r="B839" s="2">
        <v>45059</v>
      </c>
      <c r="C839" t="s">
        <v>865</v>
      </c>
      <c r="D839" t="s">
        <v>16</v>
      </c>
      <c r="E839">
        <v>47</v>
      </c>
      <c r="F839" s="3" t="s">
        <v>24</v>
      </c>
      <c r="G839">
        <v>2</v>
      </c>
      <c r="H839" s="4">
        <v>300</v>
      </c>
      <c r="I839" s="4">
        <v>600</v>
      </c>
      <c r="J839" t="s">
        <v>777</v>
      </c>
      <c r="K839" t="str">
        <f>IFERROR(VLOOKUP(F839&amp;"|"&amp;H839,Feature_Mappings!$A$2:$C$16,2,FALSE()),"")</f>
        <v>Tablet</v>
      </c>
      <c r="L839" t="str">
        <f>IFERROR(VLOOKUP(F839&amp;"|"&amp;H839,Feature_Mappings!$A$2:$C$16,3,FALSE()),"")</f>
        <v>NextGen Devices</v>
      </c>
      <c r="M839" t="str">
        <f>IFERROR(VLOOKUP(J839,Feature_Mappings!$D$2:$E$5,2,FALSE()),"")</f>
        <v>Ethan Parker</v>
      </c>
      <c r="N839" t="s">
        <v>778</v>
      </c>
      <c r="O839" t="str">
        <f>IFERROR(INDEX(Store_Manager!$A$2:$A$5,MATCH(M839,Store_Manager!$B$2:$B$5,0)),"")</f>
        <v>MGR004</v>
      </c>
    </row>
    <row r="840" spans="1:15" ht="15.75" customHeight="1">
      <c r="A840">
        <v>839</v>
      </c>
      <c r="B840" s="2">
        <v>45101</v>
      </c>
      <c r="C840" t="s">
        <v>866</v>
      </c>
      <c r="D840" t="s">
        <v>21</v>
      </c>
      <c r="E840">
        <v>20</v>
      </c>
      <c r="F840" s="3" t="s">
        <v>24</v>
      </c>
      <c r="G840">
        <v>4</v>
      </c>
      <c r="H840" s="4">
        <v>300</v>
      </c>
      <c r="I840" s="4">
        <v>1200</v>
      </c>
      <c r="J840" t="s">
        <v>777</v>
      </c>
      <c r="K840" t="str">
        <f>IFERROR(VLOOKUP(F840&amp;"|"&amp;H840,Feature_Mappings!$A$2:$C$16,2,FALSE()),"")</f>
        <v>Tablet</v>
      </c>
      <c r="L840" t="str">
        <f>IFERROR(VLOOKUP(F840&amp;"|"&amp;H840,Feature_Mappings!$A$2:$C$16,3,FALSE()),"")</f>
        <v>NextGen Devices</v>
      </c>
      <c r="M840" t="str">
        <f>IFERROR(VLOOKUP(J840,Feature_Mappings!$D$2:$E$5,2,FALSE()),"")</f>
        <v>Ethan Parker</v>
      </c>
      <c r="N840" t="s">
        <v>778</v>
      </c>
      <c r="O840" t="str">
        <f>IFERROR(INDEX(Store_Manager!$A$2:$A$5,MATCH(M840,Store_Manager!$B$2:$B$5,0)),"")</f>
        <v>MGR004</v>
      </c>
    </row>
    <row r="841" spans="1:15" ht="15.75" customHeight="1">
      <c r="A841">
        <v>840</v>
      </c>
      <c r="B841" s="2">
        <v>45070</v>
      </c>
      <c r="C841" t="s">
        <v>867</v>
      </c>
      <c r="D841" t="s">
        <v>16</v>
      </c>
      <c r="E841">
        <v>62</v>
      </c>
      <c r="F841" s="3" t="s">
        <v>22</v>
      </c>
      <c r="G841">
        <v>2</v>
      </c>
      <c r="H841" s="4">
        <v>25</v>
      </c>
      <c r="I841" s="4">
        <v>50</v>
      </c>
      <c r="J841" t="s">
        <v>777</v>
      </c>
      <c r="K841" t="str">
        <f>IFERROR(VLOOKUP(F841&amp;"|"&amp;H841,Feature_Mappings!$A$2:$C$16,2,FALSE()),"")</f>
        <v>Cotton Socks</v>
      </c>
      <c r="L841" t="str">
        <f>IFERROR(VLOOKUP(F841&amp;"|"&amp;H841,Feature_Mappings!$A$2:$C$16,3,FALSE()),"")</f>
        <v>Urban Basics Co.</v>
      </c>
      <c r="M841" t="str">
        <f>IFERROR(VLOOKUP(J841,Feature_Mappings!$D$2:$E$5,2,FALSE()),"")</f>
        <v>Ethan Parker</v>
      </c>
      <c r="N841" t="s">
        <v>778</v>
      </c>
      <c r="O841" t="str">
        <f>IFERROR(INDEX(Store_Manager!$A$2:$A$5,MATCH(M841,Store_Manager!$B$2:$B$5,0)),"")</f>
        <v>MGR004</v>
      </c>
    </row>
    <row r="842" spans="1:15" ht="15.75" customHeight="1">
      <c r="A842">
        <v>841</v>
      </c>
      <c r="B842" s="2">
        <v>45232</v>
      </c>
      <c r="C842" t="s">
        <v>868</v>
      </c>
      <c r="D842" t="s">
        <v>16</v>
      </c>
      <c r="E842">
        <v>31</v>
      </c>
      <c r="F842" s="3" t="s">
        <v>24</v>
      </c>
      <c r="G842">
        <v>4</v>
      </c>
      <c r="H842" s="4">
        <v>25</v>
      </c>
      <c r="I842" s="4">
        <v>100</v>
      </c>
      <c r="J842" t="s">
        <v>777</v>
      </c>
      <c r="K842" t="str">
        <f>IFERROR(VLOOKUP(F842&amp;"|"&amp;H842,Feature_Mappings!$A$2:$C$16,2,FALSE()),"")</f>
        <v>USB-C Charger</v>
      </c>
      <c r="L842" t="str">
        <f>IFERROR(VLOOKUP(F842&amp;"|"&amp;H842,Feature_Mappings!$A$2:$C$16,3,FALSE()),"")</f>
        <v>VoltEdge Electronics</v>
      </c>
      <c r="M842" t="str">
        <f>IFERROR(VLOOKUP(J842,Feature_Mappings!$D$2:$E$5,2,FALSE()),"")</f>
        <v>Ethan Parker</v>
      </c>
      <c r="N842" t="s">
        <v>778</v>
      </c>
      <c r="O842" t="str">
        <f>IFERROR(INDEX(Store_Manager!$A$2:$A$5,MATCH(M842,Store_Manager!$B$2:$B$5,0)),"")</f>
        <v>MGR004</v>
      </c>
    </row>
    <row r="843" spans="1:15" ht="15.75" customHeight="1">
      <c r="A843">
        <v>842</v>
      </c>
      <c r="B843" s="2">
        <v>45286</v>
      </c>
      <c r="C843" t="s">
        <v>869</v>
      </c>
      <c r="D843" t="s">
        <v>21</v>
      </c>
      <c r="E843">
        <v>47</v>
      </c>
      <c r="F843" s="3" t="s">
        <v>22</v>
      </c>
      <c r="G843">
        <v>2</v>
      </c>
      <c r="H843" s="4">
        <v>300</v>
      </c>
      <c r="I843" s="4">
        <v>600</v>
      </c>
      <c r="J843" t="s">
        <v>777</v>
      </c>
      <c r="K843" t="str">
        <f>IFERROR(VLOOKUP(F843&amp;"|"&amp;H843,Feature_Mappings!$A$2:$C$16,2,FALSE()),"")</f>
        <v>Leather Jacket</v>
      </c>
      <c r="L843" t="str">
        <f>IFERROR(VLOOKUP(F843&amp;"|"&amp;H843,Feature_Mappings!$A$2:$C$16,3,FALSE()),"")</f>
        <v>Metro Style Manufacturing</v>
      </c>
      <c r="M843" t="str">
        <f>IFERROR(VLOOKUP(J843,Feature_Mappings!$D$2:$E$5,2,FALSE()),"")</f>
        <v>Ethan Parker</v>
      </c>
      <c r="N843" t="s">
        <v>778</v>
      </c>
      <c r="O843" t="str">
        <f>IFERROR(INDEX(Store_Manager!$A$2:$A$5,MATCH(M843,Store_Manager!$B$2:$B$5,0)),"")</f>
        <v>MGR004</v>
      </c>
    </row>
    <row r="844" spans="1:15" ht="15.75" customHeight="1">
      <c r="A844">
        <v>843</v>
      </c>
      <c r="B844" s="2">
        <v>45068</v>
      </c>
      <c r="C844" t="s">
        <v>870</v>
      </c>
      <c r="D844" t="s">
        <v>16</v>
      </c>
      <c r="E844">
        <v>21</v>
      </c>
      <c r="F844" s="3" t="s">
        <v>17</v>
      </c>
      <c r="G844">
        <v>3</v>
      </c>
      <c r="H844" s="4">
        <v>500</v>
      </c>
      <c r="I844" s="4">
        <v>1500</v>
      </c>
      <c r="J844" t="s">
        <v>777</v>
      </c>
      <c r="K844" t="str">
        <f>IFERROR(VLOOKUP(F844&amp;"|"&amp;H844,Feature_Mappings!$A$2:$C$16,2,FALSE()),"")</f>
        <v>LED Beauty Device</v>
      </c>
      <c r="L844" t="str">
        <f>IFERROR(VLOOKUP(F844&amp;"|"&amp;H844,Feature_Mappings!$A$2:$C$16,3,FALSE()),"")</f>
        <v>BeautyTech Pro</v>
      </c>
      <c r="M844" t="str">
        <f>IFERROR(VLOOKUP(J844,Feature_Mappings!$D$2:$E$5,2,FALSE()),"")</f>
        <v>Ethan Parker</v>
      </c>
      <c r="N844" t="s">
        <v>778</v>
      </c>
      <c r="O844" t="str">
        <f>IFERROR(INDEX(Store_Manager!$A$2:$A$5,MATCH(M844,Store_Manager!$B$2:$B$5,0)),"")</f>
        <v>MGR004</v>
      </c>
    </row>
    <row r="845" spans="1:15" ht="15.75" customHeight="1">
      <c r="A845">
        <v>844</v>
      </c>
      <c r="B845" s="2">
        <v>45211</v>
      </c>
      <c r="C845" t="s">
        <v>871</v>
      </c>
      <c r="D845" t="s">
        <v>16</v>
      </c>
      <c r="E845">
        <v>35</v>
      </c>
      <c r="F845" s="3" t="s">
        <v>22</v>
      </c>
      <c r="G845">
        <v>3</v>
      </c>
      <c r="H845" s="4">
        <v>50</v>
      </c>
      <c r="I845" s="4">
        <v>150</v>
      </c>
      <c r="J845" t="s">
        <v>777</v>
      </c>
      <c r="K845" t="str">
        <f>IFERROR(VLOOKUP(F845&amp;"|"&amp;H845,Feature_Mappings!$A$2:$C$16,2,FALSE()),"")</f>
        <v>Denim Jeans</v>
      </c>
      <c r="L845" t="str">
        <f>IFERROR(VLOOKUP(F845&amp;"|"&amp;H845,Feature_Mappings!$A$2:$C$16,3,FALSE()),"")</f>
        <v>BlueFit Garments</v>
      </c>
      <c r="M845" t="str">
        <f>IFERROR(VLOOKUP(J845,Feature_Mappings!$D$2:$E$5,2,FALSE()),"")</f>
        <v>Ethan Parker</v>
      </c>
      <c r="N845" t="s">
        <v>778</v>
      </c>
      <c r="O845" t="str">
        <f>IFERROR(INDEX(Store_Manager!$A$2:$A$5,MATCH(M845,Store_Manager!$B$2:$B$5,0)),"")</f>
        <v>MGR004</v>
      </c>
    </row>
    <row r="846" spans="1:15" ht="15.75" customHeight="1">
      <c r="A846">
        <v>845</v>
      </c>
      <c r="B846" s="2">
        <v>44932</v>
      </c>
      <c r="C846" t="s">
        <v>872</v>
      </c>
      <c r="D846" t="s">
        <v>16</v>
      </c>
      <c r="E846">
        <v>54</v>
      </c>
      <c r="F846" s="3" t="s">
        <v>22</v>
      </c>
      <c r="G846">
        <v>1</v>
      </c>
      <c r="H846" s="4">
        <v>500</v>
      </c>
      <c r="I846" s="4">
        <v>500</v>
      </c>
      <c r="J846" t="s">
        <v>777</v>
      </c>
      <c r="K846" t="str">
        <f>IFERROR(VLOOKUP(F846&amp;"|"&amp;H846,Feature_Mappings!$A$2:$C$16,2,FALSE()),"")</f>
        <v>Designer Coat</v>
      </c>
      <c r="L846" t="str">
        <f>IFERROR(VLOOKUP(F846&amp;"|"&amp;H846,Feature_Mappings!$A$2:$C$16,3,FALSE()),"")</f>
        <v>Prestige Fashion House</v>
      </c>
      <c r="M846" t="str">
        <f>IFERROR(VLOOKUP(J846,Feature_Mappings!$D$2:$E$5,2,FALSE()),"")</f>
        <v>Ethan Parker</v>
      </c>
      <c r="N846" t="s">
        <v>778</v>
      </c>
      <c r="O846" t="str">
        <f>IFERROR(INDEX(Store_Manager!$A$2:$A$5,MATCH(M846,Store_Manager!$B$2:$B$5,0)),"")</f>
        <v>MGR004</v>
      </c>
    </row>
    <row r="847" spans="1:15" ht="15.75" customHeight="1">
      <c r="A847">
        <v>846</v>
      </c>
      <c r="B847" s="2">
        <v>45191</v>
      </c>
      <c r="C847" t="s">
        <v>873</v>
      </c>
      <c r="D847" t="s">
        <v>16</v>
      </c>
      <c r="E847">
        <v>42</v>
      </c>
      <c r="F847" s="3" t="s">
        <v>17</v>
      </c>
      <c r="G847">
        <v>1</v>
      </c>
      <c r="H847" s="4">
        <v>50</v>
      </c>
      <c r="I847" s="4">
        <v>50</v>
      </c>
      <c r="J847" t="s">
        <v>777</v>
      </c>
      <c r="K847" t="str">
        <f>IFERROR(VLOOKUP(F847&amp;"|"&amp;H847,Feature_Mappings!$A$2:$C$16,2,FALSE()),"")</f>
        <v>Eau de Parfum</v>
      </c>
      <c r="L847" t="str">
        <f>IFERROR(VLOOKUP(F847&amp;"|"&amp;H847,Feature_Mappings!$A$2:$C$16,3,FALSE()),"")</f>
        <v>Luxe Aroma Labs</v>
      </c>
      <c r="M847" t="str">
        <f>IFERROR(VLOOKUP(J847,Feature_Mappings!$D$2:$E$5,2,FALSE()),"")</f>
        <v>Ethan Parker</v>
      </c>
      <c r="N847" t="s">
        <v>778</v>
      </c>
      <c r="O847" t="str">
        <f>IFERROR(INDEX(Store_Manager!$A$2:$A$5,MATCH(M847,Store_Manager!$B$2:$B$5,0)),"")</f>
        <v>MGR004</v>
      </c>
    </row>
    <row r="848" spans="1:15" ht="15.75" customHeight="1">
      <c r="A848">
        <v>847</v>
      </c>
      <c r="B848" s="2">
        <v>45024</v>
      </c>
      <c r="C848" t="s">
        <v>874</v>
      </c>
      <c r="D848" t="s">
        <v>21</v>
      </c>
      <c r="E848">
        <v>18</v>
      </c>
      <c r="F848" s="3" t="s">
        <v>24</v>
      </c>
      <c r="G848">
        <v>4</v>
      </c>
      <c r="H848" s="4">
        <v>300</v>
      </c>
      <c r="I848" s="4">
        <v>1200</v>
      </c>
      <c r="J848" t="s">
        <v>777</v>
      </c>
      <c r="K848" t="str">
        <f>IFERROR(VLOOKUP(F848&amp;"|"&amp;H848,Feature_Mappings!$A$2:$C$16,2,FALSE()),"")</f>
        <v>Tablet</v>
      </c>
      <c r="L848" t="str">
        <f>IFERROR(VLOOKUP(F848&amp;"|"&amp;H848,Feature_Mappings!$A$2:$C$16,3,FALSE()),"")</f>
        <v>NextGen Devices</v>
      </c>
      <c r="M848" t="str">
        <f>IFERROR(VLOOKUP(J848,Feature_Mappings!$D$2:$E$5,2,FALSE()),"")</f>
        <v>Ethan Parker</v>
      </c>
      <c r="N848" t="s">
        <v>778</v>
      </c>
      <c r="O848" t="str">
        <f>IFERROR(INDEX(Store_Manager!$A$2:$A$5,MATCH(M848,Store_Manager!$B$2:$B$5,0)),"")</f>
        <v>MGR004</v>
      </c>
    </row>
    <row r="849" spans="1:15" ht="15.75" customHeight="1">
      <c r="A849">
        <v>848</v>
      </c>
      <c r="B849" s="2">
        <v>44970</v>
      </c>
      <c r="C849" t="s">
        <v>875</v>
      </c>
      <c r="D849" t="s">
        <v>21</v>
      </c>
      <c r="E849">
        <v>63</v>
      </c>
      <c r="F849" s="3" t="s">
        <v>22</v>
      </c>
      <c r="G849">
        <v>3</v>
      </c>
      <c r="H849" s="4">
        <v>25</v>
      </c>
      <c r="I849" s="4">
        <v>75</v>
      </c>
      <c r="J849" t="s">
        <v>777</v>
      </c>
      <c r="K849" t="str">
        <f>IFERROR(VLOOKUP(F849&amp;"|"&amp;H849,Feature_Mappings!$A$2:$C$16,2,FALSE()),"")</f>
        <v>Cotton Socks</v>
      </c>
      <c r="L849" t="str">
        <f>IFERROR(VLOOKUP(F849&amp;"|"&amp;H849,Feature_Mappings!$A$2:$C$16,3,FALSE()),"")</f>
        <v>Urban Basics Co.</v>
      </c>
      <c r="M849" t="str">
        <f>IFERROR(VLOOKUP(J849,Feature_Mappings!$D$2:$E$5,2,FALSE()),"")</f>
        <v>Ethan Parker</v>
      </c>
      <c r="N849" t="s">
        <v>778</v>
      </c>
      <c r="O849" t="str">
        <f>IFERROR(INDEX(Store_Manager!$A$2:$A$5,MATCH(M849,Store_Manager!$B$2:$B$5,0)),"")</f>
        <v>MGR004</v>
      </c>
    </row>
    <row r="850" spans="1:15" ht="15.75" customHeight="1">
      <c r="A850">
        <v>849</v>
      </c>
      <c r="B850" s="2">
        <v>45050</v>
      </c>
      <c r="C850" t="s">
        <v>876</v>
      </c>
      <c r="D850" t="s">
        <v>16</v>
      </c>
      <c r="E850">
        <v>32</v>
      </c>
      <c r="F850" s="3" t="s">
        <v>22</v>
      </c>
      <c r="G850">
        <v>2</v>
      </c>
      <c r="H850" s="4">
        <v>25</v>
      </c>
      <c r="I850" s="4">
        <v>50</v>
      </c>
      <c r="J850" t="s">
        <v>777</v>
      </c>
      <c r="K850" t="str">
        <f>IFERROR(VLOOKUP(F850&amp;"|"&amp;H850,Feature_Mappings!$A$2:$C$16,2,FALSE()),"")</f>
        <v>Cotton Socks</v>
      </c>
      <c r="L850" t="str">
        <f>IFERROR(VLOOKUP(F850&amp;"|"&amp;H850,Feature_Mappings!$A$2:$C$16,3,FALSE()),"")</f>
        <v>Urban Basics Co.</v>
      </c>
      <c r="M850" t="str">
        <f>IFERROR(VLOOKUP(J850,Feature_Mappings!$D$2:$E$5,2,FALSE()),"")</f>
        <v>Ethan Parker</v>
      </c>
      <c r="N850" t="s">
        <v>778</v>
      </c>
      <c r="O850" t="str">
        <f>IFERROR(INDEX(Store_Manager!$A$2:$A$5,MATCH(M850,Store_Manager!$B$2:$B$5,0)),"")</f>
        <v>MGR004</v>
      </c>
    </row>
    <row r="851" spans="1:15" ht="15.75" customHeight="1">
      <c r="A851">
        <v>850</v>
      </c>
      <c r="B851" s="2">
        <v>45135</v>
      </c>
      <c r="C851" t="s">
        <v>877</v>
      </c>
      <c r="D851" t="s">
        <v>21</v>
      </c>
      <c r="E851">
        <v>26</v>
      </c>
      <c r="F851" s="3" t="s">
        <v>17</v>
      </c>
      <c r="G851">
        <v>2</v>
      </c>
      <c r="H851" s="4">
        <v>500</v>
      </c>
      <c r="I851" s="4">
        <v>1000</v>
      </c>
      <c r="J851" t="s">
        <v>777</v>
      </c>
      <c r="K851" t="str">
        <f>IFERROR(VLOOKUP(F851&amp;"|"&amp;H851,Feature_Mappings!$A$2:$C$16,2,FALSE()),"")</f>
        <v>LED Beauty Device</v>
      </c>
      <c r="L851" t="str">
        <f>IFERROR(VLOOKUP(F851&amp;"|"&amp;H851,Feature_Mappings!$A$2:$C$16,3,FALSE()),"")</f>
        <v>BeautyTech Pro</v>
      </c>
      <c r="M851" t="str">
        <f>IFERROR(VLOOKUP(J851,Feature_Mappings!$D$2:$E$5,2,FALSE()),"")</f>
        <v>Ethan Parker</v>
      </c>
      <c r="N851" t="s">
        <v>778</v>
      </c>
      <c r="O851" t="str">
        <f>IFERROR(INDEX(Store_Manager!$A$2:$A$5,MATCH(M851,Store_Manager!$B$2:$B$5,0)),"")</f>
        <v>MGR004</v>
      </c>
    </row>
    <row r="852" spans="1:15" ht="15.75" customHeight="1">
      <c r="A852">
        <v>851</v>
      </c>
      <c r="B852" s="2">
        <v>45177</v>
      </c>
      <c r="C852" t="s">
        <v>878</v>
      </c>
      <c r="D852" t="s">
        <v>16</v>
      </c>
      <c r="E852">
        <v>32</v>
      </c>
      <c r="F852" s="3" t="s">
        <v>24</v>
      </c>
      <c r="G852">
        <v>2</v>
      </c>
      <c r="H852" s="4">
        <v>25</v>
      </c>
      <c r="I852" s="4">
        <v>50</v>
      </c>
      <c r="J852" t="s">
        <v>777</v>
      </c>
      <c r="K852" t="str">
        <f>IFERROR(VLOOKUP(F852&amp;"|"&amp;H852,Feature_Mappings!$A$2:$C$16,2,FALSE()),"")</f>
        <v>USB-C Charger</v>
      </c>
      <c r="L852" t="str">
        <f>IFERROR(VLOOKUP(F852&amp;"|"&amp;H852,Feature_Mappings!$A$2:$C$16,3,FALSE()),"")</f>
        <v>VoltEdge Electronics</v>
      </c>
      <c r="M852" t="str">
        <f>IFERROR(VLOOKUP(J852,Feature_Mappings!$D$2:$E$5,2,FALSE()),"")</f>
        <v>Ethan Parker</v>
      </c>
      <c r="N852" t="s">
        <v>778</v>
      </c>
      <c r="O852" t="str">
        <f>IFERROR(INDEX(Store_Manager!$A$2:$A$5,MATCH(M852,Store_Manager!$B$2:$B$5,0)),"")</f>
        <v>MGR004</v>
      </c>
    </row>
    <row r="853" spans="1:15" ht="15.75" customHeight="1">
      <c r="A853">
        <v>852</v>
      </c>
      <c r="B853" s="2">
        <v>45211</v>
      </c>
      <c r="C853" t="s">
        <v>879</v>
      </c>
      <c r="D853" t="s">
        <v>21</v>
      </c>
      <c r="E853">
        <v>41</v>
      </c>
      <c r="F853" s="3" t="s">
        <v>22</v>
      </c>
      <c r="G853">
        <v>1</v>
      </c>
      <c r="H853" s="4">
        <v>300</v>
      </c>
      <c r="I853" s="4">
        <v>300</v>
      </c>
      <c r="J853" t="s">
        <v>777</v>
      </c>
      <c r="K853" t="str">
        <f>IFERROR(VLOOKUP(F853&amp;"|"&amp;H853,Feature_Mappings!$A$2:$C$16,2,FALSE()),"")</f>
        <v>Leather Jacket</v>
      </c>
      <c r="L853" t="str">
        <f>IFERROR(VLOOKUP(F853&amp;"|"&amp;H853,Feature_Mappings!$A$2:$C$16,3,FALSE()),"")</f>
        <v>Metro Style Manufacturing</v>
      </c>
      <c r="M853" t="str">
        <f>IFERROR(VLOOKUP(J853,Feature_Mappings!$D$2:$E$5,2,FALSE()),"")</f>
        <v>Ethan Parker</v>
      </c>
      <c r="N853" t="s">
        <v>778</v>
      </c>
      <c r="O853" t="str">
        <f>IFERROR(INDEX(Store_Manager!$A$2:$A$5,MATCH(M853,Store_Manager!$B$2:$B$5,0)),"")</f>
        <v>MGR004</v>
      </c>
    </row>
    <row r="854" spans="1:15" ht="15.75" customHeight="1">
      <c r="A854">
        <v>853</v>
      </c>
      <c r="B854" s="2">
        <v>45050</v>
      </c>
      <c r="C854" t="s">
        <v>880</v>
      </c>
      <c r="D854" t="s">
        <v>16</v>
      </c>
      <c r="E854">
        <v>21</v>
      </c>
      <c r="F854" s="3" t="s">
        <v>17</v>
      </c>
      <c r="G854">
        <v>2</v>
      </c>
      <c r="H854" s="4">
        <v>500</v>
      </c>
      <c r="I854" s="4">
        <v>1000</v>
      </c>
      <c r="J854" t="s">
        <v>777</v>
      </c>
      <c r="K854" t="str">
        <f>IFERROR(VLOOKUP(F854&amp;"|"&amp;H854,Feature_Mappings!$A$2:$C$16,2,FALSE()),"")</f>
        <v>LED Beauty Device</v>
      </c>
      <c r="L854" t="str">
        <f>IFERROR(VLOOKUP(F854&amp;"|"&amp;H854,Feature_Mappings!$A$2:$C$16,3,FALSE()),"")</f>
        <v>BeautyTech Pro</v>
      </c>
      <c r="M854" t="str">
        <f>IFERROR(VLOOKUP(J854,Feature_Mappings!$D$2:$E$5,2,FALSE()),"")</f>
        <v>Ethan Parker</v>
      </c>
      <c r="N854" t="s">
        <v>778</v>
      </c>
      <c r="O854" t="str">
        <f>IFERROR(INDEX(Store_Manager!$A$2:$A$5,MATCH(M854,Store_Manager!$B$2:$B$5,0)),"")</f>
        <v>MGR004</v>
      </c>
    </row>
    <row r="855" spans="1:15" ht="15.75" customHeight="1">
      <c r="A855">
        <v>854</v>
      </c>
      <c r="B855" s="2">
        <v>45280</v>
      </c>
      <c r="C855" t="s">
        <v>881</v>
      </c>
      <c r="D855" t="s">
        <v>16</v>
      </c>
      <c r="E855">
        <v>29</v>
      </c>
      <c r="F855" s="3" t="s">
        <v>22</v>
      </c>
      <c r="G855">
        <v>1</v>
      </c>
      <c r="H855" s="4">
        <v>50</v>
      </c>
      <c r="I855" s="4">
        <v>50</v>
      </c>
      <c r="J855" t="s">
        <v>777</v>
      </c>
      <c r="K855" t="str">
        <f>IFERROR(VLOOKUP(F855&amp;"|"&amp;H855,Feature_Mappings!$A$2:$C$16,2,FALSE()),"")</f>
        <v>Denim Jeans</v>
      </c>
      <c r="L855" t="str">
        <f>IFERROR(VLOOKUP(F855&amp;"|"&amp;H855,Feature_Mappings!$A$2:$C$16,3,FALSE()),"")</f>
        <v>BlueFit Garments</v>
      </c>
      <c r="M855" t="str">
        <f>IFERROR(VLOOKUP(J855,Feature_Mappings!$D$2:$E$5,2,FALSE()),"")</f>
        <v>Ethan Parker</v>
      </c>
      <c r="N855" t="s">
        <v>778</v>
      </c>
      <c r="O855" t="str">
        <f>IFERROR(INDEX(Store_Manager!$A$2:$A$5,MATCH(M855,Store_Manager!$B$2:$B$5,0)),"")</f>
        <v>MGR004</v>
      </c>
    </row>
    <row r="856" spans="1:15" ht="15.75" customHeight="1">
      <c r="A856">
        <v>855</v>
      </c>
      <c r="B856" s="2">
        <v>45170</v>
      </c>
      <c r="C856" t="s">
        <v>882</v>
      </c>
      <c r="D856" t="s">
        <v>16</v>
      </c>
      <c r="E856">
        <v>54</v>
      </c>
      <c r="F856" s="3" t="s">
        <v>17</v>
      </c>
      <c r="G856">
        <v>1</v>
      </c>
      <c r="H856" s="4">
        <v>25</v>
      </c>
      <c r="I856" s="4">
        <v>25</v>
      </c>
      <c r="J856" t="s">
        <v>777</v>
      </c>
      <c r="K856" t="str">
        <f>IFERROR(VLOOKUP(F856&amp;"|"&amp;H856,Feature_Mappings!$A$2:$C$16,2,FALSE()),"")</f>
        <v>Lip Balm</v>
      </c>
      <c r="L856" t="str">
        <f>IFERROR(VLOOKUP(F856&amp;"|"&amp;H856,Feature_Mappings!$A$2:$C$16,3,FALSE()),"")</f>
        <v>GlowSource Cosmetics</v>
      </c>
      <c r="M856" t="str">
        <f>IFERROR(VLOOKUP(J856,Feature_Mappings!$D$2:$E$5,2,FALSE()),"")</f>
        <v>Ethan Parker</v>
      </c>
      <c r="N856" t="s">
        <v>778</v>
      </c>
      <c r="O856" t="str">
        <f>IFERROR(INDEX(Store_Manager!$A$2:$A$5,MATCH(M856,Store_Manager!$B$2:$B$5,0)),"")</f>
        <v>MGR004</v>
      </c>
    </row>
    <row r="857" spans="1:15" ht="15.75" customHeight="1">
      <c r="A857">
        <v>856</v>
      </c>
      <c r="B857" s="2">
        <v>45257</v>
      </c>
      <c r="C857" t="s">
        <v>883</v>
      </c>
      <c r="D857" t="s">
        <v>16</v>
      </c>
      <c r="E857">
        <v>54</v>
      </c>
      <c r="F857" s="3" t="s">
        <v>24</v>
      </c>
      <c r="G857">
        <v>4</v>
      </c>
      <c r="H857" s="4">
        <v>30</v>
      </c>
      <c r="I857" s="4">
        <v>120</v>
      </c>
      <c r="J857" t="s">
        <v>777</v>
      </c>
      <c r="K857" t="str">
        <f>IFERROR(VLOOKUP(F857&amp;"|"&amp;H857,Feature_Mappings!$A$2:$C$16,2,FALSE()),"")</f>
        <v>Wireless Mouse</v>
      </c>
      <c r="L857" t="str">
        <f>IFERROR(VLOOKUP(F857&amp;"|"&amp;H857,Feature_Mappings!$A$2:$C$16,3,FALSE()),"")</f>
        <v>ByteWave Distributors</v>
      </c>
      <c r="M857" t="str">
        <f>IFERROR(VLOOKUP(J857,Feature_Mappings!$D$2:$E$5,2,FALSE()),"")</f>
        <v>Ethan Parker</v>
      </c>
      <c r="N857" t="s">
        <v>778</v>
      </c>
      <c r="O857" t="str">
        <f>IFERROR(INDEX(Store_Manager!$A$2:$A$5,MATCH(M857,Store_Manager!$B$2:$B$5,0)),"")</f>
        <v>MGR004</v>
      </c>
    </row>
    <row r="858" spans="1:15" ht="15.75" customHeight="1">
      <c r="A858">
        <v>857</v>
      </c>
      <c r="B858" s="2">
        <v>45291</v>
      </c>
      <c r="C858" t="s">
        <v>884</v>
      </c>
      <c r="D858" t="s">
        <v>16</v>
      </c>
      <c r="E858">
        <v>60</v>
      </c>
      <c r="F858" s="3" t="s">
        <v>24</v>
      </c>
      <c r="G858">
        <v>2</v>
      </c>
      <c r="H858" s="4">
        <v>25</v>
      </c>
      <c r="I858" s="4">
        <v>50</v>
      </c>
      <c r="J858" t="s">
        <v>777</v>
      </c>
      <c r="K858" t="str">
        <f>IFERROR(VLOOKUP(F858&amp;"|"&amp;H858,Feature_Mappings!$A$2:$C$16,2,FALSE()),"")</f>
        <v>USB-C Charger</v>
      </c>
      <c r="L858" t="str">
        <f>IFERROR(VLOOKUP(F858&amp;"|"&amp;H858,Feature_Mappings!$A$2:$C$16,3,FALSE()),"")</f>
        <v>VoltEdge Electronics</v>
      </c>
      <c r="M858" t="str">
        <f>IFERROR(VLOOKUP(J858,Feature_Mappings!$D$2:$E$5,2,FALSE()),"")</f>
        <v>Ethan Parker</v>
      </c>
      <c r="N858" t="s">
        <v>778</v>
      </c>
      <c r="O858" t="str">
        <f>IFERROR(INDEX(Store_Manager!$A$2:$A$5,MATCH(M858,Store_Manager!$B$2:$B$5,0)),"")</f>
        <v>MGR004</v>
      </c>
    </row>
    <row r="859" spans="1:15" ht="15.75" customHeight="1">
      <c r="A859">
        <v>858</v>
      </c>
      <c r="B859" s="2">
        <v>45178</v>
      </c>
      <c r="C859" t="s">
        <v>885</v>
      </c>
      <c r="D859" t="s">
        <v>16</v>
      </c>
      <c r="E859">
        <v>23</v>
      </c>
      <c r="F859" s="3" t="s">
        <v>24</v>
      </c>
      <c r="G859">
        <v>2</v>
      </c>
      <c r="H859" s="4">
        <v>50</v>
      </c>
      <c r="I859" s="4">
        <v>100</v>
      </c>
      <c r="J859" t="s">
        <v>777</v>
      </c>
      <c r="K859" t="str">
        <f>IFERROR(VLOOKUP(F859&amp;"|"&amp;H859,Feature_Mappings!$A$2:$C$16,2,FALSE()),"")</f>
        <v>Bluetooth Speaker</v>
      </c>
      <c r="L859" t="str">
        <f>IFERROR(VLOOKUP(F859&amp;"|"&amp;H859,Feature_Mappings!$A$2:$C$16,3,FALSE()),"")</f>
        <v>SoundSphere Supply</v>
      </c>
      <c r="M859" t="str">
        <f>IFERROR(VLOOKUP(J859,Feature_Mappings!$D$2:$E$5,2,FALSE()),"")</f>
        <v>Ethan Parker</v>
      </c>
      <c r="N859" t="s">
        <v>778</v>
      </c>
      <c r="O859" t="str">
        <f>IFERROR(INDEX(Store_Manager!$A$2:$A$5,MATCH(M859,Store_Manager!$B$2:$B$5,0)),"")</f>
        <v>MGR004</v>
      </c>
    </row>
    <row r="860" spans="1:15" ht="15.75" customHeight="1">
      <c r="A860">
        <v>859</v>
      </c>
      <c r="B860" s="2">
        <v>45156</v>
      </c>
      <c r="C860" t="s">
        <v>886</v>
      </c>
      <c r="D860" t="s">
        <v>21</v>
      </c>
      <c r="E860">
        <v>56</v>
      </c>
      <c r="F860" s="3" t="s">
        <v>24</v>
      </c>
      <c r="G860">
        <v>3</v>
      </c>
      <c r="H860" s="4">
        <v>500</v>
      </c>
      <c r="I860" s="4">
        <v>1500</v>
      </c>
      <c r="J860" t="s">
        <v>777</v>
      </c>
      <c r="K860" t="str">
        <f>IFERROR(VLOOKUP(F860&amp;"|"&amp;H860,Feature_Mappings!$A$2:$C$16,2,FALSE()),"")</f>
        <v>Smartphone</v>
      </c>
      <c r="L860" t="str">
        <f>IFERROR(VLOOKUP(F860&amp;"|"&amp;H860,Feature_Mappings!$A$2:$C$16,3,FALSE()),"")</f>
        <v>NovaTech Wholesale</v>
      </c>
      <c r="M860" t="str">
        <f>IFERROR(VLOOKUP(J860,Feature_Mappings!$D$2:$E$5,2,FALSE()),"")</f>
        <v>Ethan Parker</v>
      </c>
      <c r="N860" t="s">
        <v>778</v>
      </c>
      <c r="O860" t="str">
        <f>IFERROR(INDEX(Store_Manager!$A$2:$A$5,MATCH(M860,Store_Manager!$B$2:$B$5,0)),"")</f>
        <v>MGR004</v>
      </c>
    </row>
    <row r="861" spans="1:15" ht="15.75" customHeight="1">
      <c r="A861">
        <v>860</v>
      </c>
      <c r="B861" s="2">
        <v>44935</v>
      </c>
      <c r="C861" t="s">
        <v>887</v>
      </c>
      <c r="D861" t="s">
        <v>16</v>
      </c>
      <c r="E861">
        <v>63</v>
      </c>
      <c r="F861" s="3" t="s">
        <v>22</v>
      </c>
      <c r="G861">
        <v>4</v>
      </c>
      <c r="H861" s="4">
        <v>50</v>
      </c>
      <c r="I861" s="4">
        <v>200</v>
      </c>
      <c r="J861" t="s">
        <v>777</v>
      </c>
      <c r="K861" t="str">
        <f>IFERROR(VLOOKUP(F861&amp;"|"&amp;H861,Feature_Mappings!$A$2:$C$16,2,FALSE()),"")</f>
        <v>Denim Jeans</v>
      </c>
      <c r="L861" t="str">
        <f>IFERROR(VLOOKUP(F861&amp;"|"&amp;H861,Feature_Mappings!$A$2:$C$16,3,FALSE()),"")</f>
        <v>BlueFit Garments</v>
      </c>
      <c r="M861" t="str">
        <f>IFERROR(VLOOKUP(J861,Feature_Mappings!$D$2:$E$5,2,FALSE()),"")</f>
        <v>Ethan Parker</v>
      </c>
      <c r="N861" t="s">
        <v>778</v>
      </c>
      <c r="O861" t="str">
        <f>IFERROR(INDEX(Store_Manager!$A$2:$A$5,MATCH(M861,Store_Manager!$B$2:$B$5,0)),"")</f>
        <v>MGR004</v>
      </c>
    </row>
    <row r="862" spans="1:15" ht="15.75" customHeight="1">
      <c r="A862">
        <v>861</v>
      </c>
      <c r="B862" s="2">
        <v>44974</v>
      </c>
      <c r="C862" t="s">
        <v>888</v>
      </c>
      <c r="D862" t="s">
        <v>21</v>
      </c>
      <c r="E862">
        <v>41</v>
      </c>
      <c r="F862" s="3" t="s">
        <v>22</v>
      </c>
      <c r="G862">
        <v>3</v>
      </c>
      <c r="H862" s="4">
        <v>30</v>
      </c>
      <c r="I862" s="4">
        <v>90</v>
      </c>
      <c r="J862" t="s">
        <v>777</v>
      </c>
      <c r="K862" t="str">
        <f>IFERROR(VLOOKUP(F862&amp;"|"&amp;H862,Feature_Mappings!$A$2:$C$16,2,FALSE()),"")</f>
        <v>Graphic T-Shirt</v>
      </c>
      <c r="L862" t="str">
        <f>IFERROR(VLOOKUP(F862&amp;"|"&amp;H862,Feature_Mappings!$A$2:$C$16,3,FALSE()),"")</f>
        <v>ThreadWorks Apparel</v>
      </c>
      <c r="M862" t="str">
        <f>IFERROR(VLOOKUP(J862,Feature_Mappings!$D$2:$E$5,2,FALSE()),"")</f>
        <v>Ethan Parker</v>
      </c>
      <c r="N862" t="s">
        <v>778</v>
      </c>
      <c r="O862" t="str">
        <f>IFERROR(INDEX(Store_Manager!$A$2:$A$5,MATCH(M862,Store_Manager!$B$2:$B$5,0)),"")</f>
        <v>MGR004</v>
      </c>
    </row>
    <row r="863" spans="1:15" ht="15.75" customHeight="1">
      <c r="A863">
        <v>862</v>
      </c>
      <c r="B863" s="2">
        <v>45077</v>
      </c>
      <c r="C863" t="s">
        <v>889</v>
      </c>
      <c r="D863" t="s">
        <v>16</v>
      </c>
      <c r="E863">
        <v>28</v>
      </c>
      <c r="F863" s="3" t="s">
        <v>24</v>
      </c>
      <c r="G863">
        <v>4</v>
      </c>
      <c r="H863" s="4">
        <v>300</v>
      </c>
      <c r="I863" s="4">
        <v>1200</v>
      </c>
      <c r="J863" t="s">
        <v>777</v>
      </c>
      <c r="K863" t="str">
        <f>IFERROR(VLOOKUP(F863&amp;"|"&amp;H863,Feature_Mappings!$A$2:$C$16,2,FALSE()),"")</f>
        <v>Tablet</v>
      </c>
      <c r="L863" t="str">
        <f>IFERROR(VLOOKUP(F863&amp;"|"&amp;H863,Feature_Mappings!$A$2:$C$16,3,FALSE()),"")</f>
        <v>NextGen Devices</v>
      </c>
      <c r="M863" t="str">
        <f>IFERROR(VLOOKUP(J863,Feature_Mappings!$D$2:$E$5,2,FALSE()),"")</f>
        <v>Ethan Parker</v>
      </c>
      <c r="N863" t="s">
        <v>778</v>
      </c>
      <c r="O863" t="str">
        <f>IFERROR(INDEX(Store_Manager!$A$2:$A$5,MATCH(M863,Store_Manager!$B$2:$B$5,0)),"")</f>
        <v>MGR004</v>
      </c>
    </row>
    <row r="864" spans="1:15" ht="15.75" customHeight="1">
      <c r="A864">
        <v>863</v>
      </c>
      <c r="B864" s="2">
        <v>45040</v>
      </c>
      <c r="C864" t="s">
        <v>890</v>
      </c>
      <c r="D864" t="s">
        <v>21</v>
      </c>
      <c r="E864">
        <v>30</v>
      </c>
      <c r="F864" s="3" t="s">
        <v>24</v>
      </c>
      <c r="G864">
        <v>2</v>
      </c>
      <c r="H864" s="4">
        <v>25</v>
      </c>
      <c r="I864" s="4">
        <v>50</v>
      </c>
      <c r="J864" t="s">
        <v>777</v>
      </c>
      <c r="K864" t="str">
        <f>IFERROR(VLOOKUP(F864&amp;"|"&amp;H864,Feature_Mappings!$A$2:$C$16,2,FALSE()),"")</f>
        <v>USB-C Charger</v>
      </c>
      <c r="L864" t="str">
        <f>IFERROR(VLOOKUP(F864&amp;"|"&amp;H864,Feature_Mappings!$A$2:$C$16,3,FALSE()),"")</f>
        <v>VoltEdge Electronics</v>
      </c>
      <c r="M864" t="str">
        <f>IFERROR(VLOOKUP(J864,Feature_Mappings!$D$2:$E$5,2,FALSE()),"")</f>
        <v>Ethan Parker</v>
      </c>
      <c r="N864" t="s">
        <v>778</v>
      </c>
      <c r="O864" t="str">
        <f>IFERROR(INDEX(Store_Manager!$A$2:$A$5,MATCH(M864,Store_Manager!$B$2:$B$5,0)),"")</f>
        <v>MGR004</v>
      </c>
    </row>
    <row r="865" spans="1:15" ht="15.75" customHeight="1">
      <c r="A865">
        <v>864</v>
      </c>
      <c r="B865" s="2">
        <v>45134</v>
      </c>
      <c r="C865" t="s">
        <v>891</v>
      </c>
      <c r="D865" t="s">
        <v>21</v>
      </c>
      <c r="E865">
        <v>51</v>
      </c>
      <c r="F865" s="3" t="s">
        <v>24</v>
      </c>
      <c r="G865">
        <v>1</v>
      </c>
      <c r="H865" s="4">
        <v>500</v>
      </c>
      <c r="I865" s="4">
        <v>500</v>
      </c>
      <c r="J865" t="s">
        <v>777</v>
      </c>
      <c r="K865" t="str">
        <f>IFERROR(VLOOKUP(F865&amp;"|"&amp;H865,Feature_Mappings!$A$2:$C$16,2,FALSE()),"")</f>
        <v>Smartphone</v>
      </c>
      <c r="L865" t="str">
        <f>IFERROR(VLOOKUP(F865&amp;"|"&amp;H865,Feature_Mappings!$A$2:$C$16,3,FALSE()),"")</f>
        <v>NovaTech Wholesale</v>
      </c>
      <c r="M865" t="str">
        <f>IFERROR(VLOOKUP(J865,Feature_Mappings!$D$2:$E$5,2,FALSE()),"")</f>
        <v>Ethan Parker</v>
      </c>
      <c r="N865" t="s">
        <v>778</v>
      </c>
      <c r="O865" t="str">
        <f>IFERROR(INDEX(Store_Manager!$A$2:$A$5,MATCH(M865,Store_Manager!$B$2:$B$5,0)),"")</f>
        <v>MGR004</v>
      </c>
    </row>
    <row r="866" spans="1:15" ht="15.75" customHeight="1">
      <c r="A866">
        <v>865</v>
      </c>
      <c r="B866" s="2">
        <v>45281</v>
      </c>
      <c r="C866" t="s">
        <v>892</v>
      </c>
      <c r="D866" t="s">
        <v>21</v>
      </c>
      <c r="E866">
        <v>42</v>
      </c>
      <c r="F866" s="3" t="s">
        <v>22</v>
      </c>
      <c r="G866">
        <v>1</v>
      </c>
      <c r="H866" s="4">
        <v>300</v>
      </c>
      <c r="I866" s="4">
        <v>300</v>
      </c>
      <c r="J866" t="s">
        <v>777</v>
      </c>
      <c r="K866" t="str">
        <f>IFERROR(VLOOKUP(F866&amp;"|"&amp;H866,Feature_Mappings!$A$2:$C$16,2,FALSE()),"")</f>
        <v>Leather Jacket</v>
      </c>
      <c r="L866" t="str">
        <f>IFERROR(VLOOKUP(F866&amp;"|"&amp;H866,Feature_Mappings!$A$2:$C$16,3,FALSE()),"")</f>
        <v>Metro Style Manufacturing</v>
      </c>
      <c r="M866" t="str">
        <f>IFERROR(VLOOKUP(J866,Feature_Mappings!$D$2:$E$5,2,FALSE()),"")</f>
        <v>Ethan Parker</v>
      </c>
      <c r="N866" t="s">
        <v>778</v>
      </c>
      <c r="O866" t="str">
        <f>IFERROR(INDEX(Store_Manager!$A$2:$A$5,MATCH(M866,Store_Manager!$B$2:$B$5,0)),"")</f>
        <v>MGR004</v>
      </c>
    </row>
    <row r="867" spans="1:15" ht="15.75" customHeight="1">
      <c r="A867">
        <v>866</v>
      </c>
      <c r="B867" s="2">
        <v>45051</v>
      </c>
      <c r="C867" t="s">
        <v>893</v>
      </c>
      <c r="D867" t="s">
        <v>16</v>
      </c>
      <c r="E867">
        <v>24</v>
      </c>
      <c r="F867" s="3" t="s">
        <v>24</v>
      </c>
      <c r="G867">
        <v>1</v>
      </c>
      <c r="H867" s="4">
        <v>50</v>
      </c>
      <c r="I867" s="4">
        <v>50</v>
      </c>
      <c r="J867" t="s">
        <v>777</v>
      </c>
      <c r="K867" t="str">
        <f>IFERROR(VLOOKUP(F867&amp;"|"&amp;H867,Feature_Mappings!$A$2:$C$16,2,FALSE()),"")</f>
        <v>Bluetooth Speaker</v>
      </c>
      <c r="L867" t="str">
        <f>IFERROR(VLOOKUP(F867&amp;"|"&amp;H867,Feature_Mappings!$A$2:$C$16,3,FALSE()),"")</f>
        <v>SoundSphere Supply</v>
      </c>
      <c r="M867" t="str">
        <f>IFERROR(VLOOKUP(J867,Feature_Mappings!$D$2:$E$5,2,FALSE()),"")</f>
        <v>Ethan Parker</v>
      </c>
      <c r="N867" t="s">
        <v>778</v>
      </c>
      <c r="O867" t="str">
        <f>IFERROR(INDEX(Store_Manager!$A$2:$A$5,MATCH(M867,Store_Manager!$B$2:$B$5,0)),"")</f>
        <v>MGR004</v>
      </c>
    </row>
    <row r="868" spans="1:15" ht="15.75" customHeight="1">
      <c r="A868">
        <v>867</v>
      </c>
      <c r="B868" s="2">
        <v>45083</v>
      </c>
      <c r="C868" t="s">
        <v>894</v>
      </c>
      <c r="D868" t="s">
        <v>16</v>
      </c>
      <c r="E868">
        <v>21</v>
      </c>
      <c r="F868" s="3" t="s">
        <v>24</v>
      </c>
      <c r="G868">
        <v>1</v>
      </c>
      <c r="H868" s="4">
        <v>500</v>
      </c>
      <c r="I868" s="4">
        <v>500</v>
      </c>
      <c r="J868" t="s">
        <v>777</v>
      </c>
      <c r="K868" t="str">
        <f>IFERROR(VLOOKUP(F868&amp;"|"&amp;H868,Feature_Mappings!$A$2:$C$16,2,FALSE()),"")</f>
        <v>Smartphone</v>
      </c>
      <c r="L868" t="str">
        <f>IFERROR(VLOOKUP(F868&amp;"|"&amp;H868,Feature_Mappings!$A$2:$C$16,3,FALSE()),"")</f>
        <v>NovaTech Wholesale</v>
      </c>
      <c r="M868" t="str">
        <f>IFERROR(VLOOKUP(J868,Feature_Mappings!$D$2:$E$5,2,FALSE()),"")</f>
        <v>Ethan Parker</v>
      </c>
      <c r="N868" t="s">
        <v>778</v>
      </c>
      <c r="O868" t="str">
        <f>IFERROR(INDEX(Store_Manager!$A$2:$A$5,MATCH(M868,Store_Manager!$B$2:$B$5,0)),"")</f>
        <v>MGR004</v>
      </c>
    </row>
    <row r="869" spans="1:15" ht="15.75" customHeight="1">
      <c r="A869">
        <v>868</v>
      </c>
      <c r="B869" s="2">
        <v>45266</v>
      </c>
      <c r="C869" t="s">
        <v>895</v>
      </c>
      <c r="D869" t="s">
        <v>21</v>
      </c>
      <c r="E869">
        <v>25</v>
      </c>
      <c r="F869" s="3" t="s">
        <v>24</v>
      </c>
      <c r="G869">
        <v>1</v>
      </c>
      <c r="H869" s="4">
        <v>300</v>
      </c>
      <c r="I869" s="4">
        <v>300</v>
      </c>
      <c r="J869" t="s">
        <v>777</v>
      </c>
      <c r="K869" t="str">
        <f>IFERROR(VLOOKUP(F869&amp;"|"&amp;H869,Feature_Mappings!$A$2:$C$16,2,FALSE()),"")</f>
        <v>Tablet</v>
      </c>
      <c r="L869" t="str">
        <f>IFERROR(VLOOKUP(F869&amp;"|"&amp;H869,Feature_Mappings!$A$2:$C$16,3,FALSE()),"")</f>
        <v>NextGen Devices</v>
      </c>
      <c r="M869" t="str">
        <f>IFERROR(VLOOKUP(J869,Feature_Mappings!$D$2:$E$5,2,FALSE()),"")</f>
        <v>Ethan Parker</v>
      </c>
      <c r="N869" t="s">
        <v>778</v>
      </c>
      <c r="O869" t="str">
        <f>IFERROR(INDEX(Store_Manager!$A$2:$A$5,MATCH(M869,Store_Manager!$B$2:$B$5,0)),"")</f>
        <v>MGR004</v>
      </c>
    </row>
    <row r="870" spans="1:15" ht="15.75" customHeight="1">
      <c r="A870">
        <v>869</v>
      </c>
      <c r="B870" s="2">
        <v>45224</v>
      </c>
      <c r="C870" t="s">
        <v>896</v>
      </c>
      <c r="D870" t="s">
        <v>16</v>
      </c>
      <c r="E870">
        <v>37</v>
      </c>
      <c r="F870" s="3" t="s">
        <v>17</v>
      </c>
      <c r="G870">
        <v>3</v>
      </c>
      <c r="H870" s="4">
        <v>500</v>
      </c>
      <c r="I870" s="4">
        <v>1500</v>
      </c>
      <c r="J870" t="s">
        <v>777</v>
      </c>
      <c r="K870" t="str">
        <f>IFERROR(VLOOKUP(F870&amp;"|"&amp;H870,Feature_Mappings!$A$2:$C$16,2,FALSE()),"")</f>
        <v>LED Beauty Device</v>
      </c>
      <c r="L870" t="str">
        <f>IFERROR(VLOOKUP(F870&amp;"|"&amp;H870,Feature_Mappings!$A$2:$C$16,3,FALSE()),"")</f>
        <v>BeautyTech Pro</v>
      </c>
      <c r="M870" t="str">
        <f>IFERROR(VLOOKUP(J870,Feature_Mappings!$D$2:$E$5,2,FALSE()),"")</f>
        <v>Ethan Parker</v>
      </c>
      <c r="N870" t="s">
        <v>778</v>
      </c>
      <c r="O870" t="str">
        <f>IFERROR(INDEX(Store_Manager!$A$2:$A$5,MATCH(M870,Store_Manager!$B$2:$B$5,0)),"")</f>
        <v>MGR004</v>
      </c>
    </row>
    <row r="871" spans="1:15" ht="15.75" customHeight="1">
      <c r="A871">
        <v>870</v>
      </c>
      <c r="B871" s="2">
        <v>45115</v>
      </c>
      <c r="C871" t="s">
        <v>897</v>
      </c>
      <c r="D871" t="s">
        <v>21</v>
      </c>
      <c r="E871">
        <v>46</v>
      </c>
      <c r="F871" s="3" t="s">
        <v>24</v>
      </c>
      <c r="G871">
        <v>4</v>
      </c>
      <c r="H871" s="4">
        <v>30</v>
      </c>
      <c r="I871" s="4">
        <v>120</v>
      </c>
      <c r="J871" t="s">
        <v>777</v>
      </c>
      <c r="K871" t="str">
        <f>IFERROR(VLOOKUP(F871&amp;"|"&amp;H871,Feature_Mappings!$A$2:$C$16,2,FALSE()),"")</f>
        <v>Wireless Mouse</v>
      </c>
      <c r="L871" t="str">
        <f>IFERROR(VLOOKUP(F871&amp;"|"&amp;H871,Feature_Mappings!$A$2:$C$16,3,FALSE()),"")</f>
        <v>ByteWave Distributors</v>
      </c>
      <c r="M871" t="str">
        <f>IFERROR(VLOOKUP(J871,Feature_Mappings!$D$2:$E$5,2,FALSE()),"")</f>
        <v>Ethan Parker</v>
      </c>
      <c r="N871" t="s">
        <v>778</v>
      </c>
      <c r="O871" t="str">
        <f>IFERROR(INDEX(Store_Manager!$A$2:$A$5,MATCH(M871,Store_Manager!$B$2:$B$5,0)),"")</f>
        <v>MGR004</v>
      </c>
    </row>
    <row r="872" spans="1:15" ht="15.75" customHeight="1">
      <c r="A872">
        <v>871</v>
      </c>
      <c r="B872" s="2">
        <v>45169</v>
      </c>
      <c r="C872" t="s">
        <v>898</v>
      </c>
      <c r="D872" t="s">
        <v>16</v>
      </c>
      <c r="E872">
        <v>62</v>
      </c>
      <c r="F872" s="3" t="s">
        <v>17</v>
      </c>
      <c r="G872">
        <v>2</v>
      </c>
      <c r="H872" s="4">
        <v>30</v>
      </c>
      <c r="I872" s="4">
        <v>60</v>
      </c>
      <c r="J872" t="s">
        <v>777</v>
      </c>
      <c r="K872" t="str">
        <f>IFERROR(VLOOKUP(F872&amp;"|"&amp;H872,Feature_Mappings!$A$2:$C$16,2,FALSE()),"")</f>
        <v>Facial Cleanser</v>
      </c>
      <c r="L872" t="str">
        <f>IFERROR(VLOOKUP(F872&amp;"|"&amp;H872,Feature_Mappings!$A$2:$C$16,3,FALSE()),"")</f>
        <v>PureDerma Supplies</v>
      </c>
      <c r="M872" t="str">
        <f>IFERROR(VLOOKUP(J872,Feature_Mappings!$D$2:$E$5,2,FALSE()),"")</f>
        <v>Ethan Parker</v>
      </c>
      <c r="N872" t="s">
        <v>778</v>
      </c>
      <c r="O872" t="str">
        <f>IFERROR(INDEX(Store_Manager!$A$2:$A$5,MATCH(M872,Store_Manager!$B$2:$B$5,0)),"")</f>
        <v>MGR004</v>
      </c>
    </row>
    <row r="873" spans="1:15" ht="15.75" customHeight="1">
      <c r="A873">
        <v>872</v>
      </c>
      <c r="B873" s="2">
        <v>45210</v>
      </c>
      <c r="C873" t="s">
        <v>899</v>
      </c>
      <c r="D873" t="s">
        <v>21</v>
      </c>
      <c r="E873">
        <v>63</v>
      </c>
      <c r="F873" s="3" t="s">
        <v>17</v>
      </c>
      <c r="G873">
        <v>3</v>
      </c>
      <c r="H873" s="4">
        <v>25</v>
      </c>
      <c r="I873" s="4">
        <v>75</v>
      </c>
      <c r="J873" t="s">
        <v>777</v>
      </c>
      <c r="K873" t="str">
        <f>IFERROR(VLOOKUP(F873&amp;"|"&amp;H873,Feature_Mappings!$A$2:$C$16,2,FALSE()),"")</f>
        <v>Lip Balm</v>
      </c>
      <c r="L873" t="str">
        <f>IFERROR(VLOOKUP(F873&amp;"|"&amp;H873,Feature_Mappings!$A$2:$C$16,3,FALSE()),"")</f>
        <v>GlowSource Cosmetics</v>
      </c>
      <c r="M873" t="str">
        <f>IFERROR(VLOOKUP(J873,Feature_Mappings!$D$2:$E$5,2,FALSE()),"")</f>
        <v>Ethan Parker</v>
      </c>
      <c r="N873" t="s">
        <v>778</v>
      </c>
      <c r="O873" t="str">
        <f>IFERROR(INDEX(Store_Manager!$A$2:$A$5,MATCH(M873,Store_Manager!$B$2:$B$5,0)),"")</f>
        <v>MGR004</v>
      </c>
    </row>
    <row r="874" spans="1:15" ht="15.75" customHeight="1">
      <c r="A874">
        <v>873</v>
      </c>
      <c r="B874" s="2">
        <v>45198</v>
      </c>
      <c r="C874" t="s">
        <v>900</v>
      </c>
      <c r="D874" t="s">
        <v>21</v>
      </c>
      <c r="E874">
        <v>27</v>
      </c>
      <c r="F874" s="3" t="s">
        <v>24</v>
      </c>
      <c r="G874">
        <v>4</v>
      </c>
      <c r="H874" s="4">
        <v>25</v>
      </c>
      <c r="I874" s="4">
        <v>100</v>
      </c>
      <c r="J874" t="s">
        <v>777</v>
      </c>
      <c r="K874" t="str">
        <f>IFERROR(VLOOKUP(F874&amp;"|"&amp;H874,Feature_Mappings!$A$2:$C$16,2,FALSE()),"")</f>
        <v>USB-C Charger</v>
      </c>
      <c r="L874" t="str">
        <f>IFERROR(VLOOKUP(F874&amp;"|"&amp;H874,Feature_Mappings!$A$2:$C$16,3,FALSE()),"")</f>
        <v>VoltEdge Electronics</v>
      </c>
      <c r="M874" t="str">
        <f>IFERROR(VLOOKUP(J874,Feature_Mappings!$D$2:$E$5,2,FALSE()),"")</f>
        <v>Ethan Parker</v>
      </c>
      <c r="N874" t="s">
        <v>778</v>
      </c>
      <c r="O874" t="str">
        <f>IFERROR(INDEX(Store_Manager!$A$2:$A$5,MATCH(M874,Store_Manager!$B$2:$B$5,0)),"")</f>
        <v>MGR004</v>
      </c>
    </row>
    <row r="875" spans="1:15" ht="15.75" customHeight="1">
      <c r="A875">
        <v>874</v>
      </c>
      <c r="B875" s="2">
        <v>45103</v>
      </c>
      <c r="C875" t="s">
        <v>901</v>
      </c>
      <c r="D875" t="s">
        <v>16</v>
      </c>
      <c r="E875">
        <v>60</v>
      </c>
      <c r="F875" s="3" t="s">
        <v>17</v>
      </c>
      <c r="G875">
        <v>1</v>
      </c>
      <c r="H875" s="4">
        <v>30</v>
      </c>
      <c r="I875" s="4">
        <v>30</v>
      </c>
      <c r="J875" t="s">
        <v>777</v>
      </c>
      <c r="K875" t="str">
        <f>IFERROR(VLOOKUP(F875&amp;"|"&amp;H875,Feature_Mappings!$A$2:$C$16,2,FALSE()),"")</f>
        <v>Facial Cleanser</v>
      </c>
      <c r="L875" t="str">
        <f>IFERROR(VLOOKUP(F875&amp;"|"&amp;H875,Feature_Mappings!$A$2:$C$16,3,FALSE()),"")</f>
        <v>PureDerma Supplies</v>
      </c>
      <c r="M875" t="str">
        <f>IFERROR(VLOOKUP(J875,Feature_Mappings!$D$2:$E$5,2,FALSE()),"")</f>
        <v>Ethan Parker</v>
      </c>
      <c r="N875" t="s">
        <v>778</v>
      </c>
      <c r="O875" t="str">
        <f>IFERROR(INDEX(Store_Manager!$A$2:$A$5,MATCH(M875,Store_Manager!$B$2:$B$5,0)),"")</f>
        <v>MGR004</v>
      </c>
    </row>
    <row r="876" spans="1:15" ht="15.75" customHeight="1">
      <c r="A876">
        <v>875</v>
      </c>
      <c r="B876" s="2">
        <v>45144</v>
      </c>
      <c r="C876" t="s">
        <v>902</v>
      </c>
      <c r="D876" t="s">
        <v>21</v>
      </c>
      <c r="E876">
        <v>51</v>
      </c>
      <c r="F876" s="3" t="s">
        <v>24</v>
      </c>
      <c r="G876">
        <v>4</v>
      </c>
      <c r="H876" s="4">
        <v>500</v>
      </c>
      <c r="I876" s="4">
        <v>2000</v>
      </c>
      <c r="J876" t="s">
        <v>777</v>
      </c>
      <c r="K876" t="str">
        <f>IFERROR(VLOOKUP(F876&amp;"|"&amp;H876,Feature_Mappings!$A$2:$C$16,2,FALSE()),"")</f>
        <v>Smartphone</v>
      </c>
      <c r="L876" t="str">
        <f>IFERROR(VLOOKUP(F876&amp;"|"&amp;H876,Feature_Mappings!$A$2:$C$16,3,FALSE()),"")</f>
        <v>NovaTech Wholesale</v>
      </c>
      <c r="M876" t="str">
        <f>IFERROR(VLOOKUP(J876,Feature_Mappings!$D$2:$E$5,2,FALSE()),"")</f>
        <v>Ethan Parker</v>
      </c>
      <c r="N876" t="s">
        <v>778</v>
      </c>
      <c r="O876" t="str">
        <f>IFERROR(INDEX(Store_Manager!$A$2:$A$5,MATCH(M876,Store_Manager!$B$2:$B$5,0)),"")</f>
        <v>MGR004</v>
      </c>
    </row>
    <row r="877" spans="1:15" ht="15.75" customHeight="1">
      <c r="A877">
        <v>876</v>
      </c>
      <c r="B877" s="2">
        <v>45208</v>
      </c>
      <c r="C877" t="s">
        <v>903</v>
      </c>
      <c r="D877" t="s">
        <v>16</v>
      </c>
      <c r="E877">
        <v>43</v>
      </c>
      <c r="F877" s="3" t="s">
        <v>22</v>
      </c>
      <c r="G877">
        <v>4</v>
      </c>
      <c r="H877" s="4">
        <v>30</v>
      </c>
      <c r="I877" s="4">
        <v>120</v>
      </c>
      <c r="J877" t="s">
        <v>777</v>
      </c>
      <c r="K877" t="str">
        <f>IFERROR(VLOOKUP(F877&amp;"|"&amp;H877,Feature_Mappings!$A$2:$C$16,2,FALSE()),"")</f>
        <v>Graphic T-Shirt</v>
      </c>
      <c r="L877" t="str">
        <f>IFERROR(VLOOKUP(F877&amp;"|"&amp;H877,Feature_Mappings!$A$2:$C$16,3,FALSE()),"")</f>
        <v>ThreadWorks Apparel</v>
      </c>
      <c r="M877" t="str">
        <f>IFERROR(VLOOKUP(J877,Feature_Mappings!$D$2:$E$5,2,FALSE()),"")</f>
        <v>Ethan Parker</v>
      </c>
      <c r="N877" t="s">
        <v>778</v>
      </c>
      <c r="O877" t="str">
        <f>IFERROR(INDEX(Store_Manager!$A$2:$A$5,MATCH(M877,Store_Manager!$B$2:$B$5,0)),"")</f>
        <v>MGR004</v>
      </c>
    </row>
    <row r="878" spans="1:15" ht="15.75" customHeight="1">
      <c r="A878">
        <v>877</v>
      </c>
      <c r="B878" s="2">
        <v>45096</v>
      </c>
      <c r="C878" t="s">
        <v>904</v>
      </c>
      <c r="D878" t="s">
        <v>21</v>
      </c>
      <c r="E878">
        <v>58</v>
      </c>
      <c r="F878" s="3" t="s">
        <v>22</v>
      </c>
      <c r="G878">
        <v>1</v>
      </c>
      <c r="H878" s="4">
        <v>25</v>
      </c>
      <c r="I878" s="4">
        <v>25</v>
      </c>
      <c r="J878" t="s">
        <v>777</v>
      </c>
      <c r="K878" t="str">
        <f>IFERROR(VLOOKUP(F878&amp;"|"&amp;H878,Feature_Mappings!$A$2:$C$16,2,FALSE()),"")</f>
        <v>Cotton Socks</v>
      </c>
      <c r="L878" t="str">
        <f>IFERROR(VLOOKUP(F878&amp;"|"&amp;H878,Feature_Mappings!$A$2:$C$16,3,FALSE()),"")</f>
        <v>Urban Basics Co.</v>
      </c>
      <c r="M878" t="str">
        <f>IFERROR(VLOOKUP(J878,Feature_Mappings!$D$2:$E$5,2,FALSE()),"")</f>
        <v>Ethan Parker</v>
      </c>
      <c r="N878" t="s">
        <v>778</v>
      </c>
      <c r="O878" t="str">
        <f>IFERROR(INDEX(Store_Manager!$A$2:$A$5,MATCH(M878,Store_Manager!$B$2:$B$5,0)),"")</f>
        <v>MGR004</v>
      </c>
    </row>
    <row r="879" spans="1:15" ht="15.75" customHeight="1">
      <c r="A879">
        <v>878</v>
      </c>
      <c r="B879" s="2">
        <v>45107</v>
      </c>
      <c r="C879" t="s">
        <v>905</v>
      </c>
      <c r="D879" t="s">
        <v>21</v>
      </c>
      <c r="E879">
        <v>20</v>
      </c>
      <c r="F879" s="3" t="s">
        <v>22</v>
      </c>
      <c r="G879">
        <v>1</v>
      </c>
      <c r="H879" s="4">
        <v>30</v>
      </c>
      <c r="I879" s="4">
        <v>30</v>
      </c>
      <c r="J879" t="s">
        <v>777</v>
      </c>
      <c r="K879" t="str">
        <f>IFERROR(VLOOKUP(F879&amp;"|"&amp;H879,Feature_Mappings!$A$2:$C$16,2,FALSE()),"")</f>
        <v>Graphic T-Shirt</v>
      </c>
      <c r="L879" t="str">
        <f>IFERROR(VLOOKUP(F879&amp;"|"&amp;H879,Feature_Mappings!$A$2:$C$16,3,FALSE()),"")</f>
        <v>ThreadWorks Apparel</v>
      </c>
      <c r="M879" t="str">
        <f>IFERROR(VLOOKUP(J879,Feature_Mappings!$D$2:$E$5,2,FALSE()),"")</f>
        <v>Ethan Parker</v>
      </c>
      <c r="N879" t="s">
        <v>778</v>
      </c>
      <c r="O879" t="str">
        <f>IFERROR(INDEX(Store_Manager!$A$2:$A$5,MATCH(M879,Store_Manager!$B$2:$B$5,0)),"")</f>
        <v>MGR004</v>
      </c>
    </row>
    <row r="880" spans="1:15" ht="15.75" customHeight="1">
      <c r="A880">
        <v>879</v>
      </c>
      <c r="B880" s="2">
        <v>45286</v>
      </c>
      <c r="C880" t="s">
        <v>906</v>
      </c>
      <c r="D880" t="s">
        <v>16</v>
      </c>
      <c r="E880">
        <v>23</v>
      </c>
      <c r="F880" s="3" t="s">
        <v>22</v>
      </c>
      <c r="G880">
        <v>1</v>
      </c>
      <c r="H880" s="4">
        <v>30</v>
      </c>
      <c r="I880" s="4">
        <v>30</v>
      </c>
      <c r="J880" t="s">
        <v>777</v>
      </c>
      <c r="K880" t="str">
        <f>IFERROR(VLOOKUP(F880&amp;"|"&amp;H880,Feature_Mappings!$A$2:$C$16,2,FALSE()),"")</f>
        <v>Graphic T-Shirt</v>
      </c>
      <c r="L880" t="str">
        <f>IFERROR(VLOOKUP(F880&amp;"|"&amp;H880,Feature_Mappings!$A$2:$C$16,3,FALSE()),"")</f>
        <v>ThreadWorks Apparel</v>
      </c>
      <c r="M880" t="str">
        <f>IFERROR(VLOOKUP(J880,Feature_Mappings!$D$2:$E$5,2,FALSE()),"")</f>
        <v>Ethan Parker</v>
      </c>
      <c r="N880" t="s">
        <v>778</v>
      </c>
      <c r="O880" t="str">
        <f>IFERROR(INDEX(Store_Manager!$A$2:$A$5,MATCH(M880,Store_Manager!$B$2:$B$5,0)),"")</f>
        <v>MGR004</v>
      </c>
    </row>
    <row r="881" spans="1:15" ht="15.75" customHeight="1">
      <c r="A881">
        <v>880</v>
      </c>
      <c r="B881" s="2">
        <v>45159</v>
      </c>
      <c r="C881" t="s">
        <v>907</v>
      </c>
      <c r="D881" t="s">
        <v>16</v>
      </c>
      <c r="E881">
        <v>22</v>
      </c>
      <c r="F881" s="3" t="s">
        <v>17</v>
      </c>
      <c r="G881">
        <v>2</v>
      </c>
      <c r="H881" s="4">
        <v>500</v>
      </c>
      <c r="I881" s="4">
        <v>1000</v>
      </c>
      <c r="J881" t="s">
        <v>777</v>
      </c>
      <c r="K881" t="str">
        <f>IFERROR(VLOOKUP(F881&amp;"|"&amp;H881,Feature_Mappings!$A$2:$C$16,2,FALSE()),"")</f>
        <v>LED Beauty Device</v>
      </c>
      <c r="L881" t="str">
        <f>IFERROR(VLOOKUP(F881&amp;"|"&amp;H881,Feature_Mappings!$A$2:$C$16,3,FALSE()),"")</f>
        <v>BeautyTech Pro</v>
      </c>
      <c r="M881" t="str">
        <f>IFERROR(VLOOKUP(J881,Feature_Mappings!$D$2:$E$5,2,FALSE()),"")</f>
        <v>Ethan Parker</v>
      </c>
      <c r="N881" t="s">
        <v>778</v>
      </c>
      <c r="O881" t="str">
        <f>IFERROR(INDEX(Store_Manager!$A$2:$A$5,MATCH(M881,Store_Manager!$B$2:$B$5,0)),"")</f>
        <v>MGR004</v>
      </c>
    </row>
    <row r="882" spans="1:15" ht="15.75" customHeight="1">
      <c r="A882">
        <v>881</v>
      </c>
      <c r="B882" s="2">
        <v>45065</v>
      </c>
      <c r="C882" t="s">
        <v>908</v>
      </c>
      <c r="D882" t="s">
        <v>16</v>
      </c>
      <c r="E882">
        <v>22</v>
      </c>
      <c r="F882" s="3" t="s">
        <v>24</v>
      </c>
      <c r="G882">
        <v>1</v>
      </c>
      <c r="H882" s="4">
        <v>300</v>
      </c>
      <c r="I882" s="4">
        <v>300</v>
      </c>
      <c r="J882" t="s">
        <v>777</v>
      </c>
      <c r="K882" t="str">
        <f>IFERROR(VLOOKUP(F882&amp;"|"&amp;H882,Feature_Mappings!$A$2:$C$16,2,FALSE()),"")</f>
        <v>Tablet</v>
      </c>
      <c r="L882" t="str">
        <f>IFERROR(VLOOKUP(F882&amp;"|"&amp;H882,Feature_Mappings!$A$2:$C$16,3,FALSE()),"")</f>
        <v>NextGen Devices</v>
      </c>
      <c r="M882" t="str">
        <f>IFERROR(VLOOKUP(J882,Feature_Mappings!$D$2:$E$5,2,FALSE()),"")</f>
        <v>Ethan Parker</v>
      </c>
      <c r="N882" t="s">
        <v>778</v>
      </c>
      <c r="O882" t="str">
        <f>IFERROR(INDEX(Store_Manager!$A$2:$A$5,MATCH(M882,Store_Manager!$B$2:$B$5,0)),"")</f>
        <v>MGR004</v>
      </c>
    </row>
    <row r="883" spans="1:15" ht="15.75" customHeight="1">
      <c r="A883">
        <v>882</v>
      </c>
      <c r="B883" s="2">
        <v>45083</v>
      </c>
      <c r="C883" t="s">
        <v>909</v>
      </c>
      <c r="D883" t="s">
        <v>21</v>
      </c>
      <c r="E883">
        <v>64</v>
      </c>
      <c r="F883" s="3" t="s">
        <v>24</v>
      </c>
      <c r="G883">
        <v>2</v>
      </c>
      <c r="H883" s="4">
        <v>25</v>
      </c>
      <c r="I883" s="4">
        <v>50</v>
      </c>
      <c r="J883" t="s">
        <v>777</v>
      </c>
      <c r="K883" t="str">
        <f>IFERROR(VLOOKUP(F883&amp;"|"&amp;H883,Feature_Mappings!$A$2:$C$16,2,FALSE()),"")</f>
        <v>USB-C Charger</v>
      </c>
      <c r="L883" t="str">
        <f>IFERROR(VLOOKUP(F883&amp;"|"&amp;H883,Feature_Mappings!$A$2:$C$16,3,FALSE()),"")</f>
        <v>VoltEdge Electronics</v>
      </c>
      <c r="M883" t="str">
        <f>IFERROR(VLOOKUP(J883,Feature_Mappings!$D$2:$E$5,2,FALSE()),"")</f>
        <v>Ethan Parker</v>
      </c>
      <c r="N883" t="s">
        <v>778</v>
      </c>
      <c r="O883" t="str">
        <f>IFERROR(INDEX(Store_Manager!$A$2:$A$5,MATCH(M883,Store_Manager!$B$2:$B$5,0)),"")</f>
        <v>MGR004</v>
      </c>
    </row>
    <row r="884" spans="1:15" ht="15.75" customHeight="1">
      <c r="A884">
        <v>883</v>
      </c>
      <c r="B884" s="2">
        <v>45055</v>
      </c>
      <c r="C884" t="s">
        <v>910</v>
      </c>
      <c r="D884" t="s">
        <v>16</v>
      </c>
      <c r="E884">
        <v>40</v>
      </c>
      <c r="F884" s="3" t="s">
        <v>24</v>
      </c>
      <c r="G884">
        <v>1</v>
      </c>
      <c r="H884" s="4">
        <v>500</v>
      </c>
      <c r="I884" s="4">
        <v>500</v>
      </c>
      <c r="J884" t="s">
        <v>777</v>
      </c>
      <c r="K884" t="str">
        <f>IFERROR(VLOOKUP(F884&amp;"|"&amp;H884,Feature_Mappings!$A$2:$C$16,2,FALSE()),"")</f>
        <v>Smartphone</v>
      </c>
      <c r="L884" t="str">
        <f>IFERROR(VLOOKUP(F884&amp;"|"&amp;H884,Feature_Mappings!$A$2:$C$16,3,FALSE()),"")</f>
        <v>NovaTech Wholesale</v>
      </c>
      <c r="M884" t="str">
        <f>IFERROR(VLOOKUP(J884,Feature_Mappings!$D$2:$E$5,2,FALSE()),"")</f>
        <v>Ethan Parker</v>
      </c>
      <c r="N884" t="s">
        <v>778</v>
      </c>
      <c r="O884" t="str">
        <f>IFERROR(INDEX(Store_Manager!$A$2:$A$5,MATCH(M884,Store_Manager!$B$2:$B$5,0)),"")</f>
        <v>MGR004</v>
      </c>
    </row>
    <row r="885" spans="1:15" ht="15.75" customHeight="1">
      <c r="A885">
        <v>884</v>
      </c>
      <c r="B885" s="2">
        <v>45045</v>
      </c>
      <c r="C885" t="s">
        <v>911</v>
      </c>
      <c r="D885" t="s">
        <v>21</v>
      </c>
      <c r="E885">
        <v>26</v>
      </c>
      <c r="F885" s="3" t="s">
        <v>22</v>
      </c>
      <c r="G885">
        <v>2</v>
      </c>
      <c r="H885" s="4">
        <v>30</v>
      </c>
      <c r="I885" s="4">
        <v>60</v>
      </c>
      <c r="J885" t="s">
        <v>777</v>
      </c>
      <c r="K885" t="str">
        <f>IFERROR(VLOOKUP(F885&amp;"|"&amp;H885,Feature_Mappings!$A$2:$C$16,2,FALSE()),"")</f>
        <v>Graphic T-Shirt</v>
      </c>
      <c r="L885" t="str">
        <f>IFERROR(VLOOKUP(F885&amp;"|"&amp;H885,Feature_Mappings!$A$2:$C$16,3,FALSE()),"")</f>
        <v>ThreadWorks Apparel</v>
      </c>
      <c r="M885" t="str">
        <f>IFERROR(VLOOKUP(J885,Feature_Mappings!$D$2:$E$5,2,FALSE()),"")</f>
        <v>Ethan Parker</v>
      </c>
      <c r="N885" t="s">
        <v>778</v>
      </c>
      <c r="O885" t="str">
        <f>IFERROR(INDEX(Store_Manager!$A$2:$A$5,MATCH(M885,Store_Manager!$B$2:$B$5,0)),"")</f>
        <v>MGR004</v>
      </c>
    </row>
    <row r="886" spans="1:15" ht="15.75" customHeight="1">
      <c r="A886">
        <v>885</v>
      </c>
      <c r="B886" s="2">
        <v>44988</v>
      </c>
      <c r="C886" t="s">
        <v>912</v>
      </c>
      <c r="D886" t="s">
        <v>21</v>
      </c>
      <c r="E886">
        <v>52</v>
      </c>
      <c r="F886" s="3" t="s">
        <v>22</v>
      </c>
      <c r="G886">
        <v>4</v>
      </c>
      <c r="H886" s="4">
        <v>30</v>
      </c>
      <c r="I886" s="4">
        <v>120</v>
      </c>
      <c r="J886" t="s">
        <v>777</v>
      </c>
      <c r="K886" t="str">
        <f>IFERROR(VLOOKUP(F886&amp;"|"&amp;H886,Feature_Mappings!$A$2:$C$16,2,FALSE()),"")</f>
        <v>Graphic T-Shirt</v>
      </c>
      <c r="L886" t="str">
        <f>IFERROR(VLOOKUP(F886&amp;"|"&amp;H886,Feature_Mappings!$A$2:$C$16,3,FALSE()),"")</f>
        <v>ThreadWorks Apparel</v>
      </c>
      <c r="M886" t="str">
        <f>IFERROR(VLOOKUP(J886,Feature_Mappings!$D$2:$E$5,2,FALSE()),"")</f>
        <v>Ethan Parker</v>
      </c>
      <c r="N886" t="s">
        <v>778</v>
      </c>
      <c r="O886" t="str">
        <f>IFERROR(INDEX(Store_Manager!$A$2:$A$5,MATCH(M886,Store_Manager!$B$2:$B$5,0)),"")</f>
        <v>MGR004</v>
      </c>
    </row>
    <row r="887" spans="1:15" ht="15.75" customHeight="1">
      <c r="A887">
        <v>886</v>
      </c>
      <c r="B887" s="2">
        <v>45025</v>
      </c>
      <c r="C887" t="s">
        <v>913</v>
      </c>
      <c r="D887" t="s">
        <v>16</v>
      </c>
      <c r="E887">
        <v>37</v>
      </c>
      <c r="F887" s="3" t="s">
        <v>24</v>
      </c>
      <c r="G887">
        <v>3</v>
      </c>
      <c r="H887" s="4">
        <v>300</v>
      </c>
      <c r="I887" s="4">
        <v>900</v>
      </c>
      <c r="J887" t="s">
        <v>777</v>
      </c>
      <c r="K887" t="str">
        <f>IFERROR(VLOOKUP(F887&amp;"|"&amp;H887,Feature_Mappings!$A$2:$C$16,2,FALSE()),"")</f>
        <v>Tablet</v>
      </c>
      <c r="L887" t="str">
        <f>IFERROR(VLOOKUP(F887&amp;"|"&amp;H887,Feature_Mappings!$A$2:$C$16,3,FALSE()),"")</f>
        <v>NextGen Devices</v>
      </c>
      <c r="M887" t="str">
        <f>IFERROR(VLOOKUP(J887,Feature_Mappings!$D$2:$E$5,2,FALSE()),"")</f>
        <v>Ethan Parker</v>
      </c>
      <c r="N887" t="s">
        <v>778</v>
      </c>
      <c r="O887" t="str">
        <f>IFERROR(INDEX(Store_Manager!$A$2:$A$5,MATCH(M887,Store_Manager!$B$2:$B$5,0)),"")</f>
        <v>MGR004</v>
      </c>
    </row>
    <row r="888" spans="1:15" ht="15.75" customHeight="1">
      <c r="A888">
        <v>887</v>
      </c>
      <c r="B888" s="2">
        <v>45088</v>
      </c>
      <c r="C888" t="s">
        <v>914</v>
      </c>
      <c r="D888" t="s">
        <v>16</v>
      </c>
      <c r="E888">
        <v>59</v>
      </c>
      <c r="F888" s="3" t="s">
        <v>22</v>
      </c>
      <c r="G888">
        <v>4</v>
      </c>
      <c r="H888" s="4">
        <v>25</v>
      </c>
      <c r="I888" s="4">
        <v>100</v>
      </c>
      <c r="J888" t="s">
        <v>777</v>
      </c>
      <c r="K888" t="str">
        <f>IFERROR(VLOOKUP(F888&amp;"|"&amp;H888,Feature_Mappings!$A$2:$C$16,2,FALSE()),"")</f>
        <v>Cotton Socks</v>
      </c>
      <c r="L888" t="str">
        <f>IFERROR(VLOOKUP(F888&amp;"|"&amp;H888,Feature_Mappings!$A$2:$C$16,3,FALSE()),"")</f>
        <v>Urban Basics Co.</v>
      </c>
      <c r="M888" t="str">
        <f>IFERROR(VLOOKUP(J888,Feature_Mappings!$D$2:$E$5,2,FALSE()),"")</f>
        <v>Ethan Parker</v>
      </c>
      <c r="N888" t="s">
        <v>778</v>
      </c>
      <c r="O888" t="str">
        <f>IFERROR(INDEX(Store_Manager!$A$2:$A$5,MATCH(M888,Store_Manager!$B$2:$B$5,0)),"")</f>
        <v>MGR004</v>
      </c>
    </row>
    <row r="889" spans="1:15" ht="15.75" customHeight="1">
      <c r="A889">
        <v>888</v>
      </c>
      <c r="B889" s="2">
        <v>44988</v>
      </c>
      <c r="C889" t="s">
        <v>915</v>
      </c>
      <c r="D889" t="s">
        <v>21</v>
      </c>
      <c r="E889">
        <v>52</v>
      </c>
      <c r="F889" s="3" t="s">
        <v>24</v>
      </c>
      <c r="G889">
        <v>4</v>
      </c>
      <c r="H889" s="4">
        <v>25</v>
      </c>
      <c r="I889" s="4">
        <v>100</v>
      </c>
      <c r="J889" t="s">
        <v>777</v>
      </c>
      <c r="K889" t="str">
        <f>IFERROR(VLOOKUP(F889&amp;"|"&amp;H889,Feature_Mappings!$A$2:$C$16,2,FALSE()),"")</f>
        <v>USB-C Charger</v>
      </c>
      <c r="L889" t="str">
        <f>IFERROR(VLOOKUP(F889&amp;"|"&amp;H889,Feature_Mappings!$A$2:$C$16,3,FALSE()),"")</f>
        <v>VoltEdge Electronics</v>
      </c>
      <c r="M889" t="str">
        <f>IFERROR(VLOOKUP(J889,Feature_Mappings!$D$2:$E$5,2,FALSE()),"")</f>
        <v>Ethan Parker</v>
      </c>
      <c r="N889" t="s">
        <v>778</v>
      </c>
      <c r="O889" t="str">
        <f>IFERROR(INDEX(Store_Manager!$A$2:$A$5,MATCH(M889,Store_Manager!$B$2:$B$5,0)),"")</f>
        <v>MGR004</v>
      </c>
    </row>
    <row r="890" spans="1:15" ht="15.75" customHeight="1">
      <c r="A890">
        <v>889</v>
      </c>
      <c r="B890" s="2">
        <v>45201</v>
      </c>
      <c r="C890" t="s">
        <v>916</v>
      </c>
      <c r="D890" t="s">
        <v>21</v>
      </c>
      <c r="E890">
        <v>35</v>
      </c>
      <c r="F890" s="3" t="s">
        <v>24</v>
      </c>
      <c r="G890">
        <v>1</v>
      </c>
      <c r="H890" s="4">
        <v>50</v>
      </c>
      <c r="I890" s="4">
        <v>50</v>
      </c>
      <c r="J890" t="s">
        <v>777</v>
      </c>
      <c r="K890" t="str">
        <f>IFERROR(VLOOKUP(F890&amp;"|"&amp;H890,Feature_Mappings!$A$2:$C$16,2,FALSE()),"")</f>
        <v>Bluetooth Speaker</v>
      </c>
      <c r="L890" t="str">
        <f>IFERROR(VLOOKUP(F890&amp;"|"&amp;H890,Feature_Mappings!$A$2:$C$16,3,FALSE()),"")</f>
        <v>SoundSphere Supply</v>
      </c>
      <c r="M890" t="str">
        <f>IFERROR(VLOOKUP(J890,Feature_Mappings!$D$2:$E$5,2,FALSE()),"")</f>
        <v>Ethan Parker</v>
      </c>
      <c r="N890" t="s">
        <v>778</v>
      </c>
      <c r="O890" t="str">
        <f>IFERROR(INDEX(Store_Manager!$A$2:$A$5,MATCH(M890,Store_Manager!$B$2:$B$5,0)),"")</f>
        <v>MGR004</v>
      </c>
    </row>
    <row r="891" spans="1:15" ht="15.75" customHeight="1">
      <c r="A891">
        <v>890</v>
      </c>
      <c r="B891" s="2">
        <v>45280</v>
      </c>
      <c r="C891" t="s">
        <v>917</v>
      </c>
      <c r="D891" t="s">
        <v>16</v>
      </c>
      <c r="E891">
        <v>34</v>
      </c>
      <c r="F891" s="3" t="s">
        <v>24</v>
      </c>
      <c r="G891">
        <v>2</v>
      </c>
      <c r="H891" s="4">
        <v>25</v>
      </c>
      <c r="I891" s="4">
        <v>50</v>
      </c>
      <c r="J891" t="s">
        <v>777</v>
      </c>
      <c r="K891" t="str">
        <f>IFERROR(VLOOKUP(F891&amp;"|"&amp;H891,Feature_Mappings!$A$2:$C$16,2,FALSE()),"")</f>
        <v>USB-C Charger</v>
      </c>
      <c r="L891" t="str">
        <f>IFERROR(VLOOKUP(F891&amp;"|"&amp;H891,Feature_Mappings!$A$2:$C$16,3,FALSE()),"")</f>
        <v>VoltEdge Electronics</v>
      </c>
      <c r="M891" t="str">
        <f>IFERROR(VLOOKUP(J891,Feature_Mappings!$D$2:$E$5,2,FALSE()),"")</f>
        <v>Ethan Parker</v>
      </c>
      <c r="N891" t="s">
        <v>778</v>
      </c>
      <c r="O891" t="str">
        <f>IFERROR(INDEX(Store_Manager!$A$2:$A$5,MATCH(M891,Store_Manager!$B$2:$B$5,0)),"")</f>
        <v>MGR004</v>
      </c>
    </row>
    <row r="892" spans="1:15" ht="15.75" customHeight="1">
      <c r="A892">
        <v>891</v>
      </c>
      <c r="B892" s="2">
        <v>45021</v>
      </c>
      <c r="C892" t="s">
        <v>918</v>
      </c>
      <c r="D892" t="s">
        <v>16</v>
      </c>
      <c r="E892">
        <v>41</v>
      </c>
      <c r="F892" s="3" t="s">
        <v>24</v>
      </c>
      <c r="G892">
        <v>3</v>
      </c>
      <c r="H892" s="4">
        <v>300</v>
      </c>
      <c r="I892" s="4">
        <v>900</v>
      </c>
      <c r="J892" t="s">
        <v>777</v>
      </c>
      <c r="K892" t="str">
        <f>IFERROR(VLOOKUP(F892&amp;"|"&amp;H892,Feature_Mappings!$A$2:$C$16,2,FALSE()),"")</f>
        <v>Tablet</v>
      </c>
      <c r="L892" t="str">
        <f>IFERROR(VLOOKUP(F892&amp;"|"&amp;H892,Feature_Mappings!$A$2:$C$16,3,FALSE()),"")</f>
        <v>NextGen Devices</v>
      </c>
      <c r="M892" t="str">
        <f>IFERROR(VLOOKUP(J892,Feature_Mappings!$D$2:$E$5,2,FALSE()),"")</f>
        <v>Ethan Parker</v>
      </c>
      <c r="N892" t="s">
        <v>778</v>
      </c>
      <c r="O892" t="str">
        <f>IFERROR(INDEX(Store_Manager!$A$2:$A$5,MATCH(M892,Store_Manager!$B$2:$B$5,0)),"")</f>
        <v>MGR004</v>
      </c>
    </row>
    <row r="893" spans="1:15" ht="15.75" customHeight="1">
      <c r="A893">
        <v>892</v>
      </c>
      <c r="B893" s="2">
        <v>45025</v>
      </c>
      <c r="C893" t="s">
        <v>919</v>
      </c>
      <c r="D893" t="s">
        <v>16</v>
      </c>
      <c r="E893">
        <v>20</v>
      </c>
      <c r="F893" s="3" t="s">
        <v>24</v>
      </c>
      <c r="G893">
        <v>1</v>
      </c>
      <c r="H893" s="4">
        <v>50</v>
      </c>
      <c r="I893" s="4">
        <v>50</v>
      </c>
      <c r="J893" t="s">
        <v>777</v>
      </c>
      <c r="K893" t="str">
        <f>IFERROR(VLOOKUP(F893&amp;"|"&amp;H893,Feature_Mappings!$A$2:$C$16,2,FALSE()),"")</f>
        <v>Bluetooth Speaker</v>
      </c>
      <c r="L893" t="str">
        <f>IFERROR(VLOOKUP(F893&amp;"|"&amp;H893,Feature_Mappings!$A$2:$C$16,3,FALSE()),"")</f>
        <v>SoundSphere Supply</v>
      </c>
      <c r="M893" t="str">
        <f>IFERROR(VLOOKUP(J893,Feature_Mappings!$D$2:$E$5,2,FALSE()),"")</f>
        <v>Ethan Parker</v>
      </c>
      <c r="N893" t="s">
        <v>778</v>
      </c>
      <c r="O893" t="str">
        <f>IFERROR(INDEX(Store_Manager!$A$2:$A$5,MATCH(M893,Store_Manager!$B$2:$B$5,0)),"")</f>
        <v>MGR004</v>
      </c>
    </row>
    <row r="894" spans="1:15" ht="15.75" customHeight="1">
      <c r="A894">
        <v>893</v>
      </c>
      <c r="B894" s="2">
        <v>45037</v>
      </c>
      <c r="C894" t="s">
        <v>920</v>
      </c>
      <c r="D894" t="s">
        <v>16</v>
      </c>
      <c r="E894">
        <v>49</v>
      </c>
      <c r="F894" s="3" t="s">
        <v>24</v>
      </c>
      <c r="G894">
        <v>1</v>
      </c>
      <c r="H894" s="4">
        <v>50</v>
      </c>
      <c r="I894" s="4">
        <v>50</v>
      </c>
      <c r="J894" t="s">
        <v>777</v>
      </c>
      <c r="K894" t="str">
        <f>IFERROR(VLOOKUP(F894&amp;"|"&amp;H894,Feature_Mappings!$A$2:$C$16,2,FALSE()),"")</f>
        <v>Bluetooth Speaker</v>
      </c>
      <c r="L894" t="str">
        <f>IFERROR(VLOOKUP(F894&amp;"|"&amp;H894,Feature_Mappings!$A$2:$C$16,3,FALSE()),"")</f>
        <v>SoundSphere Supply</v>
      </c>
      <c r="M894" t="str">
        <f>IFERROR(VLOOKUP(J894,Feature_Mappings!$D$2:$E$5,2,FALSE()),"")</f>
        <v>Ethan Parker</v>
      </c>
      <c r="N894" t="s">
        <v>778</v>
      </c>
      <c r="O894" t="str">
        <f>IFERROR(INDEX(Store_Manager!$A$2:$A$5,MATCH(M894,Store_Manager!$B$2:$B$5,0)),"")</f>
        <v>MGR004</v>
      </c>
    </row>
    <row r="895" spans="1:15" ht="15.75" customHeight="1">
      <c r="A895">
        <v>894</v>
      </c>
      <c r="B895" s="2">
        <v>45174</v>
      </c>
      <c r="C895" t="s">
        <v>921</v>
      </c>
      <c r="D895" t="s">
        <v>16</v>
      </c>
      <c r="E895">
        <v>52</v>
      </c>
      <c r="F895" s="3" t="s">
        <v>24</v>
      </c>
      <c r="G895">
        <v>1</v>
      </c>
      <c r="H895" s="4">
        <v>30</v>
      </c>
      <c r="I895" s="4">
        <v>30</v>
      </c>
      <c r="J895" t="s">
        <v>777</v>
      </c>
      <c r="K895" t="str">
        <f>IFERROR(VLOOKUP(F895&amp;"|"&amp;H895,Feature_Mappings!$A$2:$C$16,2,FALSE()),"")</f>
        <v>Wireless Mouse</v>
      </c>
      <c r="L895" t="str">
        <f>IFERROR(VLOOKUP(F895&amp;"|"&amp;H895,Feature_Mappings!$A$2:$C$16,3,FALSE()),"")</f>
        <v>ByteWave Distributors</v>
      </c>
      <c r="M895" t="str">
        <f>IFERROR(VLOOKUP(J895,Feature_Mappings!$D$2:$E$5,2,FALSE()),"")</f>
        <v>Ethan Parker</v>
      </c>
      <c r="N895" t="s">
        <v>778</v>
      </c>
      <c r="O895" t="str">
        <f>IFERROR(INDEX(Store_Manager!$A$2:$A$5,MATCH(M895,Store_Manager!$B$2:$B$5,0)),"")</f>
        <v>MGR004</v>
      </c>
    </row>
    <row r="896" spans="1:15" ht="15.75" customHeight="1">
      <c r="A896">
        <v>895</v>
      </c>
      <c r="B896" s="2">
        <v>45068</v>
      </c>
      <c r="C896" t="s">
        <v>922</v>
      </c>
      <c r="D896" t="s">
        <v>21</v>
      </c>
      <c r="E896">
        <v>55</v>
      </c>
      <c r="F896" s="3" t="s">
        <v>22</v>
      </c>
      <c r="G896">
        <v>4</v>
      </c>
      <c r="H896" s="4">
        <v>30</v>
      </c>
      <c r="I896" s="4">
        <v>120</v>
      </c>
      <c r="J896" t="s">
        <v>777</v>
      </c>
      <c r="K896" t="str">
        <f>IFERROR(VLOOKUP(F896&amp;"|"&amp;H896,Feature_Mappings!$A$2:$C$16,2,FALSE()),"")</f>
        <v>Graphic T-Shirt</v>
      </c>
      <c r="L896" t="str">
        <f>IFERROR(VLOOKUP(F896&amp;"|"&amp;H896,Feature_Mappings!$A$2:$C$16,3,FALSE()),"")</f>
        <v>ThreadWorks Apparel</v>
      </c>
      <c r="M896" t="str">
        <f>IFERROR(VLOOKUP(J896,Feature_Mappings!$D$2:$E$5,2,FALSE()),"")</f>
        <v>Ethan Parker</v>
      </c>
      <c r="N896" t="s">
        <v>778</v>
      </c>
      <c r="O896" t="str">
        <f>IFERROR(INDEX(Store_Manager!$A$2:$A$5,MATCH(M896,Store_Manager!$B$2:$B$5,0)),"")</f>
        <v>MGR004</v>
      </c>
    </row>
    <row r="897" spans="1:15" ht="15.75" customHeight="1">
      <c r="A897">
        <v>896</v>
      </c>
      <c r="B897" s="2">
        <v>45228</v>
      </c>
      <c r="C897" t="s">
        <v>923</v>
      </c>
      <c r="D897" t="s">
        <v>21</v>
      </c>
      <c r="E897">
        <v>30</v>
      </c>
      <c r="F897" s="3" t="s">
        <v>24</v>
      </c>
      <c r="G897">
        <v>2</v>
      </c>
      <c r="H897" s="4">
        <v>25</v>
      </c>
      <c r="I897" s="4">
        <v>50</v>
      </c>
      <c r="J897" t="s">
        <v>777</v>
      </c>
      <c r="K897" t="str">
        <f>IFERROR(VLOOKUP(F897&amp;"|"&amp;H897,Feature_Mappings!$A$2:$C$16,2,FALSE()),"")</f>
        <v>USB-C Charger</v>
      </c>
      <c r="L897" t="str">
        <f>IFERROR(VLOOKUP(F897&amp;"|"&amp;H897,Feature_Mappings!$A$2:$C$16,3,FALSE()),"")</f>
        <v>VoltEdge Electronics</v>
      </c>
      <c r="M897" t="str">
        <f>IFERROR(VLOOKUP(J897,Feature_Mappings!$D$2:$E$5,2,FALSE()),"")</f>
        <v>Ethan Parker</v>
      </c>
      <c r="N897" t="s">
        <v>778</v>
      </c>
      <c r="O897" t="str">
        <f>IFERROR(INDEX(Store_Manager!$A$2:$A$5,MATCH(M897,Store_Manager!$B$2:$B$5,0)),"")</f>
        <v>MGR004</v>
      </c>
    </row>
    <row r="898" spans="1:15" ht="15.75" customHeight="1">
      <c r="A898">
        <v>897</v>
      </c>
      <c r="B898" s="2">
        <v>45195</v>
      </c>
      <c r="C898" t="s">
        <v>924</v>
      </c>
      <c r="D898" t="s">
        <v>21</v>
      </c>
      <c r="E898">
        <v>64</v>
      </c>
      <c r="F898" s="3" t="s">
        <v>24</v>
      </c>
      <c r="G898">
        <v>2</v>
      </c>
      <c r="H898" s="4">
        <v>50</v>
      </c>
      <c r="I898" s="4">
        <v>100</v>
      </c>
      <c r="J898" t="s">
        <v>777</v>
      </c>
      <c r="K898" t="str">
        <f>IFERROR(VLOOKUP(F898&amp;"|"&amp;H898,Feature_Mappings!$A$2:$C$16,2,FALSE()),"")</f>
        <v>Bluetooth Speaker</v>
      </c>
      <c r="L898" t="str">
        <f>IFERROR(VLOOKUP(F898&amp;"|"&amp;H898,Feature_Mappings!$A$2:$C$16,3,FALSE()),"")</f>
        <v>SoundSphere Supply</v>
      </c>
      <c r="M898" t="str">
        <f>IFERROR(VLOOKUP(J898,Feature_Mappings!$D$2:$E$5,2,FALSE()),"")</f>
        <v>Ethan Parker</v>
      </c>
      <c r="N898" t="s">
        <v>778</v>
      </c>
      <c r="O898" t="str">
        <f>IFERROR(INDEX(Store_Manager!$A$2:$A$5,MATCH(M898,Store_Manager!$B$2:$B$5,0)),"")</f>
        <v>MGR004</v>
      </c>
    </row>
    <row r="899" spans="1:15" ht="15.75" customHeight="1">
      <c r="A899">
        <v>898</v>
      </c>
      <c r="B899" s="2">
        <v>45232</v>
      </c>
      <c r="C899" t="s">
        <v>925</v>
      </c>
      <c r="D899" t="s">
        <v>21</v>
      </c>
      <c r="E899">
        <v>42</v>
      </c>
      <c r="F899" s="3" t="s">
        <v>22</v>
      </c>
      <c r="G899">
        <v>3</v>
      </c>
      <c r="H899" s="4">
        <v>30</v>
      </c>
      <c r="I899" s="4">
        <v>90</v>
      </c>
      <c r="J899" t="s">
        <v>777</v>
      </c>
      <c r="K899" t="str">
        <f>IFERROR(VLOOKUP(F899&amp;"|"&amp;H899,Feature_Mappings!$A$2:$C$16,2,FALSE()),"")</f>
        <v>Graphic T-Shirt</v>
      </c>
      <c r="L899" t="str">
        <f>IFERROR(VLOOKUP(F899&amp;"|"&amp;H899,Feature_Mappings!$A$2:$C$16,3,FALSE()),"")</f>
        <v>ThreadWorks Apparel</v>
      </c>
      <c r="M899" t="str">
        <f>IFERROR(VLOOKUP(J899,Feature_Mappings!$D$2:$E$5,2,FALSE()),"")</f>
        <v>Ethan Parker</v>
      </c>
      <c r="N899" t="s">
        <v>778</v>
      </c>
      <c r="O899" t="str">
        <f>IFERROR(INDEX(Store_Manager!$A$2:$A$5,MATCH(M899,Store_Manager!$B$2:$B$5,0)),"")</f>
        <v>MGR004</v>
      </c>
    </row>
    <row r="900" spans="1:15" ht="15.75" customHeight="1">
      <c r="A900">
        <v>899</v>
      </c>
      <c r="B900" s="2">
        <v>45071</v>
      </c>
      <c r="C900" t="s">
        <v>926</v>
      </c>
      <c r="D900" t="s">
        <v>16</v>
      </c>
      <c r="E900">
        <v>26</v>
      </c>
      <c r="F900" s="3" t="s">
        <v>22</v>
      </c>
      <c r="G900">
        <v>2</v>
      </c>
      <c r="H900" s="4">
        <v>300</v>
      </c>
      <c r="I900" s="4">
        <v>600</v>
      </c>
      <c r="J900" t="s">
        <v>777</v>
      </c>
      <c r="K900" t="str">
        <f>IFERROR(VLOOKUP(F900&amp;"|"&amp;H900,Feature_Mappings!$A$2:$C$16,2,FALSE()),"")</f>
        <v>Leather Jacket</v>
      </c>
      <c r="L900" t="str">
        <f>IFERROR(VLOOKUP(F900&amp;"|"&amp;H900,Feature_Mappings!$A$2:$C$16,3,FALSE()),"")</f>
        <v>Metro Style Manufacturing</v>
      </c>
      <c r="M900" t="str">
        <f>IFERROR(VLOOKUP(J900,Feature_Mappings!$D$2:$E$5,2,FALSE()),"")</f>
        <v>Ethan Parker</v>
      </c>
      <c r="N900" t="s">
        <v>778</v>
      </c>
      <c r="O900" t="str">
        <f>IFERROR(INDEX(Store_Manager!$A$2:$A$5,MATCH(M900,Store_Manager!$B$2:$B$5,0)),"")</f>
        <v>MGR004</v>
      </c>
    </row>
    <row r="901" spans="1:15" ht="15.75" customHeight="1">
      <c r="A901">
        <v>900</v>
      </c>
      <c r="B901" s="2">
        <v>44978</v>
      </c>
      <c r="C901" t="s">
        <v>927</v>
      </c>
      <c r="D901" t="s">
        <v>16</v>
      </c>
      <c r="E901">
        <v>21</v>
      </c>
      <c r="F901" s="3" t="s">
        <v>22</v>
      </c>
      <c r="G901">
        <v>2</v>
      </c>
      <c r="H901" s="4">
        <v>30</v>
      </c>
      <c r="I901" s="4">
        <v>60</v>
      </c>
      <c r="J901" t="s">
        <v>777</v>
      </c>
      <c r="K901" t="str">
        <f>IFERROR(VLOOKUP(F901&amp;"|"&amp;H901,Feature_Mappings!$A$2:$C$16,2,FALSE()),"")</f>
        <v>Graphic T-Shirt</v>
      </c>
      <c r="L901" t="str">
        <f>IFERROR(VLOOKUP(F901&amp;"|"&amp;H901,Feature_Mappings!$A$2:$C$16,3,FALSE()),"")</f>
        <v>ThreadWorks Apparel</v>
      </c>
      <c r="M901" t="str">
        <f>IFERROR(VLOOKUP(J901,Feature_Mappings!$D$2:$E$5,2,FALSE()),"")</f>
        <v>Ethan Parker</v>
      </c>
      <c r="N901" t="s">
        <v>778</v>
      </c>
      <c r="O901" t="str">
        <f>IFERROR(INDEX(Store_Manager!$A$2:$A$5,MATCH(M901,Store_Manager!$B$2:$B$5,0)),"")</f>
        <v>MGR004</v>
      </c>
    </row>
    <row r="902" spans="1:15" ht="15.75" customHeight="1">
      <c r="A902">
        <v>901</v>
      </c>
      <c r="B902" s="2">
        <v>45026</v>
      </c>
      <c r="C902" t="s">
        <v>928</v>
      </c>
      <c r="D902" t="s">
        <v>16</v>
      </c>
      <c r="E902">
        <v>31</v>
      </c>
      <c r="F902" s="3" t="s">
        <v>24</v>
      </c>
      <c r="G902">
        <v>1</v>
      </c>
      <c r="H902" s="4">
        <v>30</v>
      </c>
      <c r="I902" s="4">
        <v>30</v>
      </c>
      <c r="J902" t="s">
        <v>777</v>
      </c>
      <c r="K902" t="str">
        <f>IFERROR(VLOOKUP(F902&amp;"|"&amp;H902,Feature_Mappings!$A$2:$C$16,2,FALSE()),"")</f>
        <v>Wireless Mouse</v>
      </c>
      <c r="L902" t="str">
        <f>IFERROR(VLOOKUP(F902&amp;"|"&amp;H902,Feature_Mappings!$A$2:$C$16,3,FALSE()),"")</f>
        <v>ByteWave Distributors</v>
      </c>
      <c r="M902" t="str">
        <f>IFERROR(VLOOKUP(J902,Feature_Mappings!$D$2:$E$5,2,FALSE()),"")</f>
        <v>Ethan Parker</v>
      </c>
      <c r="N902" t="s">
        <v>778</v>
      </c>
      <c r="O902" t="str">
        <f>IFERROR(INDEX(Store_Manager!$A$2:$A$5,MATCH(M902,Store_Manager!$B$2:$B$5,0)),"")</f>
        <v>MGR004</v>
      </c>
    </row>
    <row r="903" spans="1:15" ht="15.75" customHeight="1">
      <c r="A903">
        <v>902</v>
      </c>
      <c r="B903" s="2">
        <v>45078</v>
      </c>
      <c r="C903" t="s">
        <v>929</v>
      </c>
      <c r="D903" t="s">
        <v>21</v>
      </c>
      <c r="E903">
        <v>54</v>
      </c>
      <c r="F903" s="3" t="s">
        <v>17</v>
      </c>
      <c r="G903">
        <v>1</v>
      </c>
      <c r="H903" s="4">
        <v>50</v>
      </c>
      <c r="I903" s="4">
        <v>50</v>
      </c>
      <c r="J903" t="s">
        <v>777</v>
      </c>
      <c r="K903" t="str">
        <f>IFERROR(VLOOKUP(F903&amp;"|"&amp;H903,Feature_Mappings!$A$2:$C$16,2,FALSE()),"")</f>
        <v>Eau de Parfum</v>
      </c>
      <c r="L903" t="str">
        <f>IFERROR(VLOOKUP(F903&amp;"|"&amp;H903,Feature_Mappings!$A$2:$C$16,3,FALSE()),"")</f>
        <v>Luxe Aroma Labs</v>
      </c>
      <c r="M903" t="str">
        <f>IFERROR(VLOOKUP(J903,Feature_Mappings!$D$2:$E$5,2,FALSE()),"")</f>
        <v>Ethan Parker</v>
      </c>
      <c r="N903" t="s">
        <v>778</v>
      </c>
      <c r="O903" t="str">
        <f>IFERROR(INDEX(Store_Manager!$A$2:$A$5,MATCH(M903,Store_Manager!$B$2:$B$5,0)),"")</f>
        <v>MGR004</v>
      </c>
    </row>
    <row r="904" spans="1:15" ht="15.75" customHeight="1">
      <c r="A904">
        <v>903</v>
      </c>
      <c r="B904" s="2">
        <v>45043</v>
      </c>
      <c r="C904" t="s">
        <v>930</v>
      </c>
      <c r="D904" t="s">
        <v>21</v>
      </c>
      <c r="E904">
        <v>51</v>
      </c>
      <c r="F904" s="3" t="s">
        <v>17</v>
      </c>
      <c r="G904">
        <v>4</v>
      </c>
      <c r="H904" s="4">
        <v>50</v>
      </c>
      <c r="I904" s="4">
        <v>200</v>
      </c>
      <c r="J904" t="s">
        <v>777</v>
      </c>
      <c r="K904" t="str">
        <f>IFERROR(VLOOKUP(F904&amp;"|"&amp;H904,Feature_Mappings!$A$2:$C$16,2,FALSE()),"")</f>
        <v>Eau de Parfum</v>
      </c>
      <c r="L904" t="str">
        <f>IFERROR(VLOOKUP(F904&amp;"|"&amp;H904,Feature_Mappings!$A$2:$C$16,3,FALSE()),"")</f>
        <v>Luxe Aroma Labs</v>
      </c>
      <c r="M904" t="str">
        <f>IFERROR(VLOOKUP(J904,Feature_Mappings!$D$2:$E$5,2,FALSE()),"")</f>
        <v>Ethan Parker</v>
      </c>
      <c r="N904" t="s">
        <v>778</v>
      </c>
      <c r="O904" t="str">
        <f>IFERROR(INDEX(Store_Manager!$A$2:$A$5,MATCH(M904,Store_Manager!$B$2:$B$5,0)),"")</f>
        <v>MGR004</v>
      </c>
    </row>
    <row r="905" spans="1:15" ht="15.75" customHeight="1">
      <c r="A905">
        <v>904</v>
      </c>
      <c r="B905" s="2">
        <v>45111</v>
      </c>
      <c r="C905" t="s">
        <v>931</v>
      </c>
      <c r="D905" t="s">
        <v>16</v>
      </c>
      <c r="E905">
        <v>28</v>
      </c>
      <c r="F905" s="3" t="s">
        <v>22</v>
      </c>
      <c r="G905">
        <v>1</v>
      </c>
      <c r="H905" s="4">
        <v>500</v>
      </c>
      <c r="I905" s="4">
        <v>500</v>
      </c>
      <c r="J905" t="s">
        <v>777</v>
      </c>
      <c r="K905" t="str">
        <f>IFERROR(VLOOKUP(F905&amp;"|"&amp;H905,Feature_Mappings!$A$2:$C$16,2,FALSE()),"")</f>
        <v>Designer Coat</v>
      </c>
      <c r="L905" t="str">
        <f>IFERROR(VLOOKUP(F905&amp;"|"&amp;H905,Feature_Mappings!$A$2:$C$16,3,FALSE()),"")</f>
        <v>Prestige Fashion House</v>
      </c>
      <c r="M905" t="str">
        <f>IFERROR(VLOOKUP(J905,Feature_Mappings!$D$2:$E$5,2,FALSE()),"")</f>
        <v>Ethan Parker</v>
      </c>
      <c r="N905" t="s">
        <v>778</v>
      </c>
      <c r="O905" t="str">
        <f>IFERROR(INDEX(Store_Manager!$A$2:$A$5,MATCH(M905,Store_Manager!$B$2:$B$5,0)),"")</f>
        <v>MGR004</v>
      </c>
    </row>
    <row r="906" spans="1:15" ht="15.75" customHeight="1">
      <c r="A906">
        <v>905</v>
      </c>
      <c r="B906" s="2">
        <v>45018</v>
      </c>
      <c r="C906" t="s">
        <v>932</v>
      </c>
      <c r="D906" t="s">
        <v>16</v>
      </c>
      <c r="E906">
        <v>58</v>
      </c>
      <c r="F906" s="3" t="s">
        <v>17</v>
      </c>
      <c r="G906">
        <v>1</v>
      </c>
      <c r="H906" s="4">
        <v>300</v>
      </c>
      <c r="I906" s="4">
        <v>300</v>
      </c>
      <c r="J906" t="s">
        <v>777</v>
      </c>
      <c r="K906" t="str">
        <f>IFERROR(VLOOKUP(F906&amp;"|"&amp;H906,Feature_Mappings!$A$2:$C$16,2,FALSE()),"")</f>
        <v>Skincare Gift Set</v>
      </c>
      <c r="L906" t="str">
        <f>IFERROR(VLOOKUP(F906&amp;"|"&amp;H906,Feature_Mappings!$A$2:$C$16,3,FALSE()),"")</f>
        <v>Radiant Beauty Wholesale</v>
      </c>
      <c r="M906" t="str">
        <f>IFERROR(VLOOKUP(J906,Feature_Mappings!$D$2:$E$5,2,FALSE()),"")</f>
        <v>Ethan Parker</v>
      </c>
      <c r="N906" t="s">
        <v>778</v>
      </c>
      <c r="O906" t="str">
        <f>IFERROR(INDEX(Store_Manager!$A$2:$A$5,MATCH(M906,Store_Manager!$B$2:$B$5,0)),"")</f>
        <v>MGR004</v>
      </c>
    </row>
    <row r="907" spans="1:15" ht="15.75" customHeight="1">
      <c r="A907">
        <v>906</v>
      </c>
      <c r="B907" s="2">
        <v>45081</v>
      </c>
      <c r="C907" t="s">
        <v>933</v>
      </c>
      <c r="D907" t="s">
        <v>21</v>
      </c>
      <c r="E907">
        <v>20</v>
      </c>
      <c r="F907" s="3" t="s">
        <v>22</v>
      </c>
      <c r="G907">
        <v>1</v>
      </c>
      <c r="H907" s="4">
        <v>50</v>
      </c>
      <c r="I907" s="4">
        <v>50</v>
      </c>
      <c r="J907" t="s">
        <v>777</v>
      </c>
      <c r="K907" t="str">
        <f>IFERROR(VLOOKUP(F907&amp;"|"&amp;H907,Feature_Mappings!$A$2:$C$16,2,FALSE()),"")</f>
        <v>Denim Jeans</v>
      </c>
      <c r="L907" t="str">
        <f>IFERROR(VLOOKUP(F907&amp;"|"&amp;H907,Feature_Mappings!$A$2:$C$16,3,FALSE()),"")</f>
        <v>BlueFit Garments</v>
      </c>
      <c r="M907" t="str">
        <f>IFERROR(VLOOKUP(J907,Feature_Mappings!$D$2:$E$5,2,FALSE()),"")</f>
        <v>Ethan Parker</v>
      </c>
      <c r="N907" t="s">
        <v>778</v>
      </c>
      <c r="O907" t="str">
        <f>IFERROR(INDEX(Store_Manager!$A$2:$A$5,MATCH(M907,Store_Manager!$B$2:$B$5,0)),"")</f>
        <v>MGR004</v>
      </c>
    </row>
    <row r="908" spans="1:15" ht="15.75" customHeight="1">
      <c r="A908">
        <v>907</v>
      </c>
      <c r="B908" s="2">
        <v>44934</v>
      </c>
      <c r="C908" t="s">
        <v>934</v>
      </c>
      <c r="D908" t="s">
        <v>21</v>
      </c>
      <c r="E908">
        <v>45</v>
      </c>
      <c r="F908" s="3" t="s">
        <v>24</v>
      </c>
      <c r="G908">
        <v>1</v>
      </c>
      <c r="H908" s="4">
        <v>25</v>
      </c>
      <c r="I908" s="4">
        <v>25</v>
      </c>
      <c r="J908" t="s">
        <v>777</v>
      </c>
      <c r="K908" t="str">
        <f>IFERROR(VLOOKUP(F908&amp;"|"&amp;H908,Feature_Mappings!$A$2:$C$16,2,FALSE()),"")</f>
        <v>USB-C Charger</v>
      </c>
      <c r="L908" t="str">
        <f>IFERROR(VLOOKUP(F908&amp;"|"&amp;H908,Feature_Mappings!$A$2:$C$16,3,FALSE()),"")</f>
        <v>VoltEdge Electronics</v>
      </c>
      <c r="M908" t="str">
        <f>IFERROR(VLOOKUP(J908,Feature_Mappings!$D$2:$E$5,2,FALSE()),"")</f>
        <v>Ethan Parker</v>
      </c>
      <c r="N908" t="s">
        <v>778</v>
      </c>
      <c r="O908" t="str">
        <f>IFERROR(INDEX(Store_Manager!$A$2:$A$5,MATCH(M908,Store_Manager!$B$2:$B$5,0)),"")</f>
        <v>MGR004</v>
      </c>
    </row>
    <row r="909" spans="1:15" ht="15.75" customHeight="1">
      <c r="A909">
        <v>908</v>
      </c>
      <c r="B909" s="2">
        <v>45289</v>
      </c>
      <c r="C909" t="s">
        <v>935</v>
      </c>
      <c r="D909" t="s">
        <v>16</v>
      </c>
      <c r="E909">
        <v>46</v>
      </c>
      <c r="F909" s="3" t="s">
        <v>17</v>
      </c>
      <c r="G909">
        <v>4</v>
      </c>
      <c r="H909" s="4">
        <v>300</v>
      </c>
      <c r="I909" s="4">
        <v>1200</v>
      </c>
      <c r="J909" t="s">
        <v>777</v>
      </c>
      <c r="K909" t="str">
        <f>IFERROR(VLOOKUP(F909&amp;"|"&amp;H909,Feature_Mappings!$A$2:$C$16,2,FALSE()),"")</f>
        <v>Skincare Gift Set</v>
      </c>
      <c r="L909" t="str">
        <f>IFERROR(VLOOKUP(F909&amp;"|"&amp;H909,Feature_Mappings!$A$2:$C$16,3,FALSE()),"")</f>
        <v>Radiant Beauty Wholesale</v>
      </c>
      <c r="M909" t="str">
        <f>IFERROR(VLOOKUP(J909,Feature_Mappings!$D$2:$E$5,2,FALSE()),"")</f>
        <v>Ethan Parker</v>
      </c>
      <c r="N909" t="s">
        <v>778</v>
      </c>
      <c r="O909" t="str">
        <f>IFERROR(INDEX(Store_Manager!$A$2:$A$5,MATCH(M909,Store_Manager!$B$2:$B$5,0)),"")</f>
        <v>MGR004</v>
      </c>
    </row>
    <row r="910" spans="1:15" ht="15.75" customHeight="1">
      <c r="A910">
        <v>909</v>
      </c>
      <c r="B910" s="2">
        <v>45200</v>
      </c>
      <c r="C910" t="s">
        <v>936</v>
      </c>
      <c r="D910" t="s">
        <v>16</v>
      </c>
      <c r="E910">
        <v>26</v>
      </c>
      <c r="F910" s="3" t="s">
        <v>24</v>
      </c>
      <c r="G910">
        <v>1</v>
      </c>
      <c r="H910" s="4">
        <v>300</v>
      </c>
      <c r="I910" s="4">
        <v>300</v>
      </c>
      <c r="J910" t="s">
        <v>777</v>
      </c>
      <c r="K910" t="str">
        <f>IFERROR(VLOOKUP(F910&amp;"|"&amp;H910,Feature_Mappings!$A$2:$C$16,2,FALSE()),"")</f>
        <v>Tablet</v>
      </c>
      <c r="L910" t="str">
        <f>IFERROR(VLOOKUP(F910&amp;"|"&amp;H910,Feature_Mappings!$A$2:$C$16,3,FALSE()),"")</f>
        <v>NextGen Devices</v>
      </c>
      <c r="M910" t="str">
        <f>IFERROR(VLOOKUP(J910,Feature_Mappings!$D$2:$E$5,2,FALSE()),"")</f>
        <v>Ethan Parker</v>
      </c>
      <c r="N910" t="s">
        <v>778</v>
      </c>
      <c r="O910" t="str">
        <f>IFERROR(INDEX(Store_Manager!$A$2:$A$5,MATCH(M910,Store_Manager!$B$2:$B$5,0)),"")</f>
        <v>MGR004</v>
      </c>
    </row>
    <row r="911" spans="1:15" ht="15.75" customHeight="1">
      <c r="A911">
        <v>910</v>
      </c>
      <c r="B911" s="2">
        <v>44991</v>
      </c>
      <c r="C911" t="s">
        <v>937</v>
      </c>
      <c r="D911" t="s">
        <v>21</v>
      </c>
      <c r="E911">
        <v>20</v>
      </c>
      <c r="F911" s="3" t="s">
        <v>17</v>
      </c>
      <c r="G911">
        <v>3</v>
      </c>
      <c r="H911" s="4">
        <v>50</v>
      </c>
      <c r="I911" s="4">
        <v>150</v>
      </c>
      <c r="J911" t="s">
        <v>777</v>
      </c>
      <c r="K911" t="str">
        <f>IFERROR(VLOOKUP(F911&amp;"|"&amp;H911,Feature_Mappings!$A$2:$C$16,2,FALSE()),"")</f>
        <v>Eau de Parfum</v>
      </c>
      <c r="L911" t="str">
        <f>IFERROR(VLOOKUP(F911&amp;"|"&amp;H911,Feature_Mappings!$A$2:$C$16,3,FALSE()),"")</f>
        <v>Luxe Aroma Labs</v>
      </c>
      <c r="M911" t="str">
        <f>IFERROR(VLOOKUP(J911,Feature_Mappings!$D$2:$E$5,2,FALSE()),"")</f>
        <v>Ethan Parker</v>
      </c>
      <c r="N911" t="s">
        <v>778</v>
      </c>
      <c r="O911" t="str">
        <f>IFERROR(INDEX(Store_Manager!$A$2:$A$5,MATCH(M911,Store_Manager!$B$2:$B$5,0)),"")</f>
        <v>MGR004</v>
      </c>
    </row>
    <row r="912" spans="1:15" ht="15.75" customHeight="1">
      <c r="A912">
        <v>911</v>
      </c>
      <c r="B912" s="2">
        <v>45067</v>
      </c>
      <c r="C912" t="s">
        <v>938</v>
      </c>
      <c r="D912" t="s">
        <v>16</v>
      </c>
      <c r="E912">
        <v>42</v>
      </c>
      <c r="F912" s="3" t="s">
        <v>24</v>
      </c>
      <c r="G912">
        <v>3</v>
      </c>
      <c r="H912" s="4">
        <v>300</v>
      </c>
      <c r="I912" s="4">
        <v>900</v>
      </c>
      <c r="J912" t="s">
        <v>777</v>
      </c>
      <c r="K912" t="str">
        <f>IFERROR(VLOOKUP(F912&amp;"|"&amp;H912,Feature_Mappings!$A$2:$C$16,2,FALSE()),"")</f>
        <v>Tablet</v>
      </c>
      <c r="L912" t="str">
        <f>IFERROR(VLOOKUP(F912&amp;"|"&amp;H912,Feature_Mappings!$A$2:$C$16,3,FALSE()),"")</f>
        <v>NextGen Devices</v>
      </c>
      <c r="M912" t="str">
        <f>IFERROR(VLOOKUP(J912,Feature_Mappings!$D$2:$E$5,2,FALSE()),"")</f>
        <v>Ethan Parker</v>
      </c>
      <c r="N912" t="s">
        <v>778</v>
      </c>
      <c r="O912" t="str">
        <f>IFERROR(INDEX(Store_Manager!$A$2:$A$5,MATCH(M912,Store_Manager!$B$2:$B$5,0)),"")</f>
        <v>MGR004</v>
      </c>
    </row>
    <row r="913" spans="1:15" ht="15.75" customHeight="1">
      <c r="A913">
        <v>912</v>
      </c>
      <c r="B913" s="2">
        <v>44950</v>
      </c>
      <c r="C913" t="s">
        <v>939</v>
      </c>
      <c r="D913" t="s">
        <v>16</v>
      </c>
      <c r="E913">
        <v>51</v>
      </c>
      <c r="F913" s="3" t="s">
        <v>17</v>
      </c>
      <c r="G913">
        <v>3</v>
      </c>
      <c r="H913" s="4">
        <v>50</v>
      </c>
      <c r="I913" s="4">
        <v>150</v>
      </c>
      <c r="J913" t="s">
        <v>777</v>
      </c>
      <c r="K913" t="str">
        <f>IFERROR(VLOOKUP(F913&amp;"|"&amp;H913,Feature_Mappings!$A$2:$C$16,2,FALSE()),"")</f>
        <v>Eau de Parfum</v>
      </c>
      <c r="L913" t="str">
        <f>IFERROR(VLOOKUP(F913&amp;"|"&amp;H913,Feature_Mappings!$A$2:$C$16,3,FALSE()),"")</f>
        <v>Luxe Aroma Labs</v>
      </c>
      <c r="M913" t="str">
        <f>IFERROR(VLOOKUP(J913,Feature_Mappings!$D$2:$E$5,2,FALSE()),"")</f>
        <v>Ethan Parker</v>
      </c>
      <c r="N913" t="s">
        <v>778</v>
      </c>
      <c r="O913" t="str">
        <f>IFERROR(INDEX(Store_Manager!$A$2:$A$5,MATCH(M913,Store_Manager!$B$2:$B$5,0)),"")</f>
        <v>MGR004</v>
      </c>
    </row>
    <row r="914" spans="1:15" ht="15.75" customHeight="1">
      <c r="A914">
        <v>913</v>
      </c>
      <c r="B914" s="2">
        <v>44954</v>
      </c>
      <c r="C914" t="s">
        <v>940</v>
      </c>
      <c r="D914" t="s">
        <v>16</v>
      </c>
      <c r="E914">
        <v>29</v>
      </c>
      <c r="F914" s="3" t="s">
        <v>24</v>
      </c>
      <c r="G914">
        <v>3</v>
      </c>
      <c r="H914" s="4">
        <v>30</v>
      </c>
      <c r="I914" s="4">
        <v>90</v>
      </c>
      <c r="J914" t="s">
        <v>777</v>
      </c>
      <c r="K914" t="str">
        <f>IFERROR(VLOOKUP(F914&amp;"|"&amp;H914,Feature_Mappings!$A$2:$C$16,2,FALSE()),"")</f>
        <v>Wireless Mouse</v>
      </c>
      <c r="L914" t="str">
        <f>IFERROR(VLOOKUP(F914&amp;"|"&amp;H914,Feature_Mappings!$A$2:$C$16,3,FALSE()),"")</f>
        <v>ByteWave Distributors</v>
      </c>
      <c r="M914" t="str">
        <f>IFERROR(VLOOKUP(J914,Feature_Mappings!$D$2:$E$5,2,FALSE()),"")</f>
        <v>Ethan Parker</v>
      </c>
      <c r="N914" t="s">
        <v>778</v>
      </c>
      <c r="O914" t="str">
        <f>IFERROR(INDEX(Store_Manager!$A$2:$A$5,MATCH(M914,Store_Manager!$B$2:$B$5,0)),"")</f>
        <v>MGR004</v>
      </c>
    </row>
    <row r="915" spans="1:15" ht="15.75" customHeight="1">
      <c r="A915">
        <v>914</v>
      </c>
      <c r="B915" s="2">
        <v>45210</v>
      </c>
      <c r="C915" t="s">
        <v>941</v>
      </c>
      <c r="D915" t="s">
        <v>21</v>
      </c>
      <c r="E915">
        <v>59</v>
      </c>
      <c r="F915" s="3" t="s">
        <v>24</v>
      </c>
      <c r="G915">
        <v>1</v>
      </c>
      <c r="H915" s="4">
        <v>500</v>
      </c>
      <c r="I915" s="4">
        <v>500</v>
      </c>
      <c r="J915" t="s">
        <v>777</v>
      </c>
      <c r="K915" t="str">
        <f>IFERROR(VLOOKUP(F915&amp;"|"&amp;H915,Feature_Mappings!$A$2:$C$16,2,FALSE()),"")</f>
        <v>Smartphone</v>
      </c>
      <c r="L915" t="str">
        <f>IFERROR(VLOOKUP(F915&amp;"|"&amp;H915,Feature_Mappings!$A$2:$C$16,3,FALSE()),"")</f>
        <v>NovaTech Wholesale</v>
      </c>
      <c r="M915" t="str">
        <f>IFERROR(VLOOKUP(J915,Feature_Mappings!$D$2:$E$5,2,FALSE()),"")</f>
        <v>Ethan Parker</v>
      </c>
      <c r="N915" t="s">
        <v>778</v>
      </c>
      <c r="O915" t="str">
        <f>IFERROR(INDEX(Store_Manager!$A$2:$A$5,MATCH(M915,Store_Manager!$B$2:$B$5,0)),"")</f>
        <v>MGR004</v>
      </c>
    </row>
    <row r="916" spans="1:15" ht="15.75" customHeight="1">
      <c r="A916">
        <v>915</v>
      </c>
      <c r="B916" s="2">
        <v>45076</v>
      </c>
      <c r="C916" t="s">
        <v>942</v>
      </c>
      <c r="D916" t="s">
        <v>21</v>
      </c>
      <c r="E916">
        <v>26</v>
      </c>
      <c r="F916" s="3" t="s">
        <v>17</v>
      </c>
      <c r="G916">
        <v>3</v>
      </c>
      <c r="H916" s="4">
        <v>30</v>
      </c>
      <c r="I916" s="4">
        <v>90</v>
      </c>
      <c r="J916" t="s">
        <v>777</v>
      </c>
      <c r="K916" t="str">
        <f>IFERROR(VLOOKUP(F916&amp;"|"&amp;H916,Feature_Mappings!$A$2:$C$16,2,FALSE()),"")</f>
        <v>Facial Cleanser</v>
      </c>
      <c r="L916" t="str">
        <f>IFERROR(VLOOKUP(F916&amp;"|"&amp;H916,Feature_Mappings!$A$2:$C$16,3,FALSE()),"")</f>
        <v>PureDerma Supplies</v>
      </c>
      <c r="M916" t="str">
        <f>IFERROR(VLOOKUP(J916,Feature_Mappings!$D$2:$E$5,2,FALSE()),"")</f>
        <v>Ethan Parker</v>
      </c>
      <c r="N916" t="s">
        <v>778</v>
      </c>
      <c r="O916" t="str">
        <f>IFERROR(INDEX(Store_Manager!$A$2:$A$5,MATCH(M916,Store_Manager!$B$2:$B$5,0)),"")</f>
        <v>MGR004</v>
      </c>
    </row>
    <row r="917" spans="1:15" ht="15.75" customHeight="1">
      <c r="A917">
        <v>916</v>
      </c>
      <c r="B917" s="2">
        <v>45284</v>
      </c>
      <c r="C917" t="s">
        <v>943</v>
      </c>
      <c r="D917" t="s">
        <v>21</v>
      </c>
      <c r="E917">
        <v>32</v>
      </c>
      <c r="F917" s="3" t="s">
        <v>24</v>
      </c>
      <c r="G917">
        <v>1</v>
      </c>
      <c r="H917" s="4">
        <v>50</v>
      </c>
      <c r="I917" s="4">
        <v>50</v>
      </c>
      <c r="J917" t="s">
        <v>777</v>
      </c>
      <c r="K917" t="str">
        <f>IFERROR(VLOOKUP(F917&amp;"|"&amp;H917,Feature_Mappings!$A$2:$C$16,2,FALSE()),"")</f>
        <v>Bluetooth Speaker</v>
      </c>
      <c r="L917" t="str">
        <f>IFERROR(VLOOKUP(F917&amp;"|"&amp;H917,Feature_Mappings!$A$2:$C$16,3,FALSE()),"")</f>
        <v>SoundSphere Supply</v>
      </c>
      <c r="M917" t="str">
        <f>IFERROR(VLOOKUP(J917,Feature_Mappings!$D$2:$E$5,2,FALSE()),"")</f>
        <v>Ethan Parker</v>
      </c>
      <c r="N917" t="s">
        <v>778</v>
      </c>
      <c r="O917" t="str">
        <f>IFERROR(INDEX(Store_Manager!$A$2:$A$5,MATCH(M917,Store_Manager!$B$2:$B$5,0)),"")</f>
        <v>MGR004</v>
      </c>
    </row>
    <row r="918" spans="1:15" ht="15.75" customHeight="1">
      <c r="A918">
        <v>917</v>
      </c>
      <c r="B918" s="2">
        <v>44991</v>
      </c>
      <c r="C918" t="s">
        <v>944</v>
      </c>
      <c r="D918" t="s">
        <v>21</v>
      </c>
      <c r="E918">
        <v>57</v>
      </c>
      <c r="F918" s="3" t="s">
        <v>24</v>
      </c>
      <c r="G918">
        <v>4</v>
      </c>
      <c r="H918" s="4">
        <v>50</v>
      </c>
      <c r="I918" s="4">
        <v>200</v>
      </c>
      <c r="J918" t="s">
        <v>777</v>
      </c>
      <c r="K918" t="str">
        <f>IFERROR(VLOOKUP(F918&amp;"|"&amp;H918,Feature_Mappings!$A$2:$C$16,2,FALSE()),"")</f>
        <v>Bluetooth Speaker</v>
      </c>
      <c r="L918" t="str">
        <f>IFERROR(VLOOKUP(F918&amp;"|"&amp;H918,Feature_Mappings!$A$2:$C$16,3,FALSE()),"")</f>
        <v>SoundSphere Supply</v>
      </c>
      <c r="M918" t="str">
        <f>IFERROR(VLOOKUP(J918,Feature_Mappings!$D$2:$E$5,2,FALSE()),"")</f>
        <v>Ethan Parker</v>
      </c>
      <c r="N918" t="s">
        <v>778</v>
      </c>
      <c r="O918" t="str">
        <f>IFERROR(INDEX(Store_Manager!$A$2:$A$5,MATCH(M918,Store_Manager!$B$2:$B$5,0)),"")</f>
        <v>MGR004</v>
      </c>
    </row>
    <row r="919" spans="1:15" ht="15.75" customHeight="1">
      <c r="A919">
        <v>918</v>
      </c>
      <c r="B919" s="2">
        <v>45253</v>
      </c>
      <c r="C919" t="s">
        <v>945</v>
      </c>
      <c r="D919" t="s">
        <v>21</v>
      </c>
      <c r="E919">
        <v>42</v>
      </c>
      <c r="F919" s="3" t="s">
        <v>24</v>
      </c>
      <c r="G919">
        <v>3</v>
      </c>
      <c r="H919" s="4">
        <v>30</v>
      </c>
      <c r="I919" s="4">
        <v>90</v>
      </c>
      <c r="J919" t="s">
        <v>777</v>
      </c>
      <c r="K919" t="str">
        <f>IFERROR(VLOOKUP(F919&amp;"|"&amp;H919,Feature_Mappings!$A$2:$C$16,2,FALSE()),"")</f>
        <v>Wireless Mouse</v>
      </c>
      <c r="L919" t="str">
        <f>IFERROR(VLOOKUP(F919&amp;"|"&amp;H919,Feature_Mappings!$A$2:$C$16,3,FALSE()),"")</f>
        <v>ByteWave Distributors</v>
      </c>
      <c r="M919" t="str">
        <f>IFERROR(VLOOKUP(J919,Feature_Mappings!$D$2:$E$5,2,FALSE()),"")</f>
        <v>Ethan Parker</v>
      </c>
      <c r="N919" t="s">
        <v>778</v>
      </c>
      <c r="O919" t="str">
        <f>IFERROR(INDEX(Store_Manager!$A$2:$A$5,MATCH(M919,Store_Manager!$B$2:$B$5,0)),"")</f>
        <v>MGR004</v>
      </c>
    </row>
    <row r="920" spans="1:15" ht="15.75" customHeight="1">
      <c r="A920">
        <v>919</v>
      </c>
      <c r="B920" s="2">
        <v>45178</v>
      </c>
      <c r="C920" t="s">
        <v>946</v>
      </c>
      <c r="D920" t="s">
        <v>21</v>
      </c>
      <c r="E920">
        <v>22</v>
      </c>
      <c r="F920" s="3" t="s">
        <v>17</v>
      </c>
      <c r="G920">
        <v>2</v>
      </c>
      <c r="H920" s="4">
        <v>25</v>
      </c>
      <c r="I920" s="4">
        <v>50</v>
      </c>
      <c r="J920" t="s">
        <v>777</v>
      </c>
      <c r="K920" t="str">
        <f>IFERROR(VLOOKUP(F920&amp;"|"&amp;H920,Feature_Mappings!$A$2:$C$16,2,FALSE()),"")</f>
        <v>Lip Balm</v>
      </c>
      <c r="L920" t="str">
        <f>IFERROR(VLOOKUP(F920&amp;"|"&amp;H920,Feature_Mappings!$A$2:$C$16,3,FALSE()),"")</f>
        <v>GlowSource Cosmetics</v>
      </c>
      <c r="M920" t="str">
        <f>IFERROR(VLOOKUP(J920,Feature_Mappings!$D$2:$E$5,2,FALSE()),"")</f>
        <v>Ethan Parker</v>
      </c>
      <c r="N920" t="s">
        <v>778</v>
      </c>
      <c r="O920" t="str">
        <f>IFERROR(INDEX(Store_Manager!$A$2:$A$5,MATCH(M920,Store_Manager!$B$2:$B$5,0)),"")</f>
        <v>MGR004</v>
      </c>
    </row>
    <row r="921" spans="1:15" ht="15.75" customHeight="1">
      <c r="A921">
        <v>920</v>
      </c>
      <c r="B921" s="2">
        <v>44979</v>
      </c>
      <c r="C921" t="s">
        <v>947</v>
      </c>
      <c r="D921" t="s">
        <v>21</v>
      </c>
      <c r="E921">
        <v>28</v>
      </c>
      <c r="F921" s="3" t="s">
        <v>17</v>
      </c>
      <c r="G921">
        <v>3</v>
      </c>
      <c r="H921" s="4">
        <v>25</v>
      </c>
      <c r="I921" s="4">
        <v>75</v>
      </c>
      <c r="J921" t="s">
        <v>777</v>
      </c>
      <c r="K921" t="str">
        <f>IFERROR(VLOOKUP(F921&amp;"|"&amp;H921,Feature_Mappings!$A$2:$C$16,2,FALSE()),"")</f>
        <v>Lip Balm</v>
      </c>
      <c r="L921" t="str">
        <f>IFERROR(VLOOKUP(F921&amp;"|"&amp;H921,Feature_Mappings!$A$2:$C$16,3,FALSE()),"")</f>
        <v>GlowSource Cosmetics</v>
      </c>
      <c r="M921" t="str">
        <f>IFERROR(VLOOKUP(J921,Feature_Mappings!$D$2:$E$5,2,FALSE()),"")</f>
        <v>Ethan Parker</v>
      </c>
      <c r="N921" t="s">
        <v>778</v>
      </c>
      <c r="O921" t="str">
        <f>IFERROR(INDEX(Store_Manager!$A$2:$A$5,MATCH(M921,Store_Manager!$B$2:$B$5,0)),"")</f>
        <v>MGR004</v>
      </c>
    </row>
    <row r="922" spans="1:15" ht="15.75" customHeight="1">
      <c r="A922">
        <v>921</v>
      </c>
      <c r="B922" s="2">
        <v>44933</v>
      </c>
      <c r="C922" t="s">
        <v>948</v>
      </c>
      <c r="D922" t="s">
        <v>16</v>
      </c>
      <c r="E922">
        <v>51</v>
      </c>
      <c r="F922" s="3" t="s">
        <v>24</v>
      </c>
      <c r="G922">
        <v>3</v>
      </c>
      <c r="H922" s="4">
        <v>25</v>
      </c>
      <c r="I922" s="4">
        <v>75</v>
      </c>
      <c r="J922" t="s">
        <v>777</v>
      </c>
      <c r="K922" t="str">
        <f>IFERROR(VLOOKUP(F922&amp;"|"&amp;H922,Feature_Mappings!$A$2:$C$16,2,FALSE()),"")</f>
        <v>USB-C Charger</v>
      </c>
      <c r="L922" t="str">
        <f>IFERROR(VLOOKUP(F922&amp;"|"&amp;H922,Feature_Mappings!$A$2:$C$16,3,FALSE()),"")</f>
        <v>VoltEdge Electronics</v>
      </c>
      <c r="M922" t="str">
        <f>IFERROR(VLOOKUP(J922,Feature_Mappings!$D$2:$E$5,2,FALSE()),"")</f>
        <v>Ethan Parker</v>
      </c>
      <c r="N922" t="s">
        <v>778</v>
      </c>
      <c r="O922" t="str">
        <f>IFERROR(INDEX(Store_Manager!$A$2:$A$5,MATCH(M922,Store_Manager!$B$2:$B$5,0)),"")</f>
        <v>MGR004</v>
      </c>
    </row>
    <row r="923" spans="1:15" ht="15.75" customHeight="1">
      <c r="A923">
        <v>922</v>
      </c>
      <c r="B923" s="2">
        <v>45220</v>
      </c>
      <c r="C923" t="s">
        <v>949</v>
      </c>
      <c r="D923" t="s">
        <v>16</v>
      </c>
      <c r="E923">
        <v>41</v>
      </c>
      <c r="F923" s="3" t="s">
        <v>24</v>
      </c>
      <c r="G923">
        <v>1</v>
      </c>
      <c r="H923" s="4">
        <v>50</v>
      </c>
      <c r="I923" s="4">
        <v>50</v>
      </c>
      <c r="J923" t="s">
        <v>777</v>
      </c>
      <c r="K923" t="str">
        <f>IFERROR(VLOOKUP(F923&amp;"|"&amp;H923,Feature_Mappings!$A$2:$C$16,2,FALSE()),"")</f>
        <v>Bluetooth Speaker</v>
      </c>
      <c r="L923" t="str">
        <f>IFERROR(VLOOKUP(F923&amp;"|"&amp;H923,Feature_Mappings!$A$2:$C$16,3,FALSE()),"")</f>
        <v>SoundSphere Supply</v>
      </c>
      <c r="M923" t="str">
        <f>IFERROR(VLOOKUP(J923,Feature_Mappings!$D$2:$E$5,2,FALSE()),"")</f>
        <v>Ethan Parker</v>
      </c>
      <c r="N923" t="s">
        <v>778</v>
      </c>
      <c r="O923" t="str">
        <f>IFERROR(INDEX(Store_Manager!$A$2:$A$5,MATCH(M923,Store_Manager!$B$2:$B$5,0)),"")</f>
        <v>MGR004</v>
      </c>
    </row>
    <row r="924" spans="1:15" ht="15.75" customHeight="1">
      <c r="A924">
        <v>923</v>
      </c>
      <c r="B924" s="2">
        <v>45072</v>
      </c>
      <c r="C924" t="s">
        <v>950</v>
      </c>
      <c r="D924" t="s">
        <v>16</v>
      </c>
      <c r="E924">
        <v>32</v>
      </c>
      <c r="F924" s="3" t="s">
        <v>17</v>
      </c>
      <c r="G924">
        <v>3</v>
      </c>
      <c r="H924" s="4">
        <v>300</v>
      </c>
      <c r="I924" s="4">
        <v>900</v>
      </c>
      <c r="J924" t="s">
        <v>777</v>
      </c>
      <c r="K924" t="str">
        <f>IFERROR(VLOOKUP(F924&amp;"|"&amp;H924,Feature_Mappings!$A$2:$C$16,2,FALSE()),"")</f>
        <v>Skincare Gift Set</v>
      </c>
      <c r="L924" t="str">
        <f>IFERROR(VLOOKUP(F924&amp;"|"&amp;H924,Feature_Mappings!$A$2:$C$16,3,FALSE()),"")</f>
        <v>Radiant Beauty Wholesale</v>
      </c>
      <c r="M924" t="str">
        <f>IFERROR(VLOOKUP(J924,Feature_Mappings!$D$2:$E$5,2,FALSE()),"")</f>
        <v>Ethan Parker</v>
      </c>
      <c r="N924" t="s">
        <v>778</v>
      </c>
      <c r="O924" t="str">
        <f>IFERROR(INDEX(Store_Manager!$A$2:$A$5,MATCH(M924,Store_Manager!$B$2:$B$5,0)),"")</f>
        <v>MGR004</v>
      </c>
    </row>
    <row r="925" spans="1:15" ht="15.75" customHeight="1">
      <c r="A925">
        <v>924</v>
      </c>
      <c r="B925" s="2">
        <v>45167</v>
      </c>
      <c r="C925" t="s">
        <v>951</v>
      </c>
      <c r="D925" t="s">
        <v>16</v>
      </c>
      <c r="E925">
        <v>55</v>
      </c>
      <c r="F925" s="3" t="s">
        <v>17</v>
      </c>
      <c r="G925">
        <v>2</v>
      </c>
      <c r="H925" s="4">
        <v>50</v>
      </c>
      <c r="I925" s="4">
        <v>100</v>
      </c>
      <c r="J925" t="s">
        <v>777</v>
      </c>
      <c r="K925" t="str">
        <f>IFERROR(VLOOKUP(F925&amp;"|"&amp;H925,Feature_Mappings!$A$2:$C$16,2,FALSE()),"")</f>
        <v>Eau de Parfum</v>
      </c>
      <c r="L925" t="str">
        <f>IFERROR(VLOOKUP(F925&amp;"|"&amp;H925,Feature_Mappings!$A$2:$C$16,3,FALSE()),"")</f>
        <v>Luxe Aroma Labs</v>
      </c>
      <c r="M925" t="str">
        <f>IFERROR(VLOOKUP(J925,Feature_Mappings!$D$2:$E$5,2,FALSE()),"")</f>
        <v>Ethan Parker</v>
      </c>
      <c r="N925" t="s">
        <v>778</v>
      </c>
      <c r="O925" t="str">
        <f>IFERROR(INDEX(Store_Manager!$A$2:$A$5,MATCH(M925,Store_Manager!$B$2:$B$5,0)),"")</f>
        <v>MGR004</v>
      </c>
    </row>
    <row r="926" spans="1:15" ht="15.75" customHeight="1">
      <c r="A926">
        <v>925</v>
      </c>
      <c r="B926" s="2">
        <v>45172</v>
      </c>
      <c r="C926" t="s">
        <v>952</v>
      </c>
      <c r="D926" t="s">
        <v>16</v>
      </c>
      <c r="E926">
        <v>25</v>
      </c>
      <c r="F926" s="3" t="s">
        <v>24</v>
      </c>
      <c r="G926">
        <v>1</v>
      </c>
      <c r="H926" s="4">
        <v>300</v>
      </c>
      <c r="I926" s="4">
        <v>300</v>
      </c>
      <c r="J926" t="s">
        <v>777</v>
      </c>
      <c r="K926" t="str">
        <f>IFERROR(VLOOKUP(F926&amp;"|"&amp;H926,Feature_Mappings!$A$2:$C$16,2,FALSE()),"")</f>
        <v>Tablet</v>
      </c>
      <c r="L926" t="str">
        <f>IFERROR(VLOOKUP(F926&amp;"|"&amp;H926,Feature_Mappings!$A$2:$C$16,3,FALSE()),"")</f>
        <v>NextGen Devices</v>
      </c>
      <c r="M926" t="str">
        <f>IFERROR(VLOOKUP(J926,Feature_Mappings!$D$2:$E$5,2,FALSE()),"")</f>
        <v>Ethan Parker</v>
      </c>
      <c r="N926" t="s">
        <v>778</v>
      </c>
      <c r="O926" t="str">
        <f>IFERROR(INDEX(Store_Manager!$A$2:$A$5,MATCH(M926,Store_Manager!$B$2:$B$5,0)),"")</f>
        <v>MGR004</v>
      </c>
    </row>
    <row r="927" spans="1:15" ht="15.75" customHeight="1">
      <c r="A927">
        <v>926</v>
      </c>
      <c r="B927" s="2">
        <v>45152</v>
      </c>
      <c r="C927" t="s">
        <v>953</v>
      </c>
      <c r="D927" t="s">
        <v>16</v>
      </c>
      <c r="E927">
        <v>22</v>
      </c>
      <c r="F927" s="3" t="s">
        <v>24</v>
      </c>
      <c r="G927">
        <v>1</v>
      </c>
      <c r="H927" s="4">
        <v>30</v>
      </c>
      <c r="I927" s="4">
        <v>30</v>
      </c>
      <c r="J927" t="s">
        <v>777</v>
      </c>
      <c r="K927" t="str">
        <f>IFERROR(VLOOKUP(F927&amp;"|"&amp;H927,Feature_Mappings!$A$2:$C$16,2,FALSE()),"")</f>
        <v>Wireless Mouse</v>
      </c>
      <c r="L927" t="str">
        <f>IFERROR(VLOOKUP(F927&amp;"|"&amp;H927,Feature_Mappings!$A$2:$C$16,3,FALSE()),"")</f>
        <v>ByteWave Distributors</v>
      </c>
      <c r="M927" t="str">
        <f>IFERROR(VLOOKUP(J927,Feature_Mappings!$D$2:$E$5,2,FALSE()),"")</f>
        <v>Ethan Parker</v>
      </c>
      <c r="N927" t="s">
        <v>778</v>
      </c>
      <c r="O927" t="str">
        <f>IFERROR(INDEX(Store_Manager!$A$2:$A$5,MATCH(M927,Store_Manager!$B$2:$B$5,0)),"")</f>
        <v>MGR004</v>
      </c>
    </row>
    <row r="928" spans="1:15" ht="15.75" customHeight="1">
      <c r="A928">
        <v>927</v>
      </c>
      <c r="B928" s="2">
        <v>45101</v>
      </c>
      <c r="C928" t="s">
        <v>954</v>
      </c>
      <c r="D928" t="s">
        <v>16</v>
      </c>
      <c r="E928">
        <v>43</v>
      </c>
      <c r="F928" s="3" t="s">
        <v>24</v>
      </c>
      <c r="G928">
        <v>4</v>
      </c>
      <c r="H928" s="4">
        <v>500</v>
      </c>
      <c r="I928" s="4">
        <v>2000</v>
      </c>
      <c r="J928" t="s">
        <v>777</v>
      </c>
      <c r="K928" t="str">
        <f>IFERROR(VLOOKUP(F928&amp;"|"&amp;H928,Feature_Mappings!$A$2:$C$16,2,FALSE()),"")</f>
        <v>Smartphone</v>
      </c>
      <c r="L928" t="str">
        <f>IFERROR(VLOOKUP(F928&amp;"|"&amp;H928,Feature_Mappings!$A$2:$C$16,3,FALSE()),"")</f>
        <v>NovaTech Wholesale</v>
      </c>
      <c r="M928" t="str">
        <f>IFERROR(VLOOKUP(J928,Feature_Mappings!$D$2:$E$5,2,FALSE()),"")</f>
        <v>Ethan Parker</v>
      </c>
      <c r="N928" t="s">
        <v>778</v>
      </c>
      <c r="O928" t="str">
        <f>IFERROR(INDEX(Store_Manager!$A$2:$A$5,MATCH(M928,Store_Manager!$B$2:$B$5,0)),"")</f>
        <v>MGR004</v>
      </c>
    </row>
    <row r="929" spans="1:15" ht="15.75" customHeight="1">
      <c r="A929">
        <v>928</v>
      </c>
      <c r="B929" s="2">
        <v>45021</v>
      </c>
      <c r="C929" t="s">
        <v>955</v>
      </c>
      <c r="D929" t="s">
        <v>21</v>
      </c>
      <c r="E929">
        <v>35</v>
      </c>
      <c r="F929" s="3" t="s">
        <v>22</v>
      </c>
      <c r="G929">
        <v>4</v>
      </c>
      <c r="H929" s="4">
        <v>300</v>
      </c>
      <c r="I929" s="4">
        <v>1200</v>
      </c>
      <c r="J929" t="s">
        <v>777</v>
      </c>
      <c r="K929" t="str">
        <f>IFERROR(VLOOKUP(F929&amp;"|"&amp;H929,Feature_Mappings!$A$2:$C$16,2,FALSE()),"")</f>
        <v>Leather Jacket</v>
      </c>
      <c r="L929" t="str">
        <f>IFERROR(VLOOKUP(F929&amp;"|"&amp;H929,Feature_Mappings!$A$2:$C$16,3,FALSE()),"")</f>
        <v>Metro Style Manufacturing</v>
      </c>
      <c r="M929" t="str">
        <f>IFERROR(VLOOKUP(J929,Feature_Mappings!$D$2:$E$5,2,FALSE()),"")</f>
        <v>Ethan Parker</v>
      </c>
      <c r="N929" t="s">
        <v>778</v>
      </c>
      <c r="O929" t="str">
        <f>IFERROR(INDEX(Store_Manager!$A$2:$A$5,MATCH(M929,Store_Manager!$B$2:$B$5,0)),"")</f>
        <v>MGR004</v>
      </c>
    </row>
    <row r="930" spans="1:15" ht="15.75" customHeight="1">
      <c r="A930">
        <v>929</v>
      </c>
      <c r="B930" s="2">
        <v>44953</v>
      </c>
      <c r="C930" t="s">
        <v>956</v>
      </c>
      <c r="D930" t="s">
        <v>21</v>
      </c>
      <c r="E930">
        <v>23</v>
      </c>
      <c r="F930" s="3" t="s">
        <v>17</v>
      </c>
      <c r="G930">
        <v>3</v>
      </c>
      <c r="H930" s="4">
        <v>25</v>
      </c>
      <c r="I930" s="4">
        <v>75</v>
      </c>
      <c r="J930" t="s">
        <v>777</v>
      </c>
      <c r="K930" t="str">
        <f>IFERROR(VLOOKUP(F930&amp;"|"&amp;H930,Feature_Mappings!$A$2:$C$16,2,FALSE()),"")</f>
        <v>Lip Balm</v>
      </c>
      <c r="L930" t="str">
        <f>IFERROR(VLOOKUP(F930&amp;"|"&amp;H930,Feature_Mappings!$A$2:$C$16,3,FALSE()),"")</f>
        <v>GlowSource Cosmetics</v>
      </c>
      <c r="M930" t="str">
        <f>IFERROR(VLOOKUP(J930,Feature_Mappings!$D$2:$E$5,2,FALSE()),"")</f>
        <v>Ethan Parker</v>
      </c>
      <c r="N930" t="s">
        <v>778</v>
      </c>
      <c r="O930" t="str">
        <f>IFERROR(INDEX(Store_Manager!$A$2:$A$5,MATCH(M930,Store_Manager!$B$2:$B$5,0)),"")</f>
        <v>MGR004</v>
      </c>
    </row>
    <row r="931" spans="1:15" ht="15.75" customHeight="1">
      <c r="A931">
        <v>930</v>
      </c>
      <c r="B931" s="2">
        <v>45056</v>
      </c>
      <c r="C931" t="s">
        <v>957</v>
      </c>
      <c r="D931" t="s">
        <v>16</v>
      </c>
      <c r="E931">
        <v>54</v>
      </c>
      <c r="F931" s="3" t="s">
        <v>22</v>
      </c>
      <c r="G931">
        <v>4</v>
      </c>
      <c r="H931" s="4">
        <v>50</v>
      </c>
      <c r="I931" s="4">
        <v>200</v>
      </c>
      <c r="J931" t="s">
        <v>777</v>
      </c>
      <c r="K931" t="str">
        <f>IFERROR(VLOOKUP(F931&amp;"|"&amp;H931,Feature_Mappings!$A$2:$C$16,2,FALSE()),"")</f>
        <v>Denim Jeans</v>
      </c>
      <c r="L931" t="str">
        <f>IFERROR(VLOOKUP(F931&amp;"|"&amp;H931,Feature_Mappings!$A$2:$C$16,3,FALSE()),"")</f>
        <v>BlueFit Garments</v>
      </c>
      <c r="M931" t="str">
        <f>IFERROR(VLOOKUP(J931,Feature_Mappings!$D$2:$E$5,2,FALSE()),"")</f>
        <v>Ethan Parker</v>
      </c>
      <c r="N931" t="s">
        <v>778</v>
      </c>
      <c r="O931" t="str">
        <f>IFERROR(INDEX(Store_Manager!$A$2:$A$5,MATCH(M931,Store_Manager!$B$2:$B$5,0)),"")</f>
        <v>MGR004</v>
      </c>
    </row>
    <row r="932" spans="1:15" ht="15.75" customHeight="1">
      <c r="A932">
        <v>931</v>
      </c>
      <c r="B932" s="2">
        <v>45171</v>
      </c>
      <c r="C932" t="s">
        <v>958</v>
      </c>
      <c r="D932" t="s">
        <v>16</v>
      </c>
      <c r="E932">
        <v>30</v>
      </c>
      <c r="F932" s="3" t="s">
        <v>17</v>
      </c>
      <c r="G932">
        <v>4</v>
      </c>
      <c r="H932" s="4">
        <v>30</v>
      </c>
      <c r="I932" s="4">
        <v>120</v>
      </c>
      <c r="J932" t="s">
        <v>777</v>
      </c>
      <c r="K932" t="str">
        <f>IFERROR(VLOOKUP(F932&amp;"|"&amp;H932,Feature_Mappings!$A$2:$C$16,2,FALSE()),"")</f>
        <v>Facial Cleanser</v>
      </c>
      <c r="L932" t="str">
        <f>IFERROR(VLOOKUP(F932&amp;"|"&amp;H932,Feature_Mappings!$A$2:$C$16,3,FALSE()),"")</f>
        <v>PureDerma Supplies</v>
      </c>
      <c r="M932" t="str">
        <f>IFERROR(VLOOKUP(J932,Feature_Mappings!$D$2:$E$5,2,FALSE()),"")</f>
        <v>Ethan Parker</v>
      </c>
      <c r="N932" t="s">
        <v>778</v>
      </c>
      <c r="O932" t="str">
        <f>IFERROR(INDEX(Store_Manager!$A$2:$A$5,MATCH(M932,Store_Manager!$B$2:$B$5,0)),"")</f>
        <v>MGR004</v>
      </c>
    </row>
    <row r="933" spans="1:15" ht="15.75" customHeight="1">
      <c r="A933">
        <v>932</v>
      </c>
      <c r="B933" s="2">
        <v>44985</v>
      </c>
      <c r="C933" t="s">
        <v>959</v>
      </c>
      <c r="D933" t="s">
        <v>21</v>
      </c>
      <c r="E933">
        <v>45</v>
      </c>
      <c r="F933" s="3" t="s">
        <v>17</v>
      </c>
      <c r="G933">
        <v>4</v>
      </c>
      <c r="H933" s="4">
        <v>25</v>
      </c>
      <c r="I933" s="4">
        <v>100</v>
      </c>
      <c r="J933" t="s">
        <v>777</v>
      </c>
      <c r="K933" t="str">
        <f>IFERROR(VLOOKUP(F933&amp;"|"&amp;H933,Feature_Mappings!$A$2:$C$16,2,FALSE()),"")</f>
        <v>Lip Balm</v>
      </c>
      <c r="L933" t="str">
        <f>IFERROR(VLOOKUP(F933&amp;"|"&amp;H933,Feature_Mappings!$A$2:$C$16,3,FALSE()),"")</f>
        <v>GlowSource Cosmetics</v>
      </c>
      <c r="M933" t="str">
        <f>IFERROR(VLOOKUP(J933,Feature_Mappings!$D$2:$E$5,2,FALSE()),"")</f>
        <v>Ethan Parker</v>
      </c>
      <c r="N933" t="s">
        <v>778</v>
      </c>
      <c r="O933" t="str">
        <f>IFERROR(INDEX(Store_Manager!$A$2:$A$5,MATCH(M933,Store_Manager!$B$2:$B$5,0)),"")</f>
        <v>MGR004</v>
      </c>
    </row>
    <row r="934" spans="1:15" ht="15.75" customHeight="1">
      <c r="A934">
        <v>933</v>
      </c>
      <c r="B934" s="2">
        <v>44960</v>
      </c>
      <c r="C934" t="s">
        <v>960</v>
      </c>
      <c r="D934" t="s">
        <v>16</v>
      </c>
      <c r="E934">
        <v>22</v>
      </c>
      <c r="F934" s="3" t="s">
        <v>17</v>
      </c>
      <c r="G934">
        <v>1</v>
      </c>
      <c r="H934" s="4">
        <v>30</v>
      </c>
      <c r="I934" s="4">
        <v>30</v>
      </c>
      <c r="J934" t="s">
        <v>777</v>
      </c>
      <c r="K934" t="str">
        <f>IFERROR(VLOOKUP(F934&amp;"|"&amp;H934,Feature_Mappings!$A$2:$C$16,2,FALSE()),"")</f>
        <v>Facial Cleanser</v>
      </c>
      <c r="L934" t="str">
        <f>IFERROR(VLOOKUP(F934&amp;"|"&amp;H934,Feature_Mappings!$A$2:$C$16,3,FALSE()),"")</f>
        <v>PureDerma Supplies</v>
      </c>
      <c r="M934" t="str">
        <f>IFERROR(VLOOKUP(J934,Feature_Mappings!$D$2:$E$5,2,FALSE()),"")</f>
        <v>Ethan Parker</v>
      </c>
      <c r="N934" t="s">
        <v>778</v>
      </c>
      <c r="O934" t="str">
        <f>IFERROR(INDEX(Store_Manager!$A$2:$A$5,MATCH(M934,Store_Manager!$B$2:$B$5,0)),"")</f>
        <v>MGR004</v>
      </c>
    </row>
    <row r="935" spans="1:15" ht="15.75" customHeight="1">
      <c r="A935">
        <v>934</v>
      </c>
      <c r="B935" s="2">
        <v>45132</v>
      </c>
      <c r="C935" t="s">
        <v>961</v>
      </c>
      <c r="D935" t="s">
        <v>16</v>
      </c>
      <c r="E935">
        <v>30</v>
      </c>
      <c r="F935" s="3" t="s">
        <v>17</v>
      </c>
      <c r="G935">
        <v>1</v>
      </c>
      <c r="H935" s="4">
        <v>500</v>
      </c>
      <c r="I935" s="4">
        <v>500</v>
      </c>
      <c r="J935" t="s">
        <v>777</v>
      </c>
      <c r="K935" t="str">
        <f>IFERROR(VLOOKUP(F935&amp;"|"&amp;H935,Feature_Mappings!$A$2:$C$16,2,FALSE()),"")</f>
        <v>LED Beauty Device</v>
      </c>
      <c r="L935" t="str">
        <f>IFERROR(VLOOKUP(F935&amp;"|"&amp;H935,Feature_Mappings!$A$2:$C$16,3,FALSE()),"")</f>
        <v>BeautyTech Pro</v>
      </c>
      <c r="M935" t="str">
        <f>IFERROR(VLOOKUP(J935,Feature_Mappings!$D$2:$E$5,2,FALSE()),"")</f>
        <v>Ethan Parker</v>
      </c>
      <c r="N935" t="s">
        <v>778</v>
      </c>
      <c r="O935" t="str">
        <f>IFERROR(INDEX(Store_Manager!$A$2:$A$5,MATCH(M935,Store_Manager!$B$2:$B$5,0)),"")</f>
        <v>MGR004</v>
      </c>
    </row>
    <row r="936" spans="1:15" ht="15.75" customHeight="1">
      <c r="A936">
        <v>935</v>
      </c>
      <c r="B936" s="2">
        <v>45178</v>
      </c>
      <c r="C936" t="s">
        <v>962</v>
      </c>
      <c r="D936" t="s">
        <v>21</v>
      </c>
      <c r="E936">
        <v>34</v>
      </c>
      <c r="F936" s="3" t="s">
        <v>17</v>
      </c>
      <c r="G936">
        <v>1</v>
      </c>
      <c r="H936" s="4">
        <v>50</v>
      </c>
      <c r="I936" s="4">
        <v>50</v>
      </c>
      <c r="J936" t="s">
        <v>777</v>
      </c>
      <c r="K936" t="str">
        <f>IFERROR(VLOOKUP(F936&amp;"|"&amp;H936,Feature_Mappings!$A$2:$C$16,2,FALSE()),"")</f>
        <v>Eau de Parfum</v>
      </c>
      <c r="L936" t="str">
        <f>IFERROR(VLOOKUP(F936&amp;"|"&amp;H936,Feature_Mappings!$A$2:$C$16,3,FALSE()),"")</f>
        <v>Luxe Aroma Labs</v>
      </c>
      <c r="M936" t="str">
        <f>IFERROR(VLOOKUP(J936,Feature_Mappings!$D$2:$E$5,2,FALSE()),"")</f>
        <v>Ethan Parker</v>
      </c>
      <c r="N936" t="s">
        <v>778</v>
      </c>
      <c r="O936" t="str">
        <f>IFERROR(INDEX(Store_Manager!$A$2:$A$5,MATCH(M936,Store_Manager!$B$2:$B$5,0)),"")</f>
        <v>MGR004</v>
      </c>
    </row>
    <row r="937" spans="1:15" ht="15.75" customHeight="1">
      <c r="A937">
        <v>936</v>
      </c>
      <c r="B937" s="2">
        <v>44964</v>
      </c>
      <c r="C937" t="s">
        <v>963</v>
      </c>
      <c r="D937" t="s">
        <v>16</v>
      </c>
      <c r="E937">
        <v>57</v>
      </c>
      <c r="F937" s="3" t="s">
        <v>17</v>
      </c>
      <c r="G937">
        <v>4</v>
      </c>
      <c r="H937" s="4">
        <v>50</v>
      </c>
      <c r="I937" s="4">
        <v>200</v>
      </c>
      <c r="J937" t="s">
        <v>777</v>
      </c>
      <c r="K937" t="str">
        <f>IFERROR(VLOOKUP(F937&amp;"|"&amp;H937,Feature_Mappings!$A$2:$C$16,2,FALSE()),"")</f>
        <v>Eau de Parfum</v>
      </c>
      <c r="L937" t="str">
        <f>IFERROR(VLOOKUP(F937&amp;"|"&amp;H937,Feature_Mappings!$A$2:$C$16,3,FALSE()),"")</f>
        <v>Luxe Aroma Labs</v>
      </c>
      <c r="M937" t="str">
        <f>IFERROR(VLOOKUP(J937,Feature_Mappings!$D$2:$E$5,2,FALSE()),"")</f>
        <v>Ethan Parker</v>
      </c>
      <c r="N937" t="s">
        <v>778</v>
      </c>
      <c r="O937" t="str">
        <f>IFERROR(INDEX(Store_Manager!$A$2:$A$5,MATCH(M937,Store_Manager!$B$2:$B$5,0)),"")</f>
        <v>MGR004</v>
      </c>
    </row>
    <row r="938" spans="1:15" ht="15.75" customHeight="1">
      <c r="A938">
        <v>937</v>
      </c>
      <c r="B938" s="2">
        <v>45222</v>
      </c>
      <c r="C938" t="s">
        <v>964</v>
      </c>
      <c r="D938" t="s">
        <v>21</v>
      </c>
      <c r="E938">
        <v>62</v>
      </c>
      <c r="F938" s="3" t="s">
        <v>17</v>
      </c>
      <c r="G938">
        <v>1</v>
      </c>
      <c r="H938" s="4">
        <v>500</v>
      </c>
      <c r="I938" s="4">
        <v>500</v>
      </c>
      <c r="J938" t="s">
        <v>777</v>
      </c>
      <c r="K938" t="str">
        <f>IFERROR(VLOOKUP(F938&amp;"|"&amp;H938,Feature_Mappings!$A$2:$C$16,2,FALSE()),"")</f>
        <v>LED Beauty Device</v>
      </c>
      <c r="L938" t="str">
        <f>IFERROR(VLOOKUP(F938&amp;"|"&amp;H938,Feature_Mappings!$A$2:$C$16,3,FALSE()),"")</f>
        <v>BeautyTech Pro</v>
      </c>
      <c r="M938" t="str">
        <f>IFERROR(VLOOKUP(J938,Feature_Mappings!$D$2:$E$5,2,FALSE()),"")</f>
        <v>Ethan Parker</v>
      </c>
      <c r="N938" t="s">
        <v>778</v>
      </c>
      <c r="O938" t="str">
        <f>IFERROR(INDEX(Store_Manager!$A$2:$A$5,MATCH(M938,Store_Manager!$B$2:$B$5,0)),"")</f>
        <v>MGR004</v>
      </c>
    </row>
    <row r="939" spans="1:15" ht="15.75" customHeight="1">
      <c r="A939">
        <v>938</v>
      </c>
      <c r="B939" s="2">
        <v>45249</v>
      </c>
      <c r="C939" t="s">
        <v>965</v>
      </c>
      <c r="D939" t="s">
        <v>16</v>
      </c>
      <c r="E939">
        <v>49</v>
      </c>
      <c r="F939" s="3" t="s">
        <v>22</v>
      </c>
      <c r="G939">
        <v>4</v>
      </c>
      <c r="H939" s="4">
        <v>50</v>
      </c>
      <c r="I939" s="4">
        <v>200</v>
      </c>
      <c r="J939" t="s">
        <v>777</v>
      </c>
      <c r="K939" t="str">
        <f>IFERROR(VLOOKUP(F939&amp;"|"&amp;H939,Feature_Mappings!$A$2:$C$16,2,FALSE()),"")</f>
        <v>Denim Jeans</v>
      </c>
      <c r="L939" t="str">
        <f>IFERROR(VLOOKUP(F939&amp;"|"&amp;H939,Feature_Mappings!$A$2:$C$16,3,FALSE()),"")</f>
        <v>BlueFit Garments</v>
      </c>
      <c r="M939" t="str">
        <f>IFERROR(VLOOKUP(J939,Feature_Mappings!$D$2:$E$5,2,FALSE()),"")</f>
        <v>Ethan Parker</v>
      </c>
      <c r="N939" t="s">
        <v>778</v>
      </c>
      <c r="O939" t="str">
        <f>IFERROR(INDEX(Store_Manager!$A$2:$A$5,MATCH(M939,Store_Manager!$B$2:$B$5,0)),"")</f>
        <v>MGR004</v>
      </c>
    </row>
    <row r="940" spans="1:15" ht="15.75" customHeight="1">
      <c r="A940">
        <v>939</v>
      </c>
      <c r="B940" s="2">
        <v>45278</v>
      </c>
      <c r="C940" t="s">
        <v>966</v>
      </c>
      <c r="D940" t="s">
        <v>21</v>
      </c>
      <c r="E940">
        <v>46</v>
      </c>
      <c r="F940" s="3" t="s">
        <v>24</v>
      </c>
      <c r="G940">
        <v>1</v>
      </c>
      <c r="H940" s="4">
        <v>300</v>
      </c>
      <c r="I940" s="4">
        <v>300</v>
      </c>
      <c r="J940" t="s">
        <v>777</v>
      </c>
      <c r="K940" t="str">
        <f>IFERROR(VLOOKUP(F940&amp;"|"&amp;H940,Feature_Mappings!$A$2:$C$16,2,FALSE()),"")</f>
        <v>Tablet</v>
      </c>
      <c r="L940" t="str">
        <f>IFERROR(VLOOKUP(F940&amp;"|"&amp;H940,Feature_Mappings!$A$2:$C$16,3,FALSE()),"")</f>
        <v>NextGen Devices</v>
      </c>
      <c r="M940" t="str">
        <f>IFERROR(VLOOKUP(J940,Feature_Mappings!$D$2:$E$5,2,FALSE()),"")</f>
        <v>Ethan Parker</v>
      </c>
      <c r="N940" t="s">
        <v>778</v>
      </c>
      <c r="O940" t="str">
        <f>IFERROR(INDEX(Store_Manager!$A$2:$A$5,MATCH(M940,Store_Manager!$B$2:$B$5,0)),"")</f>
        <v>MGR004</v>
      </c>
    </row>
    <row r="941" spans="1:15" ht="15.75" customHeight="1">
      <c r="A941">
        <v>940</v>
      </c>
      <c r="B941" s="2">
        <v>44954</v>
      </c>
      <c r="C941" t="s">
        <v>967</v>
      </c>
      <c r="D941" t="s">
        <v>21</v>
      </c>
      <c r="E941">
        <v>20</v>
      </c>
      <c r="F941" s="3" t="s">
        <v>24</v>
      </c>
      <c r="G941">
        <v>1</v>
      </c>
      <c r="H941" s="4">
        <v>30</v>
      </c>
      <c r="I941" s="4">
        <v>30</v>
      </c>
      <c r="J941" t="s">
        <v>777</v>
      </c>
      <c r="K941" t="str">
        <f>IFERROR(VLOOKUP(F941&amp;"|"&amp;H941,Feature_Mappings!$A$2:$C$16,2,FALSE()),"")</f>
        <v>Wireless Mouse</v>
      </c>
      <c r="L941" t="str">
        <f>IFERROR(VLOOKUP(F941&amp;"|"&amp;H941,Feature_Mappings!$A$2:$C$16,3,FALSE()),"")</f>
        <v>ByteWave Distributors</v>
      </c>
      <c r="M941" t="str">
        <f>IFERROR(VLOOKUP(J941,Feature_Mappings!$D$2:$E$5,2,FALSE()),"")</f>
        <v>Ethan Parker</v>
      </c>
      <c r="N941" t="s">
        <v>778</v>
      </c>
      <c r="O941" t="str">
        <f>IFERROR(INDEX(Store_Manager!$A$2:$A$5,MATCH(M941,Store_Manager!$B$2:$B$5,0)),"")</f>
        <v>MGR004</v>
      </c>
    </row>
    <row r="942" spans="1:15" ht="15.75" customHeight="1">
      <c r="A942">
        <v>941</v>
      </c>
      <c r="B942" s="2">
        <v>45004</v>
      </c>
      <c r="C942" t="s">
        <v>968</v>
      </c>
      <c r="D942" t="s">
        <v>21</v>
      </c>
      <c r="E942">
        <v>57</v>
      </c>
      <c r="F942" s="3" t="s">
        <v>22</v>
      </c>
      <c r="G942">
        <v>2</v>
      </c>
      <c r="H942" s="4">
        <v>25</v>
      </c>
      <c r="I942" s="4">
        <v>50</v>
      </c>
      <c r="J942" t="s">
        <v>777</v>
      </c>
      <c r="K942" t="str">
        <f>IFERROR(VLOOKUP(F942&amp;"|"&amp;H942,Feature_Mappings!$A$2:$C$16,2,FALSE()),"")</f>
        <v>Cotton Socks</v>
      </c>
      <c r="L942" t="str">
        <f>IFERROR(VLOOKUP(F942&amp;"|"&amp;H942,Feature_Mappings!$A$2:$C$16,3,FALSE()),"")</f>
        <v>Urban Basics Co.</v>
      </c>
      <c r="M942" t="str">
        <f>IFERROR(VLOOKUP(J942,Feature_Mappings!$D$2:$E$5,2,FALSE()),"")</f>
        <v>Ethan Parker</v>
      </c>
      <c r="N942" t="s">
        <v>778</v>
      </c>
      <c r="O942" t="str">
        <f>IFERROR(INDEX(Store_Manager!$A$2:$A$5,MATCH(M942,Store_Manager!$B$2:$B$5,0)),"")</f>
        <v>MGR004</v>
      </c>
    </row>
    <row r="943" spans="1:15" ht="15.75" customHeight="1">
      <c r="A943">
        <v>942</v>
      </c>
      <c r="B943" s="2">
        <v>45003</v>
      </c>
      <c r="C943" t="s">
        <v>969</v>
      </c>
      <c r="D943" t="s">
        <v>16</v>
      </c>
      <c r="E943">
        <v>51</v>
      </c>
      <c r="F943" s="3" t="s">
        <v>22</v>
      </c>
      <c r="G943">
        <v>3</v>
      </c>
      <c r="H943" s="4">
        <v>500</v>
      </c>
      <c r="I943" s="4">
        <v>1500</v>
      </c>
      <c r="J943" t="s">
        <v>777</v>
      </c>
      <c r="K943" t="str">
        <f>IFERROR(VLOOKUP(F943&amp;"|"&amp;H943,Feature_Mappings!$A$2:$C$16,2,FALSE()),"")</f>
        <v>Designer Coat</v>
      </c>
      <c r="L943" t="str">
        <f>IFERROR(VLOOKUP(F943&amp;"|"&amp;H943,Feature_Mappings!$A$2:$C$16,3,FALSE()),"")</f>
        <v>Prestige Fashion House</v>
      </c>
      <c r="M943" t="str">
        <f>IFERROR(VLOOKUP(J943,Feature_Mappings!$D$2:$E$5,2,FALSE()),"")</f>
        <v>Ethan Parker</v>
      </c>
      <c r="N943" t="s">
        <v>778</v>
      </c>
      <c r="O943" t="str">
        <f>IFERROR(INDEX(Store_Manager!$A$2:$A$5,MATCH(M943,Store_Manager!$B$2:$B$5,0)),"")</f>
        <v>MGR004</v>
      </c>
    </row>
    <row r="944" spans="1:15" ht="15.75" customHeight="1">
      <c r="A944">
        <v>943</v>
      </c>
      <c r="B944" s="2">
        <v>45215</v>
      </c>
      <c r="C944" t="s">
        <v>970</v>
      </c>
      <c r="D944" t="s">
        <v>21</v>
      </c>
      <c r="E944">
        <v>57</v>
      </c>
      <c r="F944" s="3" t="s">
        <v>22</v>
      </c>
      <c r="G944">
        <v>4</v>
      </c>
      <c r="H944" s="4">
        <v>300</v>
      </c>
      <c r="I944" s="4">
        <v>1200</v>
      </c>
      <c r="J944" t="s">
        <v>777</v>
      </c>
      <c r="K944" t="str">
        <f>IFERROR(VLOOKUP(F944&amp;"|"&amp;H944,Feature_Mappings!$A$2:$C$16,2,FALSE()),"")</f>
        <v>Leather Jacket</v>
      </c>
      <c r="L944" t="str">
        <f>IFERROR(VLOOKUP(F944&amp;"|"&amp;H944,Feature_Mappings!$A$2:$C$16,3,FALSE()),"")</f>
        <v>Metro Style Manufacturing</v>
      </c>
      <c r="M944" t="str">
        <f>IFERROR(VLOOKUP(J944,Feature_Mappings!$D$2:$E$5,2,FALSE()),"")</f>
        <v>Ethan Parker</v>
      </c>
      <c r="N944" t="s">
        <v>778</v>
      </c>
      <c r="O944" t="str">
        <f>IFERROR(INDEX(Store_Manager!$A$2:$A$5,MATCH(M944,Store_Manager!$B$2:$B$5,0)),"")</f>
        <v>MGR004</v>
      </c>
    </row>
    <row r="945" spans="1:15" ht="15.75" customHeight="1">
      <c r="A945">
        <v>944</v>
      </c>
      <c r="B945" s="2">
        <v>45082</v>
      </c>
      <c r="C945" t="s">
        <v>971</v>
      </c>
      <c r="D945" t="s">
        <v>16</v>
      </c>
      <c r="E945">
        <v>44</v>
      </c>
      <c r="F945" s="3" t="s">
        <v>22</v>
      </c>
      <c r="G945">
        <v>2</v>
      </c>
      <c r="H945" s="4">
        <v>25</v>
      </c>
      <c r="I945" s="4">
        <v>50</v>
      </c>
      <c r="J945" t="s">
        <v>777</v>
      </c>
      <c r="K945" t="str">
        <f>IFERROR(VLOOKUP(F945&amp;"|"&amp;H945,Feature_Mappings!$A$2:$C$16,2,FALSE()),"")</f>
        <v>Cotton Socks</v>
      </c>
      <c r="L945" t="str">
        <f>IFERROR(VLOOKUP(F945&amp;"|"&amp;H945,Feature_Mappings!$A$2:$C$16,3,FALSE()),"")</f>
        <v>Urban Basics Co.</v>
      </c>
      <c r="M945" t="str">
        <f>IFERROR(VLOOKUP(J945,Feature_Mappings!$D$2:$E$5,2,FALSE()),"")</f>
        <v>Ethan Parker</v>
      </c>
      <c r="N945" t="s">
        <v>778</v>
      </c>
      <c r="O945" t="str">
        <f>IFERROR(INDEX(Store_Manager!$A$2:$A$5,MATCH(M945,Store_Manager!$B$2:$B$5,0)),"")</f>
        <v>MGR004</v>
      </c>
    </row>
    <row r="946" spans="1:15" ht="15.75" customHeight="1">
      <c r="A946">
        <v>945</v>
      </c>
      <c r="B946" s="2">
        <v>44970</v>
      </c>
      <c r="C946" t="s">
        <v>972</v>
      </c>
      <c r="D946" t="s">
        <v>16</v>
      </c>
      <c r="E946">
        <v>30</v>
      </c>
      <c r="F946" s="3" t="s">
        <v>17</v>
      </c>
      <c r="G946">
        <v>1</v>
      </c>
      <c r="H946" s="4">
        <v>25</v>
      </c>
      <c r="I946" s="4">
        <v>25</v>
      </c>
      <c r="J946" t="s">
        <v>777</v>
      </c>
      <c r="K946" t="str">
        <f>IFERROR(VLOOKUP(F946&amp;"|"&amp;H946,Feature_Mappings!$A$2:$C$16,2,FALSE()),"")</f>
        <v>Lip Balm</v>
      </c>
      <c r="L946" t="str">
        <f>IFERROR(VLOOKUP(F946&amp;"|"&amp;H946,Feature_Mappings!$A$2:$C$16,3,FALSE()),"")</f>
        <v>GlowSource Cosmetics</v>
      </c>
      <c r="M946" t="str">
        <f>IFERROR(VLOOKUP(J946,Feature_Mappings!$D$2:$E$5,2,FALSE()),"")</f>
        <v>Ethan Parker</v>
      </c>
      <c r="N946" t="s">
        <v>778</v>
      </c>
      <c r="O946" t="str">
        <f>IFERROR(INDEX(Store_Manager!$A$2:$A$5,MATCH(M946,Store_Manager!$B$2:$B$5,0)),"")</f>
        <v>MGR004</v>
      </c>
    </row>
    <row r="947" spans="1:15" ht="15.75" customHeight="1">
      <c r="A947">
        <v>946</v>
      </c>
      <c r="B947" s="2">
        <v>45054</v>
      </c>
      <c r="C947" t="s">
        <v>973</v>
      </c>
      <c r="D947" t="s">
        <v>16</v>
      </c>
      <c r="E947">
        <v>62</v>
      </c>
      <c r="F947" s="3" t="s">
        <v>24</v>
      </c>
      <c r="G947">
        <v>4</v>
      </c>
      <c r="H947" s="4">
        <v>500</v>
      </c>
      <c r="I947" s="4">
        <v>2000</v>
      </c>
      <c r="J947" t="s">
        <v>777</v>
      </c>
      <c r="K947" t="str">
        <f>IFERROR(VLOOKUP(F947&amp;"|"&amp;H947,Feature_Mappings!$A$2:$C$16,2,FALSE()),"")</f>
        <v>Smartphone</v>
      </c>
      <c r="L947" t="str">
        <f>IFERROR(VLOOKUP(F947&amp;"|"&amp;H947,Feature_Mappings!$A$2:$C$16,3,FALSE()),"")</f>
        <v>NovaTech Wholesale</v>
      </c>
      <c r="M947" t="str">
        <f>IFERROR(VLOOKUP(J947,Feature_Mappings!$D$2:$E$5,2,FALSE()),"")</f>
        <v>Ethan Parker</v>
      </c>
      <c r="N947" t="s">
        <v>778</v>
      </c>
      <c r="O947" t="str">
        <f>IFERROR(INDEX(Store_Manager!$A$2:$A$5,MATCH(M947,Store_Manager!$B$2:$B$5,0)),"")</f>
        <v>MGR004</v>
      </c>
    </row>
    <row r="948" spans="1:15" ht="15.75" customHeight="1">
      <c r="A948">
        <v>947</v>
      </c>
      <c r="B948" s="2">
        <v>44987</v>
      </c>
      <c r="C948" t="s">
        <v>974</v>
      </c>
      <c r="D948" t="s">
        <v>16</v>
      </c>
      <c r="E948">
        <v>50</v>
      </c>
      <c r="F948" s="3" t="s">
        <v>17</v>
      </c>
      <c r="G948">
        <v>1</v>
      </c>
      <c r="H948" s="4">
        <v>300</v>
      </c>
      <c r="I948" s="4">
        <v>300</v>
      </c>
      <c r="J948" t="s">
        <v>777</v>
      </c>
      <c r="K948" t="str">
        <f>IFERROR(VLOOKUP(F948&amp;"|"&amp;H948,Feature_Mappings!$A$2:$C$16,2,FALSE()),"")</f>
        <v>Skincare Gift Set</v>
      </c>
      <c r="L948" t="str">
        <f>IFERROR(VLOOKUP(F948&amp;"|"&amp;H948,Feature_Mappings!$A$2:$C$16,3,FALSE()),"")</f>
        <v>Radiant Beauty Wholesale</v>
      </c>
      <c r="M948" t="str">
        <f>IFERROR(VLOOKUP(J948,Feature_Mappings!$D$2:$E$5,2,FALSE()),"")</f>
        <v>Ethan Parker</v>
      </c>
      <c r="N948" t="s">
        <v>778</v>
      </c>
      <c r="O948" t="str">
        <f>IFERROR(INDEX(Store_Manager!$A$2:$A$5,MATCH(M948,Store_Manager!$B$2:$B$5,0)),"")</f>
        <v>MGR004</v>
      </c>
    </row>
    <row r="949" spans="1:15" ht="15.75" customHeight="1">
      <c r="A949">
        <v>948</v>
      </c>
      <c r="B949" s="2">
        <v>45212</v>
      </c>
      <c r="C949" t="s">
        <v>975</v>
      </c>
      <c r="D949" t="s">
        <v>21</v>
      </c>
      <c r="E949">
        <v>23</v>
      </c>
      <c r="F949" s="3" t="s">
        <v>24</v>
      </c>
      <c r="G949">
        <v>3</v>
      </c>
      <c r="H949" s="4">
        <v>25</v>
      </c>
      <c r="I949" s="4">
        <v>75</v>
      </c>
      <c r="J949" t="s">
        <v>777</v>
      </c>
      <c r="K949" t="str">
        <f>IFERROR(VLOOKUP(F949&amp;"|"&amp;H949,Feature_Mappings!$A$2:$C$16,2,FALSE()),"")</f>
        <v>USB-C Charger</v>
      </c>
      <c r="L949" t="str">
        <f>IFERROR(VLOOKUP(F949&amp;"|"&amp;H949,Feature_Mappings!$A$2:$C$16,3,FALSE()),"")</f>
        <v>VoltEdge Electronics</v>
      </c>
      <c r="M949" t="str">
        <f>IFERROR(VLOOKUP(J949,Feature_Mappings!$D$2:$E$5,2,FALSE()),"")</f>
        <v>Ethan Parker</v>
      </c>
      <c r="N949" t="s">
        <v>778</v>
      </c>
      <c r="O949" t="str">
        <f>IFERROR(INDEX(Store_Manager!$A$2:$A$5,MATCH(M949,Store_Manager!$B$2:$B$5,0)),"")</f>
        <v>MGR004</v>
      </c>
    </row>
    <row r="950" spans="1:15" ht="15.75" customHeight="1">
      <c r="A950">
        <v>949</v>
      </c>
      <c r="B950" s="2">
        <v>45140</v>
      </c>
      <c r="C950" t="s">
        <v>976</v>
      </c>
      <c r="D950" t="s">
        <v>21</v>
      </c>
      <c r="E950">
        <v>41</v>
      </c>
      <c r="F950" s="3" t="s">
        <v>24</v>
      </c>
      <c r="G950">
        <v>2</v>
      </c>
      <c r="H950" s="4">
        <v>25</v>
      </c>
      <c r="I950" s="4">
        <v>50</v>
      </c>
      <c r="J950" t="s">
        <v>777</v>
      </c>
      <c r="K950" t="str">
        <f>IFERROR(VLOOKUP(F950&amp;"|"&amp;H950,Feature_Mappings!$A$2:$C$16,2,FALSE()),"")</f>
        <v>USB-C Charger</v>
      </c>
      <c r="L950" t="str">
        <f>IFERROR(VLOOKUP(F950&amp;"|"&amp;H950,Feature_Mappings!$A$2:$C$16,3,FALSE()),"")</f>
        <v>VoltEdge Electronics</v>
      </c>
      <c r="M950" t="str">
        <f>IFERROR(VLOOKUP(J950,Feature_Mappings!$D$2:$E$5,2,FALSE()),"")</f>
        <v>Ethan Parker</v>
      </c>
      <c r="N950" t="s">
        <v>778</v>
      </c>
      <c r="O950" t="str">
        <f>IFERROR(INDEX(Store_Manager!$A$2:$A$5,MATCH(M950,Store_Manager!$B$2:$B$5,0)),"")</f>
        <v>MGR004</v>
      </c>
    </row>
    <row r="951" spans="1:15" ht="15.75" customHeight="1">
      <c r="A951">
        <v>950</v>
      </c>
      <c r="B951" s="2">
        <v>45237</v>
      </c>
      <c r="C951" t="s">
        <v>977</v>
      </c>
      <c r="D951" t="s">
        <v>16</v>
      </c>
      <c r="E951">
        <v>36</v>
      </c>
      <c r="F951" s="3" t="s">
        <v>22</v>
      </c>
      <c r="G951">
        <v>3</v>
      </c>
      <c r="H951" s="4">
        <v>300</v>
      </c>
      <c r="I951" s="4">
        <v>900</v>
      </c>
      <c r="J951" t="s">
        <v>777</v>
      </c>
      <c r="K951" t="str">
        <f>IFERROR(VLOOKUP(F951&amp;"|"&amp;H951,Feature_Mappings!$A$2:$C$16,2,FALSE()),"")</f>
        <v>Leather Jacket</v>
      </c>
      <c r="L951" t="str">
        <f>IFERROR(VLOOKUP(F951&amp;"|"&amp;H951,Feature_Mappings!$A$2:$C$16,3,FALSE()),"")</f>
        <v>Metro Style Manufacturing</v>
      </c>
      <c r="M951" t="str">
        <f>IFERROR(VLOOKUP(J951,Feature_Mappings!$D$2:$E$5,2,FALSE()),"")</f>
        <v>Ethan Parker</v>
      </c>
      <c r="N951" t="s">
        <v>778</v>
      </c>
      <c r="O951" t="str">
        <f>IFERROR(INDEX(Store_Manager!$A$2:$A$5,MATCH(M951,Store_Manager!$B$2:$B$5,0)),"")</f>
        <v>MGR004</v>
      </c>
    </row>
    <row r="952" spans="1:15" ht="15.75" customHeight="1">
      <c r="A952">
        <v>951</v>
      </c>
      <c r="B952" s="2">
        <v>45232</v>
      </c>
      <c r="C952" t="s">
        <v>978</v>
      </c>
      <c r="D952" t="s">
        <v>16</v>
      </c>
      <c r="E952">
        <v>33</v>
      </c>
      <c r="F952" s="3" t="s">
        <v>17</v>
      </c>
      <c r="G952">
        <v>2</v>
      </c>
      <c r="H952" s="4">
        <v>50</v>
      </c>
      <c r="I952" s="4">
        <v>100</v>
      </c>
      <c r="J952" t="s">
        <v>777</v>
      </c>
      <c r="K952" t="str">
        <f>IFERROR(VLOOKUP(F952&amp;"|"&amp;H952,Feature_Mappings!$A$2:$C$16,2,FALSE()),"")</f>
        <v>Eau de Parfum</v>
      </c>
      <c r="L952" t="str">
        <f>IFERROR(VLOOKUP(F952&amp;"|"&amp;H952,Feature_Mappings!$A$2:$C$16,3,FALSE()),"")</f>
        <v>Luxe Aroma Labs</v>
      </c>
      <c r="M952" t="str">
        <f>IFERROR(VLOOKUP(J952,Feature_Mappings!$D$2:$E$5,2,FALSE()),"")</f>
        <v>Ethan Parker</v>
      </c>
      <c r="N952" t="s">
        <v>778</v>
      </c>
      <c r="O952" t="str">
        <f>IFERROR(INDEX(Store_Manager!$A$2:$A$5,MATCH(M952,Store_Manager!$B$2:$B$5,0)),"")</f>
        <v>MGR004</v>
      </c>
    </row>
    <row r="953" spans="1:15" ht="15.75" customHeight="1">
      <c r="A953">
        <v>952</v>
      </c>
      <c r="B953" s="2">
        <v>45243</v>
      </c>
      <c r="C953" t="s">
        <v>979</v>
      </c>
      <c r="D953" t="s">
        <v>21</v>
      </c>
      <c r="E953">
        <v>57</v>
      </c>
      <c r="F953" s="3" t="s">
        <v>22</v>
      </c>
      <c r="G953">
        <v>1</v>
      </c>
      <c r="H953" s="4">
        <v>25</v>
      </c>
      <c r="I953" s="4">
        <v>25</v>
      </c>
      <c r="J953" t="s">
        <v>777</v>
      </c>
      <c r="K953" t="str">
        <f>IFERROR(VLOOKUP(F953&amp;"|"&amp;H953,Feature_Mappings!$A$2:$C$16,2,FALSE()),"")</f>
        <v>Cotton Socks</v>
      </c>
      <c r="L953" t="str">
        <f>IFERROR(VLOOKUP(F953&amp;"|"&amp;H953,Feature_Mappings!$A$2:$C$16,3,FALSE()),"")</f>
        <v>Urban Basics Co.</v>
      </c>
      <c r="M953" t="str">
        <f>IFERROR(VLOOKUP(J953,Feature_Mappings!$D$2:$E$5,2,FALSE()),"")</f>
        <v>Ethan Parker</v>
      </c>
      <c r="N953" t="s">
        <v>778</v>
      </c>
      <c r="O953" t="str">
        <f>IFERROR(INDEX(Store_Manager!$A$2:$A$5,MATCH(M953,Store_Manager!$B$2:$B$5,0)),"")</f>
        <v>MGR004</v>
      </c>
    </row>
    <row r="954" spans="1:15" ht="15.75" customHeight="1">
      <c r="A954">
        <v>953</v>
      </c>
      <c r="B954" s="2">
        <v>45042</v>
      </c>
      <c r="C954" t="s">
        <v>980</v>
      </c>
      <c r="D954" t="s">
        <v>16</v>
      </c>
      <c r="E954">
        <v>45</v>
      </c>
      <c r="F954" s="3" t="s">
        <v>17</v>
      </c>
      <c r="G954">
        <v>3</v>
      </c>
      <c r="H954" s="4">
        <v>30</v>
      </c>
      <c r="I954" s="4">
        <v>90</v>
      </c>
      <c r="J954" t="s">
        <v>777</v>
      </c>
      <c r="K954" t="str">
        <f>IFERROR(VLOOKUP(F954&amp;"|"&amp;H954,Feature_Mappings!$A$2:$C$16,2,FALSE()),"")</f>
        <v>Facial Cleanser</v>
      </c>
      <c r="L954" t="str">
        <f>IFERROR(VLOOKUP(F954&amp;"|"&amp;H954,Feature_Mappings!$A$2:$C$16,3,FALSE()),"")</f>
        <v>PureDerma Supplies</v>
      </c>
      <c r="M954" t="str">
        <f>IFERROR(VLOOKUP(J954,Feature_Mappings!$D$2:$E$5,2,FALSE()),"")</f>
        <v>Ethan Parker</v>
      </c>
      <c r="N954" t="s">
        <v>778</v>
      </c>
      <c r="O954" t="str">
        <f>IFERROR(INDEX(Store_Manager!$A$2:$A$5,MATCH(M954,Store_Manager!$B$2:$B$5,0)),"")</f>
        <v>MGR004</v>
      </c>
    </row>
    <row r="955" spans="1:15" ht="15.75" customHeight="1">
      <c r="A955">
        <v>954</v>
      </c>
      <c r="B955" s="2">
        <v>45194</v>
      </c>
      <c r="C955" t="s">
        <v>981</v>
      </c>
      <c r="D955" t="s">
        <v>21</v>
      </c>
      <c r="E955">
        <v>50</v>
      </c>
      <c r="F955" s="3" t="s">
        <v>24</v>
      </c>
      <c r="G955">
        <v>3</v>
      </c>
      <c r="H955" s="4">
        <v>300</v>
      </c>
      <c r="I955" s="4">
        <v>900</v>
      </c>
      <c r="J955" t="s">
        <v>777</v>
      </c>
      <c r="K955" t="str">
        <f>IFERROR(VLOOKUP(F955&amp;"|"&amp;H955,Feature_Mappings!$A$2:$C$16,2,FALSE()),"")</f>
        <v>Tablet</v>
      </c>
      <c r="L955" t="str">
        <f>IFERROR(VLOOKUP(F955&amp;"|"&amp;H955,Feature_Mappings!$A$2:$C$16,3,FALSE()),"")</f>
        <v>NextGen Devices</v>
      </c>
      <c r="M955" t="str">
        <f>IFERROR(VLOOKUP(J955,Feature_Mappings!$D$2:$E$5,2,FALSE()),"")</f>
        <v>Ethan Parker</v>
      </c>
      <c r="N955" t="s">
        <v>778</v>
      </c>
      <c r="O955" t="str">
        <f>IFERROR(INDEX(Store_Manager!$A$2:$A$5,MATCH(M955,Store_Manager!$B$2:$B$5,0)),"")</f>
        <v>MGR004</v>
      </c>
    </row>
    <row r="956" spans="1:15" ht="15.75" customHeight="1">
      <c r="A956">
        <v>955</v>
      </c>
      <c r="B956" s="2">
        <v>45121</v>
      </c>
      <c r="C956" t="s">
        <v>982</v>
      </c>
      <c r="D956" t="s">
        <v>16</v>
      </c>
      <c r="E956">
        <v>58</v>
      </c>
      <c r="F956" s="3" t="s">
        <v>22</v>
      </c>
      <c r="G956">
        <v>1</v>
      </c>
      <c r="H956" s="4">
        <v>25</v>
      </c>
      <c r="I956" s="4">
        <v>25</v>
      </c>
      <c r="J956" t="s">
        <v>777</v>
      </c>
      <c r="K956" t="str">
        <f>IFERROR(VLOOKUP(F956&amp;"|"&amp;H956,Feature_Mappings!$A$2:$C$16,2,FALSE()),"")</f>
        <v>Cotton Socks</v>
      </c>
      <c r="L956" t="str">
        <f>IFERROR(VLOOKUP(F956&amp;"|"&amp;H956,Feature_Mappings!$A$2:$C$16,3,FALSE()),"")</f>
        <v>Urban Basics Co.</v>
      </c>
      <c r="M956" t="str">
        <f>IFERROR(VLOOKUP(J956,Feature_Mappings!$D$2:$E$5,2,FALSE()),"")</f>
        <v>Ethan Parker</v>
      </c>
      <c r="N956" t="s">
        <v>778</v>
      </c>
      <c r="O956" t="str">
        <f>IFERROR(INDEX(Store_Manager!$A$2:$A$5,MATCH(M956,Store_Manager!$B$2:$B$5,0)),"")</f>
        <v>MGR004</v>
      </c>
    </row>
    <row r="957" spans="1:15" ht="15.75" customHeight="1">
      <c r="A957">
        <v>956</v>
      </c>
      <c r="B957" s="2">
        <v>45157</v>
      </c>
      <c r="C957" t="s">
        <v>983</v>
      </c>
      <c r="D957" t="s">
        <v>16</v>
      </c>
      <c r="E957">
        <v>30</v>
      </c>
      <c r="F957" s="3" t="s">
        <v>22</v>
      </c>
      <c r="G957">
        <v>3</v>
      </c>
      <c r="H957" s="4">
        <v>500</v>
      </c>
      <c r="I957" s="4">
        <v>1500</v>
      </c>
      <c r="J957" t="s">
        <v>777</v>
      </c>
      <c r="K957" t="str">
        <f>IFERROR(VLOOKUP(F957&amp;"|"&amp;H957,Feature_Mappings!$A$2:$C$16,2,FALSE()),"")</f>
        <v>Designer Coat</v>
      </c>
      <c r="L957" t="str">
        <f>IFERROR(VLOOKUP(F957&amp;"|"&amp;H957,Feature_Mappings!$A$2:$C$16,3,FALSE()),"")</f>
        <v>Prestige Fashion House</v>
      </c>
      <c r="M957" t="str">
        <f>IFERROR(VLOOKUP(J957,Feature_Mappings!$D$2:$E$5,2,FALSE()),"")</f>
        <v>Ethan Parker</v>
      </c>
      <c r="N957" t="s">
        <v>778</v>
      </c>
      <c r="O957" t="str">
        <f>IFERROR(INDEX(Store_Manager!$A$2:$A$5,MATCH(M957,Store_Manager!$B$2:$B$5,0)),"")</f>
        <v>MGR004</v>
      </c>
    </row>
    <row r="958" spans="1:15" ht="15.75" customHeight="1">
      <c r="A958">
        <v>957</v>
      </c>
      <c r="B958" s="2">
        <v>45153</v>
      </c>
      <c r="C958" t="s">
        <v>984</v>
      </c>
      <c r="D958" t="s">
        <v>21</v>
      </c>
      <c r="E958">
        <v>60</v>
      </c>
      <c r="F958" s="3" t="s">
        <v>24</v>
      </c>
      <c r="G958">
        <v>4</v>
      </c>
      <c r="H958" s="4">
        <v>30</v>
      </c>
      <c r="I958" s="4">
        <v>120</v>
      </c>
      <c r="J958" t="s">
        <v>777</v>
      </c>
      <c r="K958" t="str">
        <f>IFERROR(VLOOKUP(F958&amp;"|"&amp;H958,Feature_Mappings!$A$2:$C$16,2,FALSE()),"")</f>
        <v>Wireless Mouse</v>
      </c>
      <c r="L958" t="str">
        <f>IFERROR(VLOOKUP(F958&amp;"|"&amp;H958,Feature_Mappings!$A$2:$C$16,3,FALSE()),"")</f>
        <v>ByteWave Distributors</v>
      </c>
      <c r="M958" t="str">
        <f>IFERROR(VLOOKUP(J958,Feature_Mappings!$D$2:$E$5,2,FALSE()),"")</f>
        <v>Ethan Parker</v>
      </c>
      <c r="N958" t="s">
        <v>778</v>
      </c>
      <c r="O958" t="str">
        <f>IFERROR(INDEX(Store_Manager!$A$2:$A$5,MATCH(M958,Store_Manager!$B$2:$B$5,0)),"")</f>
        <v>MGR004</v>
      </c>
    </row>
    <row r="959" spans="1:15" ht="15.75" customHeight="1">
      <c r="A959">
        <v>958</v>
      </c>
      <c r="B959" s="2">
        <v>45079</v>
      </c>
      <c r="C959" t="s">
        <v>985</v>
      </c>
      <c r="D959" t="s">
        <v>16</v>
      </c>
      <c r="E959">
        <v>62</v>
      </c>
      <c r="F959" s="3" t="s">
        <v>24</v>
      </c>
      <c r="G959">
        <v>2</v>
      </c>
      <c r="H959" s="4">
        <v>25</v>
      </c>
      <c r="I959" s="4">
        <v>50</v>
      </c>
      <c r="J959" t="s">
        <v>777</v>
      </c>
      <c r="K959" t="str">
        <f>IFERROR(VLOOKUP(F959&amp;"|"&amp;H959,Feature_Mappings!$A$2:$C$16,2,FALSE()),"")</f>
        <v>USB-C Charger</v>
      </c>
      <c r="L959" t="str">
        <f>IFERROR(VLOOKUP(F959&amp;"|"&amp;H959,Feature_Mappings!$A$2:$C$16,3,FALSE()),"")</f>
        <v>VoltEdge Electronics</v>
      </c>
      <c r="M959" t="str">
        <f>IFERROR(VLOOKUP(J959,Feature_Mappings!$D$2:$E$5,2,FALSE()),"")</f>
        <v>Ethan Parker</v>
      </c>
      <c r="N959" t="s">
        <v>778</v>
      </c>
      <c r="O959" t="str">
        <f>IFERROR(INDEX(Store_Manager!$A$2:$A$5,MATCH(M959,Store_Manager!$B$2:$B$5,0)),"")</f>
        <v>MGR004</v>
      </c>
    </row>
    <row r="960" spans="1:15" ht="15.75" customHeight="1">
      <c r="A960">
        <v>959</v>
      </c>
      <c r="B960" s="2">
        <v>45228</v>
      </c>
      <c r="C960" t="s">
        <v>986</v>
      </c>
      <c r="D960" t="s">
        <v>21</v>
      </c>
      <c r="E960">
        <v>42</v>
      </c>
      <c r="F960" s="3" t="s">
        <v>24</v>
      </c>
      <c r="G960">
        <v>2</v>
      </c>
      <c r="H960" s="4">
        <v>30</v>
      </c>
      <c r="I960" s="4">
        <v>60</v>
      </c>
      <c r="J960" t="s">
        <v>777</v>
      </c>
      <c r="K960" t="str">
        <f>IFERROR(VLOOKUP(F960&amp;"|"&amp;H960,Feature_Mappings!$A$2:$C$16,2,FALSE()),"")</f>
        <v>Wireless Mouse</v>
      </c>
      <c r="L960" t="str">
        <f>IFERROR(VLOOKUP(F960&amp;"|"&amp;H960,Feature_Mappings!$A$2:$C$16,3,FALSE()),"")</f>
        <v>ByteWave Distributors</v>
      </c>
      <c r="M960" t="str">
        <f>IFERROR(VLOOKUP(J960,Feature_Mappings!$D$2:$E$5,2,FALSE()),"")</f>
        <v>Ethan Parker</v>
      </c>
      <c r="N960" t="s">
        <v>778</v>
      </c>
      <c r="O960" t="str">
        <f>IFERROR(INDEX(Store_Manager!$A$2:$A$5,MATCH(M960,Store_Manager!$B$2:$B$5,0)),"")</f>
        <v>MGR004</v>
      </c>
    </row>
    <row r="961" spans="1:15" ht="15.75" customHeight="1">
      <c r="A961">
        <v>960</v>
      </c>
      <c r="B961" s="2">
        <v>45146</v>
      </c>
      <c r="C961" t="s">
        <v>987</v>
      </c>
      <c r="D961" t="s">
        <v>16</v>
      </c>
      <c r="E961">
        <v>59</v>
      </c>
      <c r="F961" s="3" t="s">
        <v>22</v>
      </c>
      <c r="G961">
        <v>2</v>
      </c>
      <c r="H961" s="4">
        <v>30</v>
      </c>
      <c r="I961" s="4">
        <v>60</v>
      </c>
      <c r="J961" t="s">
        <v>777</v>
      </c>
      <c r="K961" t="str">
        <f>IFERROR(VLOOKUP(F961&amp;"|"&amp;H961,Feature_Mappings!$A$2:$C$16,2,FALSE()),"")</f>
        <v>Graphic T-Shirt</v>
      </c>
      <c r="L961" t="str">
        <f>IFERROR(VLOOKUP(F961&amp;"|"&amp;H961,Feature_Mappings!$A$2:$C$16,3,FALSE()),"")</f>
        <v>ThreadWorks Apparel</v>
      </c>
      <c r="M961" t="str">
        <f>IFERROR(VLOOKUP(J961,Feature_Mappings!$D$2:$E$5,2,FALSE()),"")</f>
        <v>Ethan Parker</v>
      </c>
      <c r="N961" t="s">
        <v>778</v>
      </c>
      <c r="O961" t="str">
        <f>IFERROR(INDEX(Store_Manager!$A$2:$A$5,MATCH(M961,Store_Manager!$B$2:$B$5,0)),"")</f>
        <v>MGR004</v>
      </c>
    </row>
    <row r="962" spans="1:15" ht="15.75" customHeight="1">
      <c r="A962">
        <v>961</v>
      </c>
      <c r="B962" s="2">
        <v>45083</v>
      </c>
      <c r="C962" t="s">
        <v>988</v>
      </c>
      <c r="D962" t="s">
        <v>16</v>
      </c>
      <c r="E962">
        <v>53</v>
      </c>
      <c r="F962" s="3" t="s">
        <v>17</v>
      </c>
      <c r="G962">
        <v>4</v>
      </c>
      <c r="H962" s="4">
        <v>50</v>
      </c>
      <c r="I962" s="4">
        <v>200</v>
      </c>
      <c r="J962" t="s">
        <v>777</v>
      </c>
      <c r="K962" t="str">
        <f>IFERROR(VLOOKUP(F962&amp;"|"&amp;H962,Feature_Mappings!$A$2:$C$16,2,FALSE()),"")</f>
        <v>Eau de Parfum</v>
      </c>
      <c r="L962" t="str">
        <f>IFERROR(VLOOKUP(F962&amp;"|"&amp;H962,Feature_Mappings!$A$2:$C$16,3,FALSE()),"")</f>
        <v>Luxe Aroma Labs</v>
      </c>
      <c r="M962" t="str">
        <f>IFERROR(VLOOKUP(J962,Feature_Mappings!$D$2:$E$5,2,FALSE()),"")</f>
        <v>Ethan Parker</v>
      </c>
      <c r="N962" t="s">
        <v>778</v>
      </c>
      <c r="O962" t="str">
        <f>IFERROR(INDEX(Store_Manager!$A$2:$A$5,MATCH(M962,Store_Manager!$B$2:$B$5,0)),"")</f>
        <v>MGR004</v>
      </c>
    </row>
    <row r="963" spans="1:15" ht="15.75" customHeight="1">
      <c r="A963">
        <v>962</v>
      </c>
      <c r="B963" s="2">
        <v>45218</v>
      </c>
      <c r="C963" t="s">
        <v>989</v>
      </c>
      <c r="D963" t="s">
        <v>16</v>
      </c>
      <c r="E963">
        <v>44</v>
      </c>
      <c r="F963" s="3" t="s">
        <v>22</v>
      </c>
      <c r="G963">
        <v>2</v>
      </c>
      <c r="H963" s="4">
        <v>30</v>
      </c>
      <c r="I963" s="4">
        <v>60</v>
      </c>
      <c r="J963" t="s">
        <v>777</v>
      </c>
      <c r="K963" t="str">
        <f>IFERROR(VLOOKUP(F963&amp;"|"&amp;H963,Feature_Mappings!$A$2:$C$16,2,FALSE()),"")</f>
        <v>Graphic T-Shirt</v>
      </c>
      <c r="L963" t="str">
        <f>IFERROR(VLOOKUP(F963&amp;"|"&amp;H963,Feature_Mappings!$A$2:$C$16,3,FALSE()),"")</f>
        <v>ThreadWorks Apparel</v>
      </c>
      <c r="M963" t="str">
        <f>IFERROR(VLOOKUP(J963,Feature_Mappings!$D$2:$E$5,2,FALSE()),"")</f>
        <v>Ethan Parker</v>
      </c>
      <c r="N963" t="s">
        <v>778</v>
      </c>
      <c r="O963" t="str">
        <f>IFERROR(INDEX(Store_Manager!$A$2:$A$5,MATCH(M963,Store_Manager!$B$2:$B$5,0)),"")</f>
        <v>MGR004</v>
      </c>
    </row>
    <row r="964" spans="1:15" ht="15.75" customHeight="1">
      <c r="A964">
        <v>963</v>
      </c>
      <c r="B964" s="2">
        <v>45244</v>
      </c>
      <c r="C964" t="s">
        <v>990</v>
      </c>
      <c r="D964" t="s">
        <v>21</v>
      </c>
      <c r="E964">
        <v>55</v>
      </c>
      <c r="F964" s="3" t="s">
        <v>17</v>
      </c>
      <c r="G964">
        <v>1</v>
      </c>
      <c r="H964" s="4">
        <v>50</v>
      </c>
      <c r="I964" s="4">
        <v>50</v>
      </c>
      <c r="J964" t="s">
        <v>777</v>
      </c>
      <c r="K964" t="str">
        <f>IFERROR(VLOOKUP(F964&amp;"|"&amp;H964,Feature_Mappings!$A$2:$C$16,2,FALSE()),"")</f>
        <v>Eau de Parfum</v>
      </c>
      <c r="L964" t="str">
        <f>IFERROR(VLOOKUP(F964&amp;"|"&amp;H964,Feature_Mappings!$A$2:$C$16,3,FALSE()),"")</f>
        <v>Luxe Aroma Labs</v>
      </c>
      <c r="M964" t="str">
        <f>IFERROR(VLOOKUP(J964,Feature_Mappings!$D$2:$E$5,2,FALSE()),"")</f>
        <v>Ethan Parker</v>
      </c>
      <c r="N964" t="s">
        <v>778</v>
      </c>
      <c r="O964" t="str">
        <f>IFERROR(INDEX(Store_Manager!$A$2:$A$5,MATCH(M964,Store_Manager!$B$2:$B$5,0)),"")</f>
        <v>MGR004</v>
      </c>
    </row>
    <row r="965" spans="1:15" ht="15.75" customHeight="1">
      <c r="A965">
        <v>964</v>
      </c>
      <c r="B965" s="2">
        <v>44957</v>
      </c>
      <c r="C965" t="s">
        <v>991</v>
      </c>
      <c r="D965" t="s">
        <v>16</v>
      </c>
      <c r="E965">
        <v>24</v>
      </c>
      <c r="F965" s="3" t="s">
        <v>22</v>
      </c>
      <c r="G965">
        <v>3</v>
      </c>
      <c r="H965" s="4">
        <v>300</v>
      </c>
      <c r="I965" s="4">
        <v>900</v>
      </c>
      <c r="J965" t="s">
        <v>777</v>
      </c>
      <c r="K965" t="str">
        <f>IFERROR(VLOOKUP(F965&amp;"|"&amp;H965,Feature_Mappings!$A$2:$C$16,2,FALSE()),"")</f>
        <v>Leather Jacket</v>
      </c>
      <c r="L965" t="str">
        <f>IFERROR(VLOOKUP(F965&amp;"|"&amp;H965,Feature_Mappings!$A$2:$C$16,3,FALSE()),"")</f>
        <v>Metro Style Manufacturing</v>
      </c>
      <c r="M965" t="str">
        <f>IFERROR(VLOOKUP(J965,Feature_Mappings!$D$2:$E$5,2,FALSE()),"")</f>
        <v>Ethan Parker</v>
      </c>
      <c r="N965" t="s">
        <v>778</v>
      </c>
      <c r="O965" t="str">
        <f>IFERROR(INDEX(Store_Manager!$A$2:$A$5,MATCH(M965,Store_Manager!$B$2:$B$5,0)),"")</f>
        <v>MGR004</v>
      </c>
    </row>
    <row r="966" spans="1:15" ht="15.75" customHeight="1">
      <c r="A966">
        <v>965</v>
      </c>
      <c r="B966" s="2">
        <v>45239</v>
      </c>
      <c r="C966" t="s">
        <v>992</v>
      </c>
      <c r="D966" t="s">
        <v>16</v>
      </c>
      <c r="E966">
        <v>22</v>
      </c>
      <c r="F966" s="3" t="s">
        <v>22</v>
      </c>
      <c r="G966">
        <v>4</v>
      </c>
      <c r="H966" s="4">
        <v>50</v>
      </c>
      <c r="I966" s="4">
        <v>200</v>
      </c>
      <c r="J966" t="s">
        <v>777</v>
      </c>
      <c r="K966" t="str">
        <f>IFERROR(VLOOKUP(F966&amp;"|"&amp;H966,Feature_Mappings!$A$2:$C$16,2,FALSE()),"")</f>
        <v>Denim Jeans</v>
      </c>
      <c r="L966" t="str">
        <f>IFERROR(VLOOKUP(F966&amp;"|"&amp;H966,Feature_Mappings!$A$2:$C$16,3,FALSE()),"")</f>
        <v>BlueFit Garments</v>
      </c>
      <c r="M966" t="str">
        <f>IFERROR(VLOOKUP(J966,Feature_Mappings!$D$2:$E$5,2,FALSE()),"")</f>
        <v>Ethan Parker</v>
      </c>
      <c r="N966" t="s">
        <v>778</v>
      </c>
      <c r="O966" t="str">
        <f>IFERROR(INDEX(Store_Manager!$A$2:$A$5,MATCH(M966,Store_Manager!$B$2:$B$5,0)),"")</f>
        <v>MGR004</v>
      </c>
    </row>
    <row r="967" spans="1:15" ht="15.75" customHeight="1">
      <c r="A967">
        <v>966</v>
      </c>
      <c r="B967" s="2">
        <v>44977</v>
      </c>
      <c r="C967" t="s">
        <v>993</v>
      </c>
      <c r="D967" t="s">
        <v>16</v>
      </c>
      <c r="E967">
        <v>60</v>
      </c>
      <c r="F967" s="3" t="s">
        <v>24</v>
      </c>
      <c r="G967">
        <v>2</v>
      </c>
      <c r="H967" s="4">
        <v>500</v>
      </c>
      <c r="I967" s="4">
        <v>1000</v>
      </c>
      <c r="J967" t="s">
        <v>777</v>
      </c>
      <c r="K967" t="str">
        <f>IFERROR(VLOOKUP(F967&amp;"|"&amp;H967,Feature_Mappings!$A$2:$C$16,2,FALSE()),"")</f>
        <v>Smartphone</v>
      </c>
      <c r="L967" t="str">
        <f>IFERROR(VLOOKUP(F967&amp;"|"&amp;H967,Feature_Mappings!$A$2:$C$16,3,FALSE()),"")</f>
        <v>NovaTech Wholesale</v>
      </c>
      <c r="M967" t="str">
        <f>IFERROR(VLOOKUP(J967,Feature_Mappings!$D$2:$E$5,2,FALSE()),"")</f>
        <v>Ethan Parker</v>
      </c>
      <c r="N967" t="s">
        <v>778</v>
      </c>
      <c r="O967" t="str">
        <f>IFERROR(INDEX(Store_Manager!$A$2:$A$5,MATCH(M967,Store_Manager!$B$2:$B$5,0)),"")</f>
        <v>MGR004</v>
      </c>
    </row>
    <row r="968" spans="1:15" ht="15.75" customHeight="1">
      <c r="A968">
        <v>967</v>
      </c>
      <c r="B968" s="2">
        <v>45033</v>
      </c>
      <c r="C968" t="s">
        <v>994</v>
      </c>
      <c r="D968" t="s">
        <v>16</v>
      </c>
      <c r="E968">
        <v>62</v>
      </c>
      <c r="F968" s="3" t="s">
        <v>17</v>
      </c>
      <c r="G968">
        <v>1</v>
      </c>
      <c r="H968" s="4">
        <v>25</v>
      </c>
      <c r="I968" s="4">
        <v>25</v>
      </c>
      <c r="J968" t="s">
        <v>777</v>
      </c>
      <c r="K968" t="str">
        <f>IFERROR(VLOOKUP(F968&amp;"|"&amp;H968,Feature_Mappings!$A$2:$C$16,2,FALSE()),"")</f>
        <v>Lip Balm</v>
      </c>
      <c r="L968" t="str">
        <f>IFERROR(VLOOKUP(F968&amp;"|"&amp;H968,Feature_Mappings!$A$2:$C$16,3,FALSE()),"")</f>
        <v>GlowSource Cosmetics</v>
      </c>
      <c r="M968" t="str">
        <f>IFERROR(VLOOKUP(J968,Feature_Mappings!$D$2:$E$5,2,FALSE()),"")</f>
        <v>Ethan Parker</v>
      </c>
      <c r="N968" t="s">
        <v>778</v>
      </c>
      <c r="O968" t="str">
        <f>IFERROR(INDEX(Store_Manager!$A$2:$A$5,MATCH(M968,Store_Manager!$B$2:$B$5,0)),"")</f>
        <v>MGR004</v>
      </c>
    </row>
    <row r="969" spans="1:15" ht="15.75" customHeight="1">
      <c r="A969">
        <v>968</v>
      </c>
      <c r="B969" s="2">
        <v>45247</v>
      </c>
      <c r="C969" t="s">
        <v>995</v>
      </c>
      <c r="D969" t="s">
        <v>21</v>
      </c>
      <c r="E969">
        <v>48</v>
      </c>
      <c r="F969" s="3" t="s">
        <v>22</v>
      </c>
      <c r="G969">
        <v>3</v>
      </c>
      <c r="H969" s="4">
        <v>300</v>
      </c>
      <c r="I969" s="4">
        <v>900</v>
      </c>
      <c r="J969" t="s">
        <v>777</v>
      </c>
      <c r="K969" t="str">
        <f>IFERROR(VLOOKUP(F969&amp;"|"&amp;H969,Feature_Mappings!$A$2:$C$16,2,FALSE()),"")</f>
        <v>Leather Jacket</v>
      </c>
      <c r="L969" t="str">
        <f>IFERROR(VLOOKUP(F969&amp;"|"&amp;H969,Feature_Mappings!$A$2:$C$16,3,FALSE()),"")</f>
        <v>Metro Style Manufacturing</v>
      </c>
      <c r="M969" t="str">
        <f>IFERROR(VLOOKUP(J969,Feature_Mappings!$D$2:$E$5,2,FALSE()),"")</f>
        <v>Ethan Parker</v>
      </c>
      <c r="N969" t="s">
        <v>778</v>
      </c>
      <c r="O969" t="str">
        <f>IFERROR(INDEX(Store_Manager!$A$2:$A$5,MATCH(M969,Store_Manager!$B$2:$B$5,0)),"")</f>
        <v>MGR004</v>
      </c>
    </row>
    <row r="970" spans="1:15" ht="15.75" customHeight="1">
      <c r="A970">
        <v>969</v>
      </c>
      <c r="B970" s="2">
        <v>45035</v>
      </c>
      <c r="C970" t="s">
        <v>996</v>
      </c>
      <c r="D970" t="s">
        <v>21</v>
      </c>
      <c r="E970">
        <v>40</v>
      </c>
      <c r="F970" s="3" t="s">
        <v>22</v>
      </c>
      <c r="G970">
        <v>3</v>
      </c>
      <c r="H970" s="4">
        <v>300</v>
      </c>
      <c r="I970" s="4">
        <v>900</v>
      </c>
      <c r="J970" t="s">
        <v>777</v>
      </c>
      <c r="K970" t="str">
        <f>IFERROR(VLOOKUP(F970&amp;"|"&amp;H970,Feature_Mappings!$A$2:$C$16,2,FALSE()),"")</f>
        <v>Leather Jacket</v>
      </c>
      <c r="L970" t="str">
        <f>IFERROR(VLOOKUP(F970&amp;"|"&amp;H970,Feature_Mappings!$A$2:$C$16,3,FALSE()),"")</f>
        <v>Metro Style Manufacturing</v>
      </c>
      <c r="M970" t="str">
        <f>IFERROR(VLOOKUP(J970,Feature_Mappings!$D$2:$E$5,2,FALSE()),"")</f>
        <v>Ethan Parker</v>
      </c>
      <c r="N970" t="s">
        <v>778</v>
      </c>
      <c r="O970" t="str">
        <f>IFERROR(INDEX(Store_Manager!$A$2:$A$5,MATCH(M970,Store_Manager!$B$2:$B$5,0)),"")</f>
        <v>MGR004</v>
      </c>
    </row>
    <row r="971" spans="1:15" ht="15.75" customHeight="1">
      <c r="A971">
        <v>970</v>
      </c>
      <c r="B971" s="2">
        <v>45062</v>
      </c>
      <c r="C971" t="s">
        <v>997</v>
      </c>
      <c r="D971" t="s">
        <v>16</v>
      </c>
      <c r="E971">
        <v>59</v>
      </c>
      <c r="F971" s="3" t="s">
        <v>24</v>
      </c>
      <c r="G971">
        <v>4</v>
      </c>
      <c r="H971" s="4">
        <v>500</v>
      </c>
      <c r="I971" s="4">
        <v>2000</v>
      </c>
      <c r="J971" t="s">
        <v>777</v>
      </c>
      <c r="K971" t="str">
        <f>IFERROR(VLOOKUP(F971&amp;"|"&amp;H971,Feature_Mappings!$A$2:$C$16,2,FALSE()),"")</f>
        <v>Smartphone</v>
      </c>
      <c r="L971" t="str">
        <f>IFERROR(VLOOKUP(F971&amp;"|"&amp;H971,Feature_Mappings!$A$2:$C$16,3,FALSE()),"")</f>
        <v>NovaTech Wholesale</v>
      </c>
      <c r="M971" t="str">
        <f>IFERROR(VLOOKUP(J971,Feature_Mappings!$D$2:$E$5,2,FALSE()),"")</f>
        <v>Ethan Parker</v>
      </c>
      <c r="N971" t="s">
        <v>778</v>
      </c>
      <c r="O971" t="str">
        <f>IFERROR(INDEX(Store_Manager!$A$2:$A$5,MATCH(M971,Store_Manager!$B$2:$B$5,0)),"")</f>
        <v>MGR004</v>
      </c>
    </row>
    <row r="972" spans="1:15" ht="15.75" customHeight="1">
      <c r="A972">
        <v>971</v>
      </c>
      <c r="B972" s="2">
        <v>45265</v>
      </c>
      <c r="C972" t="s">
        <v>998</v>
      </c>
      <c r="D972" t="s">
        <v>21</v>
      </c>
      <c r="E972">
        <v>27</v>
      </c>
      <c r="F972" s="3" t="s">
        <v>24</v>
      </c>
      <c r="G972">
        <v>4</v>
      </c>
      <c r="H972" s="4">
        <v>50</v>
      </c>
      <c r="I972" s="4">
        <v>200</v>
      </c>
      <c r="J972" t="s">
        <v>777</v>
      </c>
      <c r="K972" t="str">
        <f>IFERROR(VLOOKUP(F972&amp;"|"&amp;H972,Feature_Mappings!$A$2:$C$16,2,FALSE()),"")</f>
        <v>Bluetooth Speaker</v>
      </c>
      <c r="L972" t="str">
        <f>IFERROR(VLOOKUP(F972&amp;"|"&amp;H972,Feature_Mappings!$A$2:$C$16,3,FALSE()),"")</f>
        <v>SoundSphere Supply</v>
      </c>
      <c r="M972" t="str">
        <f>IFERROR(VLOOKUP(J972,Feature_Mappings!$D$2:$E$5,2,FALSE()),"")</f>
        <v>Ethan Parker</v>
      </c>
      <c r="N972" t="s">
        <v>778</v>
      </c>
      <c r="O972" t="str">
        <f>IFERROR(INDEX(Store_Manager!$A$2:$A$5,MATCH(M972,Store_Manager!$B$2:$B$5,0)),"")</f>
        <v>MGR004</v>
      </c>
    </row>
    <row r="973" spans="1:15" ht="15.75" customHeight="1">
      <c r="A973">
        <v>972</v>
      </c>
      <c r="B973" s="2">
        <v>44968</v>
      </c>
      <c r="C973" t="s">
        <v>999</v>
      </c>
      <c r="D973" t="s">
        <v>16</v>
      </c>
      <c r="E973">
        <v>49</v>
      </c>
      <c r="F973" s="3" t="s">
        <v>17</v>
      </c>
      <c r="G973">
        <v>4</v>
      </c>
      <c r="H973" s="4">
        <v>25</v>
      </c>
      <c r="I973" s="4">
        <v>100</v>
      </c>
      <c r="J973" t="s">
        <v>777</v>
      </c>
      <c r="K973" t="str">
        <f>IFERROR(VLOOKUP(F973&amp;"|"&amp;H973,Feature_Mappings!$A$2:$C$16,2,FALSE()),"")</f>
        <v>Lip Balm</v>
      </c>
      <c r="L973" t="str">
        <f>IFERROR(VLOOKUP(F973&amp;"|"&amp;H973,Feature_Mappings!$A$2:$C$16,3,FALSE()),"")</f>
        <v>GlowSource Cosmetics</v>
      </c>
      <c r="M973" t="str">
        <f>IFERROR(VLOOKUP(J973,Feature_Mappings!$D$2:$E$5,2,FALSE()),"")</f>
        <v>Ethan Parker</v>
      </c>
      <c r="N973" t="s">
        <v>778</v>
      </c>
      <c r="O973" t="str">
        <f>IFERROR(INDEX(Store_Manager!$A$2:$A$5,MATCH(M973,Store_Manager!$B$2:$B$5,0)),"")</f>
        <v>MGR004</v>
      </c>
    </row>
    <row r="974" spans="1:15" ht="15.75" customHeight="1">
      <c r="A974">
        <v>973</v>
      </c>
      <c r="B974" s="2">
        <v>45007</v>
      </c>
      <c r="C974" t="s">
        <v>1000</v>
      </c>
      <c r="D974" t="s">
        <v>16</v>
      </c>
      <c r="E974">
        <v>60</v>
      </c>
      <c r="F974" s="3" t="s">
        <v>22</v>
      </c>
      <c r="G974">
        <v>1</v>
      </c>
      <c r="H974" s="4">
        <v>50</v>
      </c>
      <c r="I974" s="4">
        <v>50</v>
      </c>
      <c r="J974" t="s">
        <v>777</v>
      </c>
      <c r="K974" t="str">
        <f>IFERROR(VLOOKUP(F974&amp;"|"&amp;H974,Feature_Mappings!$A$2:$C$16,2,FALSE()),"")</f>
        <v>Denim Jeans</v>
      </c>
      <c r="L974" t="str">
        <f>IFERROR(VLOOKUP(F974&amp;"|"&amp;H974,Feature_Mappings!$A$2:$C$16,3,FALSE()),"")</f>
        <v>BlueFit Garments</v>
      </c>
      <c r="M974" t="str">
        <f>IFERROR(VLOOKUP(J974,Feature_Mappings!$D$2:$E$5,2,FALSE()),"")</f>
        <v>Ethan Parker</v>
      </c>
      <c r="N974" t="s">
        <v>778</v>
      </c>
      <c r="O974" t="str">
        <f>IFERROR(INDEX(Store_Manager!$A$2:$A$5,MATCH(M974,Store_Manager!$B$2:$B$5,0)),"")</f>
        <v>MGR004</v>
      </c>
    </row>
    <row r="975" spans="1:15" ht="15.75" customHeight="1">
      <c r="A975">
        <v>974</v>
      </c>
      <c r="B975" s="2">
        <v>45049</v>
      </c>
      <c r="C975" t="s">
        <v>1001</v>
      </c>
      <c r="D975" t="s">
        <v>16</v>
      </c>
      <c r="E975">
        <v>47</v>
      </c>
      <c r="F975" s="3" t="s">
        <v>17</v>
      </c>
      <c r="G975">
        <v>1</v>
      </c>
      <c r="H975" s="4">
        <v>30</v>
      </c>
      <c r="I975" s="4">
        <v>30</v>
      </c>
      <c r="J975" t="s">
        <v>777</v>
      </c>
      <c r="K975" t="str">
        <f>IFERROR(VLOOKUP(F975&amp;"|"&amp;H975,Feature_Mappings!$A$2:$C$16,2,FALSE()),"")</f>
        <v>Facial Cleanser</v>
      </c>
      <c r="L975" t="str">
        <f>IFERROR(VLOOKUP(F975&amp;"|"&amp;H975,Feature_Mappings!$A$2:$C$16,3,FALSE()),"")</f>
        <v>PureDerma Supplies</v>
      </c>
      <c r="M975" t="str">
        <f>IFERROR(VLOOKUP(J975,Feature_Mappings!$D$2:$E$5,2,FALSE()),"")</f>
        <v>Ethan Parker</v>
      </c>
      <c r="N975" t="s">
        <v>778</v>
      </c>
      <c r="O975" t="str">
        <f>IFERROR(INDEX(Store_Manager!$A$2:$A$5,MATCH(M975,Store_Manager!$B$2:$B$5,0)),"")</f>
        <v>MGR004</v>
      </c>
    </row>
    <row r="976" spans="1:15" ht="15.75" customHeight="1">
      <c r="A976">
        <v>975</v>
      </c>
      <c r="B976" s="2">
        <v>45015</v>
      </c>
      <c r="C976" t="s">
        <v>1002</v>
      </c>
      <c r="D976" t="s">
        <v>21</v>
      </c>
      <c r="E976">
        <v>56</v>
      </c>
      <c r="F976" s="3" t="s">
        <v>22</v>
      </c>
      <c r="G976">
        <v>4</v>
      </c>
      <c r="H976" s="4">
        <v>50</v>
      </c>
      <c r="I976" s="4">
        <v>200</v>
      </c>
      <c r="J976" t="s">
        <v>777</v>
      </c>
      <c r="K976" t="str">
        <f>IFERROR(VLOOKUP(F976&amp;"|"&amp;H976,Feature_Mappings!$A$2:$C$16,2,FALSE()),"")</f>
        <v>Denim Jeans</v>
      </c>
      <c r="L976" t="str">
        <f>IFERROR(VLOOKUP(F976&amp;"|"&amp;H976,Feature_Mappings!$A$2:$C$16,3,FALSE()),"")</f>
        <v>BlueFit Garments</v>
      </c>
      <c r="M976" t="str">
        <f>IFERROR(VLOOKUP(J976,Feature_Mappings!$D$2:$E$5,2,FALSE()),"")</f>
        <v>Ethan Parker</v>
      </c>
      <c r="N976" t="s">
        <v>778</v>
      </c>
      <c r="O976" t="str">
        <f>IFERROR(INDEX(Store_Manager!$A$2:$A$5,MATCH(M976,Store_Manager!$B$2:$B$5,0)),"")</f>
        <v>MGR004</v>
      </c>
    </row>
    <row r="977" spans="1:15" ht="15.75" customHeight="1">
      <c r="A977">
        <v>976</v>
      </c>
      <c r="B977" s="2">
        <v>45209</v>
      </c>
      <c r="C977" t="s">
        <v>1003</v>
      </c>
      <c r="D977" t="s">
        <v>21</v>
      </c>
      <c r="E977">
        <v>48</v>
      </c>
      <c r="F977" s="3" t="s">
        <v>17</v>
      </c>
      <c r="G977">
        <v>2</v>
      </c>
      <c r="H977" s="4">
        <v>300</v>
      </c>
      <c r="I977" s="4">
        <v>600</v>
      </c>
      <c r="J977" t="s">
        <v>777</v>
      </c>
      <c r="K977" t="str">
        <f>IFERROR(VLOOKUP(F977&amp;"|"&amp;H977,Feature_Mappings!$A$2:$C$16,2,FALSE()),"")</f>
        <v>Skincare Gift Set</v>
      </c>
      <c r="L977" t="str">
        <f>IFERROR(VLOOKUP(F977&amp;"|"&amp;H977,Feature_Mappings!$A$2:$C$16,3,FALSE()),"")</f>
        <v>Radiant Beauty Wholesale</v>
      </c>
      <c r="M977" t="str">
        <f>IFERROR(VLOOKUP(J977,Feature_Mappings!$D$2:$E$5,2,FALSE()),"")</f>
        <v>Ethan Parker</v>
      </c>
      <c r="N977" t="s">
        <v>778</v>
      </c>
      <c r="O977" t="str">
        <f>IFERROR(INDEX(Store_Manager!$A$2:$A$5,MATCH(M977,Store_Manager!$B$2:$B$5,0)),"")</f>
        <v>MGR004</v>
      </c>
    </row>
    <row r="978" spans="1:15" ht="15.75" customHeight="1">
      <c r="A978">
        <v>977</v>
      </c>
      <c r="B978" s="2">
        <v>44965</v>
      </c>
      <c r="C978" t="s">
        <v>1004</v>
      </c>
      <c r="D978" t="s">
        <v>21</v>
      </c>
      <c r="E978">
        <v>35</v>
      </c>
      <c r="F978" s="3" t="s">
        <v>24</v>
      </c>
      <c r="G978">
        <v>3</v>
      </c>
      <c r="H978" s="4">
        <v>25</v>
      </c>
      <c r="I978" s="4">
        <v>75</v>
      </c>
      <c r="J978" t="s">
        <v>777</v>
      </c>
      <c r="K978" t="str">
        <f>IFERROR(VLOOKUP(F978&amp;"|"&amp;H978,Feature_Mappings!$A$2:$C$16,2,FALSE()),"")</f>
        <v>USB-C Charger</v>
      </c>
      <c r="L978" t="str">
        <f>IFERROR(VLOOKUP(F978&amp;"|"&amp;H978,Feature_Mappings!$A$2:$C$16,3,FALSE()),"")</f>
        <v>VoltEdge Electronics</v>
      </c>
      <c r="M978" t="str">
        <f>IFERROR(VLOOKUP(J978,Feature_Mappings!$D$2:$E$5,2,FALSE()),"")</f>
        <v>Ethan Parker</v>
      </c>
      <c r="N978" t="s">
        <v>778</v>
      </c>
      <c r="O978" t="str">
        <f>IFERROR(INDEX(Store_Manager!$A$2:$A$5,MATCH(M978,Store_Manager!$B$2:$B$5,0)),"")</f>
        <v>MGR004</v>
      </c>
    </row>
    <row r="979" spans="1:15" ht="15.75" customHeight="1">
      <c r="A979">
        <v>978</v>
      </c>
      <c r="B979" s="2">
        <v>45007</v>
      </c>
      <c r="C979" t="s">
        <v>1005</v>
      </c>
      <c r="D979" t="s">
        <v>21</v>
      </c>
      <c r="E979">
        <v>53</v>
      </c>
      <c r="F979" s="3" t="s">
        <v>22</v>
      </c>
      <c r="G979">
        <v>3</v>
      </c>
      <c r="H979" s="4">
        <v>50</v>
      </c>
      <c r="I979" s="4">
        <v>150</v>
      </c>
      <c r="J979" t="s">
        <v>777</v>
      </c>
      <c r="K979" t="str">
        <f>IFERROR(VLOOKUP(F979&amp;"|"&amp;H979,Feature_Mappings!$A$2:$C$16,2,FALSE()),"")</f>
        <v>Denim Jeans</v>
      </c>
      <c r="L979" t="str">
        <f>IFERROR(VLOOKUP(F979&amp;"|"&amp;H979,Feature_Mappings!$A$2:$C$16,3,FALSE()),"")</f>
        <v>BlueFit Garments</v>
      </c>
      <c r="M979" t="str">
        <f>IFERROR(VLOOKUP(J979,Feature_Mappings!$D$2:$E$5,2,FALSE()),"")</f>
        <v>Ethan Parker</v>
      </c>
      <c r="N979" t="s">
        <v>778</v>
      </c>
      <c r="O979" t="str">
        <f>IFERROR(INDEX(Store_Manager!$A$2:$A$5,MATCH(M979,Store_Manager!$B$2:$B$5,0)),"")</f>
        <v>MGR004</v>
      </c>
    </row>
    <row r="980" spans="1:15" ht="15.75" customHeight="1">
      <c r="A980">
        <v>979</v>
      </c>
      <c r="B980" s="2">
        <v>44928</v>
      </c>
      <c r="C980" t="s">
        <v>1006</v>
      </c>
      <c r="D980" t="s">
        <v>21</v>
      </c>
      <c r="E980">
        <v>19</v>
      </c>
      <c r="F980" s="3" t="s">
        <v>17</v>
      </c>
      <c r="G980">
        <v>1</v>
      </c>
      <c r="H980" s="4">
        <v>25</v>
      </c>
      <c r="I980" s="4">
        <v>25</v>
      </c>
      <c r="J980" t="s">
        <v>777</v>
      </c>
      <c r="K980" t="str">
        <f>IFERROR(VLOOKUP(F980&amp;"|"&amp;H980,Feature_Mappings!$A$2:$C$16,2,FALSE()),"")</f>
        <v>Lip Balm</v>
      </c>
      <c r="L980" t="str">
        <f>IFERROR(VLOOKUP(F980&amp;"|"&amp;H980,Feature_Mappings!$A$2:$C$16,3,FALSE()),"")</f>
        <v>GlowSource Cosmetics</v>
      </c>
      <c r="M980" t="str">
        <f>IFERROR(VLOOKUP(J980,Feature_Mappings!$D$2:$E$5,2,FALSE()),"")</f>
        <v>Ethan Parker</v>
      </c>
      <c r="N980" t="s">
        <v>778</v>
      </c>
      <c r="O980" t="str">
        <f>IFERROR(INDEX(Store_Manager!$A$2:$A$5,MATCH(M980,Store_Manager!$B$2:$B$5,0)),"")</f>
        <v>MGR004</v>
      </c>
    </row>
    <row r="981" spans="1:15" ht="15.75" customHeight="1">
      <c r="A981">
        <v>980</v>
      </c>
      <c r="B981" s="2">
        <v>45136</v>
      </c>
      <c r="C981" t="s">
        <v>1007</v>
      </c>
      <c r="D981" t="s">
        <v>21</v>
      </c>
      <c r="E981">
        <v>31</v>
      </c>
      <c r="F981" s="3" t="s">
        <v>24</v>
      </c>
      <c r="G981">
        <v>3</v>
      </c>
      <c r="H981" s="4">
        <v>25</v>
      </c>
      <c r="I981" s="4">
        <v>75</v>
      </c>
      <c r="J981" t="s">
        <v>777</v>
      </c>
      <c r="K981" t="str">
        <f>IFERROR(VLOOKUP(F981&amp;"|"&amp;H981,Feature_Mappings!$A$2:$C$16,2,FALSE()),"")</f>
        <v>USB-C Charger</v>
      </c>
      <c r="L981" t="str">
        <f>IFERROR(VLOOKUP(F981&amp;"|"&amp;H981,Feature_Mappings!$A$2:$C$16,3,FALSE()),"")</f>
        <v>VoltEdge Electronics</v>
      </c>
      <c r="M981" t="str">
        <f>IFERROR(VLOOKUP(J981,Feature_Mappings!$D$2:$E$5,2,FALSE()),"")</f>
        <v>Ethan Parker</v>
      </c>
      <c r="N981" t="s">
        <v>778</v>
      </c>
      <c r="O981" t="str">
        <f>IFERROR(INDEX(Store_Manager!$A$2:$A$5,MATCH(M981,Store_Manager!$B$2:$B$5,0)),"")</f>
        <v>MGR004</v>
      </c>
    </row>
    <row r="982" spans="1:15" ht="15.75" customHeight="1">
      <c r="A982">
        <v>981</v>
      </c>
      <c r="B982" s="2">
        <v>45157</v>
      </c>
      <c r="C982" t="s">
        <v>1008</v>
      </c>
      <c r="D982" t="s">
        <v>21</v>
      </c>
      <c r="E982">
        <v>30</v>
      </c>
      <c r="F982" s="3" t="s">
        <v>24</v>
      </c>
      <c r="G982">
        <v>2</v>
      </c>
      <c r="H982" s="4">
        <v>30</v>
      </c>
      <c r="I982" s="4">
        <v>60</v>
      </c>
      <c r="J982" t="s">
        <v>777</v>
      </c>
      <c r="K982" t="str">
        <f>IFERROR(VLOOKUP(F982&amp;"|"&amp;H982,Feature_Mappings!$A$2:$C$16,2,FALSE()),"")</f>
        <v>Wireless Mouse</v>
      </c>
      <c r="L982" t="str">
        <f>IFERROR(VLOOKUP(F982&amp;"|"&amp;H982,Feature_Mappings!$A$2:$C$16,3,FALSE()),"")</f>
        <v>ByteWave Distributors</v>
      </c>
      <c r="M982" t="str">
        <f>IFERROR(VLOOKUP(J982,Feature_Mappings!$D$2:$E$5,2,FALSE()),"")</f>
        <v>Ethan Parker</v>
      </c>
      <c r="N982" t="s">
        <v>778</v>
      </c>
      <c r="O982" t="str">
        <f>IFERROR(INDEX(Store_Manager!$A$2:$A$5,MATCH(M982,Store_Manager!$B$2:$B$5,0)),"")</f>
        <v>MGR004</v>
      </c>
    </row>
    <row r="983" spans="1:15" ht="15.75" customHeight="1">
      <c r="A983">
        <v>982</v>
      </c>
      <c r="B983" s="2">
        <v>45279</v>
      </c>
      <c r="C983" t="s">
        <v>1009</v>
      </c>
      <c r="D983" t="s">
        <v>21</v>
      </c>
      <c r="E983">
        <v>46</v>
      </c>
      <c r="F983" s="3" t="s">
        <v>17</v>
      </c>
      <c r="G983">
        <v>3</v>
      </c>
      <c r="H983" s="4">
        <v>30</v>
      </c>
      <c r="I983" s="4">
        <v>90</v>
      </c>
      <c r="J983" t="s">
        <v>777</v>
      </c>
      <c r="K983" t="str">
        <f>IFERROR(VLOOKUP(F983&amp;"|"&amp;H983,Feature_Mappings!$A$2:$C$16,2,FALSE()),"")</f>
        <v>Facial Cleanser</v>
      </c>
      <c r="L983" t="str">
        <f>IFERROR(VLOOKUP(F983&amp;"|"&amp;H983,Feature_Mappings!$A$2:$C$16,3,FALSE()),"")</f>
        <v>PureDerma Supplies</v>
      </c>
      <c r="M983" t="str">
        <f>IFERROR(VLOOKUP(J983,Feature_Mappings!$D$2:$E$5,2,FALSE()),"")</f>
        <v>Ethan Parker</v>
      </c>
      <c r="N983" t="s">
        <v>778</v>
      </c>
      <c r="O983" t="str">
        <f>IFERROR(INDEX(Store_Manager!$A$2:$A$5,MATCH(M983,Store_Manager!$B$2:$B$5,0)),"")</f>
        <v>MGR004</v>
      </c>
    </row>
    <row r="984" spans="1:15" ht="15.75" customHeight="1">
      <c r="A984">
        <v>983</v>
      </c>
      <c r="B984" s="2">
        <v>45231</v>
      </c>
      <c r="C984" t="s">
        <v>1010</v>
      </c>
      <c r="D984" t="s">
        <v>21</v>
      </c>
      <c r="E984">
        <v>29</v>
      </c>
      <c r="F984" s="3" t="s">
        <v>22</v>
      </c>
      <c r="G984">
        <v>1</v>
      </c>
      <c r="H984" s="4">
        <v>300</v>
      </c>
      <c r="I984" s="4">
        <v>300</v>
      </c>
      <c r="J984" t="s">
        <v>777</v>
      </c>
      <c r="K984" t="str">
        <f>IFERROR(VLOOKUP(F984&amp;"|"&amp;H984,Feature_Mappings!$A$2:$C$16,2,FALSE()),"")</f>
        <v>Leather Jacket</v>
      </c>
      <c r="L984" t="str">
        <f>IFERROR(VLOOKUP(F984&amp;"|"&amp;H984,Feature_Mappings!$A$2:$C$16,3,FALSE()),"")</f>
        <v>Metro Style Manufacturing</v>
      </c>
      <c r="M984" t="str">
        <f>IFERROR(VLOOKUP(J984,Feature_Mappings!$D$2:$E$5,2,FALSE()),"")</f>
        <v>Ethan Parker</v>
      </c>
      <c r="N984" t="s">
        <v>778</v>
      </c>
      <c r="O984" t="str">
        <f>IFERROR(INDEX(Store_Manager!$A$2:$A$5,MATCH(M984,Store_Manager!$B$2:$B$5,0)),"")</f>
        <v>MGR004</v>
      </c>
    </row>
    <row r="985" spans="1:15" ht="15.75" customHeight="1">
      <c r="A985">
        <v>984</v>
      </c>
      <c r="B985" s="2">
        <v>45167</v>
      </c>
      <c r="C985" t="s">
        <v>1011</v>
      </c>
      <c r="D985" t="s">
        <v>16</v>
      </c>
      <c r="E985">
        <v>56</v>
      </c>
      <c r="F985" s="3" t="s">
        <v>22</v>
      </c>
      <c r="G985">
        <v>1</v>
      </c>
      <c r="H985" s="4">
        <v>500</v>
      </c>
      <c r="I985" s="4">
        <v>500</v>
      </c>
      <c r="J985" t="s">
        <v>777</v>
      </c>
      <c r="K985" t="str">
        <f>IFERROR(VLOOKUP(F985&amp;"|"&amp;H985,Feature_Mappings!$A$2:$C$16,2,FALSE()),"")</f>
        <v>Designer Coat</v>
      </c>
      <c r="L985" t="str">
        <f>IFERROR(VLOOKUP(F985&amp;"|"&amp;H985,Feature_Mappings!$A$2:$C$16,3,FALSE()),"")</f>
        <v>Prestige Fashion House</v>
      </c>
      <c r="M985" t="str">
        <f>IFERROR(VLOOKUP(J985,Feature_Mappings!$D$2:$E$5,2,FALSE()),"")</f>
        <v>Ethan Parker</v>
      </c>
      <c r="N985" t="s">
        <v>778</v>
      </c>
      <c r="O985" t="str">
        <f>IFERROR(INDEX(Store_Manager!$A$2:$A$5,MATCH(M985,Store_Manager!$B$2:$B$5,0)),"")</f>
        <v>MGR004</v>
      </c>
    </row>
    <row r="986" spans="1:15" ht="15.75" customHeight="1">
      <c r="A986">
        <v>985</v>
      </c>
      <c r="B986" s="2">
        <v>45076</v>
      </c>
      <c r="C986" t="s">
        <v>1012</v>
      </c>
      <c r="D986" t="s">
        <v>21</v>
      </c>
      <c r="E986">
        <v>19</v>
      </c>
      <c r="F986" s="3" t="s">
        <v>24</v>
      </c>
      <c r="G986">
        <v>2</v>
      </c>
      <c r="H986" s="4">
        <v>25</v>
      </c>
      <c r="I986" s="4">
        <v>50</v>
      </c>
      <c r="J986" t="s">
        <v>777</v>
      </c>
      <c r="K986" t="str">
        <f>IFERROR(VLOOKUP(F986&amp;"|"&amp;H986,Feature_Mappings!$A$2:$C$16,2,FALSE()),"")</f>
        <v>USB-C Charger</v>
      </c>
      <c r="L986" t="str">
        <f>IFERROR(VLOOKUP(F986&amp;"|"&amp;H986,Feature_Mappings!$A$2:$C$16,3,FALSE()),"")</f>
        <v>VoltEdge Electronics</v>
      </c>
      <c r="M986" t="str">
        <f>IFERROR(VLOOKUP(J986,Feature_Mappings!$D$2:$E$5,2,FALSE()),"")</f>
        <v>Ethan Parker</v>
      </c>
      <c r="N986" t="s">
        <v>778</v>
      </c>
      <c r="O986" t="str">
        <f>IFERROR(INDEX(Store_Manager!$A$2:$A$5,MATCH(M986,Store_Manager!$B$2:$B$5,0)),"")</f>
        <v>MGR004</v>
      </c>
    </row>
    <row r="987" spans="1:15" ht="15.75" customHeight="1">
      <c r="A987">
        <v>986</v>
      </c>
      <c r="B987" s="2">
        <v>44943</v>
      </c>
      <c r="C987" t="s">
        <v>1013</v>
      </c>
      <c r="D987" t="s">
        <v>21</v>
      </c>
      <c r="E987">
        <v>49</v>
      </c>
      <c r="F987" s="3" t="s">
        <v>22</v>
      </c>
      <c r="G987">
        <v>2</v>
      </c>
      <c r="H987" s="4">
        <v>500</v>
      </c>
      <c r="I987" s="4">
        <v>1000</v>
      </c>
      <c r="J987" t="s">
        <v>777</v>
      </c>
      <c r="K987" t="str">
        <f>IFERROR(VLOOKUP(F987&amp;"|"&amp;H987,Feature_Mappings!$A$2:$C$16,2,FALSE()),"")</f>
        <v>Designer Coat</v>
      </c>
      <c r="L987" t="str">
        <f>IFERROR(VLOOKUP(F987&amp;"|"&amp;H987,Feature_Mappings!$A$2:$C$16,3,FALSE()),"")</f>
        <v>Prestige Fashion House</v>
      </c>
      <c r="M987" t="str">
        <f>IFERROR(VLOOKUP(J987,Feature_Mappings!$D$2:$E$5,2,FALSE()),"")</f>
        <v>Ethan Parker</v>
      </c>
      <c r="N987" t="s">
        <v>778</v>
      </c>
      <c r="O987" t="str">
        <f>IFERROR(INDEX(Store_Manager!$A$2:$A$5,MATCH(M987,Store_Manager!$B$2:$B$5,0)),"")</f>
        <v>MGR004</v>
      </c>
    </row>
    <row r="988" spans="1:15" ht="15.75" customHeight="1">
      <c r="A988">
        <v>987</v>
      </c>
      <c r="B988" s="2">
        <v>45045</v>
      </c>
      <c r="C988" t="s">
        <v>1014</v>
      </c>
      <c r="D988" t="s">
        <v>21</v>
      </c>
      <c r="E988">
        <v>30</v>
      </c>
      <c r="F988" s="3" t="s">
        <v>22</v>
      </c>
      <c r="G988">
        <v>3</v>
      </c>
      <c r="H988" s="4">
        <v>300</v>
      </c>
      <c r="I988" s="4">
        <v>900</v>
      </c>
      <c r="J988" t="s">
        <v>777</v>
      </c>
      <c r="K988" t="str">
        <f>IFERROR(VLOOKUP(F988&amp;"|"&amp;H988,Feature_Mappings!$A$2:$C$16,2,FALSE()),"")</f>
        <v>Leather Jacket</v>
      </c>
      <c r="L988" t="str">
        <f>IFERROR(VLOOKUP(F988&amp;"|"&amp;H988,Feature_Mappings!$A$2:$C$16,3,FALSE()),"")</f>
        <v>Metro Style Manufacturing</v>
      </c>
      <c r="M988" t="str">
        <f>IFERROR(VLOOKUP(J988,Feature_Mappings!$D$2:$E$5,2,FALSE()),"")</f>
        <v>Ethan Parker</v>
      </c>
      <c r="N988" t="s">
        <v>778</v>
      </c>
      <c r="O988" t="str">
        <f>IFERROR(INDEX(Store_Manager!$A$2:$A$5,MATCH(M988,Store_Manager!$B$2:$B$5,0)),"")</f>
        <v>MGR004</v>
      </c>
    </row>
    <row r="989" spans="1:15" ht="15.75" customHeight="1">
      <c r="A989">
        <v>988</v>
      </c>
      <c r="B989" s="2">
        <v>45074</v>
      </c>
      <c r="C989" t="s">
        <v>1015</v>
      </c>
      <c r="D989" t="s">
        <v>21</v>
      </c>
      <c r="E989">
        <v>63</v>
      </c>
      <c r="F989" s="3" t="s">
        <v>22</v>
      </c>
      <c r="G989">
        <v>3</v>
      </c>
      <c r="H989" s="4">
        <v>25</v>
      </c>
      <c r="I989" s="4">
        <v>75</v>
      </c>
      <c r="J989" t="s">
        <v>777</v>
      </c>
      <c r="K989" t="str">
        <f>IFERROR(VLOOKUP(F989&amp;"|"&amp;H989,Feature_Mappings!$A$2:$C$16,2,FALSE()),"")</f>
        <v>Cotton Socks</v>
      </c>
      <c r="L989" t="str">
        <f>IFERROR(VLOOKUP(F989&amp;"|"&amp;H989,Feature_Mappings!$A$2:$C$16,3,FALSE()),"")</f>
        <v>Urban Basics Co.</v>
      </c>
      <c r="M989" t="str">
        <f>IFERROR(VLOOKUP(J989,Feature_Mappings!$D$2:$E$5,2,FALSE()),"")</f>
        <v>Ethan Parker</v>
      </c>
      <c r="N989" t="s">
        <v>778</v>
      </c>
      <c r="O989" t="str">
        <f>IFERROR(INDEX(Store_Manager!$A$2:$A$5,MATCH(M989,Store_Manager!$B$2:$B$5,0)),"")</f>
        <v>MGR004</v>
      </c>
    </row>
    <row r="990" spans="1:15" ht="15.75" customHeight="1">
      <c r="A990">
        <v>989</v>
      </c>
      <c r="B990" s="2">
        <v>45288</v>
      </c>
      <c r="C990" t="s">
        <v>1016</v>
      </c>
      <c r="D990" t="s">
        <v>21</v>
      </c>
      <c r="E990">
        <v>44</v>
      </c>
      <c r="F990" s="3" t="s">
        <v>24</v>
      </c>
      <c r="G990">
        <v>1</v>
      </c>
      <c r="H990" s="4">
        <v>25</v>
      </c>
      <c r="I990" s="4">
        <v>25</v>
      </c>
      <c r="J990" t="s">
        <v>777</v>
      </c>
      <c r="K990" t="str">
        <f>IFERROR(VLOOKUP(F990&amp;"|"&amp;H990,Feature_Mappings!$A$2:$C$16,2,FALSE()),"")</f>
        <v>USB-C Charger</v>
      </c>
      <c r="L990" t="str">
        <f>IFERROR(VLOOKUP(F990&amp;"|"&amp;H990,Feature_Mappings!$A$2:$C$16,3,FALSE()),"")</f>
        <v>VoltEdge Electronics</v>
      </c>
      <c r="M990" t="str">
        <f>IFERROR(VLOOKUP(J990,Feature_Mappings!$D$2:$E$5,2,FALSE()),"")</f>
        <v>Ethan Parker</v>
      </c>
      <c r="N990" t="s">
        <v>778</v>
      </c>
      <c r="O990" t="str">
        <f>IFERROR(INDEX(Store_Manager!$A$2:$A$5,MATCH(M990,Store_Manager!$B$2:$B$5,0)),"")</f>
        <v>MGR004</v>
      </c>
    </row>
    <row r="991" spans="1:15" ht="15.75" customHeight="1">
      <c r="A991">
        <v>990</v>
      </c>
      <c r="B991" s="2">
        <v>45071</v>
      </c>
      <c r="C991" t="s">
        <v>1017</v>
      </c>
      <c r="D991" t="s">
        <v>21</v>
      </c>
      <c r="E991">
        <v>58</v>
      </c>
      <c r="F991" s="3" t="s">
        <v>17</v>
      </c>
      <c r="G991">
        <v>2</v>
      </c>
      <c r="H991" s="4">
        <v>500</v>
      </c>
      <c r="I991" s="4">
        <v>1000</v>
      </c>
      <c r="J991" t="s">
        <v>777</v>
      </c>
      <c r="K991" t="str">
        <f>IFERROR(VLOOKUP(F991&amp;"|"&amp;H991,Feature_Mappings!$A$2:$C$16,2,FALSE()),"")</f>
        <v>LED Beauty Device</v>
      </c>
      <c r="L991" t="str">
        <f>IFERROR(VLOOKUP(F991&amp;"|"&amp;H991,Feature_Mappings!$A$2:$C$16,3,FALSE()),"")</f>
        <v>BeautyTech Pro</v>
      </c>
      <c r="M991" t="str">
        <f>IFERROR(VLOOKUP(J991,Feature_Mappings!$D$2:$E$5,2,FALSE()),"")</f>
        <v>Ethan Parker</v>
      </c>
      <c r="N991" t="s">
        <v>778</v>
      </c>
      <c r="O991" t="str">
        <f>IFERROR(INDEX(Store_Manager!$A$2:$A$5,MATCH(M991,Store_Manager!$B$2:$B$5,0)),"")</f>
        <v>MGR004</v>
      </c>
    </row>
    <row r="992" spans="1:15" ht="15.75" customHeight="1">
      <c r="A992">
        <v>991</v>
      </c>
      <c r="B992" s="2">
        <v>45286</v>
      </c>
      <c r="C992" t="s">
        <v>1018</v>
      </c>
      <c r="D992" t="s">
        <v>21</v>
      </c>
      <c r="E992">
        <v>34</v>
      </c>
      <c r="F992" s="3" t="s">
        <v>22</v>
      </c>
      <c r="G992">
        <v>2</v>
      </c>
      <c r="H992" s="4">
        <v>50</v>
      </c>
      <c r="I992" s="4">
        <v>100</v>
      </c>
      <c r="J992" t="s">
        <v>777</v>
      </c>
      <c r="K992" t="str">
        <f>IFERROR(VLOOKUP(F992&amp;"|"&amp;H992,Feature_Mappings!$A$2:$C$16,2,FALSE()),"")</f>
        <v>Denim Jeans</v>
      </c>
      <c r="L992" t="str">
        <f>IFERROR(VLOOKUP(F992&amp;"|"&amp;H992,Feature_Mappings!$A$2:$C$16,3,FALSE()),"")</f>
        <v>BlueFit Garments</v>
      </c>
      <c r="M992" t="str">
        <f>IFERROR(VLOOKUP(J992,Feature_Mappings!$D$2:$E$5,2,FALSE()),"")</f>
        <v>Ethan Parker</v>
      </c>
      <c r="N992" t="s">
        <v>778</v>
      </c>
      <c r="O992" t="str">
        <f>IFERROR(INDEX(Store_Manager!$A$2:$A$5,MATCH(M992,Store_Manager!$B$2:$B$5,0)),"")</f>
        <v>MGR004</v>
      </c>
    </row>
    <row r="993" spans="1:15" ht="15.75" customHeight="1">
      <c r="A993">
        <v>992</v>
      </c>
      <c r="B993" s="2">
        <v>45159</v>
      </c>
      <c r="C993" t="s">
        <v>1019</v>
      </c>
      <c r="D993" t="s">
        <v>21</v>
      </c>
      <c r="E993">
        <v>57</v>
      </c>
      <c r="F993" s="3" t="s">
        <v>24</v>
      </c>
      <c r="G993">
        <v>2</v>
      </c>
      <c r="H993" s="4">
        <v>30</v>
      </c>
      <c r="I993" s="4">
        <v>60</v>
      </c>
      <c r="J993" t="s">
        <v>777</v>
      </c>
      <c r="K993" t="str">
        <f>IFERROR(VLOOKUP(F993&amp;"|"&amp;H993,Feature_Mappings!$A$2:$C$16,2,FALSE()),"")</f>
        <v>Wireless Mouse</v>
      </c>
      <c r="L993" t="str">
        <f>IFERROR(VLOOKUP(F993&amp;"|"&amp;H993,Feature_Mappings!$A$2:$C$16,3,FALSE()),"")</f>
        <v>ByteWave Distributors</v>
      </c>
      <c r="M993" t="str">
        <f>IFERROR(VLOOKUP(J993,Feature_Mappings!$D$2:$E$5,2,FALSE()),"")</f>
        <v>Ethan Parker</v>
      </c>
      <c r="N993" t="s">
        <v>778</v>
      </c>
      <c r="O993" t="str">
        <f>IFERROR(INDEX(Store_Manager!$A$2:$A$5,MATCH(M993,Store_Manager!$B$2:$B$5,0)),"")</f>
        <v>MGR004</v>
      </c>
    </row>
    <row r="994" spans="1:15" ht="15.75" customHeight="1">
      <c r="A994">
        <v>993</v>
      </c>
      <c r="B994" s="2">
        <v>44963</v>
      </c>
      <c r="C994" t="s">
        <v>1020</v>
      </c>
      <c r="D994" t="s">
        <v>21</v>
      </c>
      <c r="E994">
        <v>48</v>
      </c>
      <c r="F994" s="3" t="s">
        <v>24</v>
      </c>
      <c r="G994">
        <v>3</v>
      </c>
      <c r="H994" s="4">
        <v>50</v>
      </c>
      <c r="I994" s="4">
        <v>150</v>
      </c>
      <c r="J994" t="s">
        <v>777</v>
      </c>
      <c r="K994" t="str">
        <f>IFERROR(VLOOKUP(F994&amp;"|"&amp;H994,Feature_Mappings!$A$2:$C$16,2,FALSE()),"")</f>
        <v>Bluetooth Speaker</v>
      </c>
      <c r="L994" t="str">
        <f>IFERROR(VLOOKUP(F994&amp;"|"&amp;H994,Feature_Mappings!$A$2:$C$16,3,FALSE()),"")</f>
        <v>SoundSphere Supply</v>
      </c>
      <c r="M994" t="str">
        <f>IFERROR(VLOOKUP(J994,Feature_Mappings!$D$2:$E$5,2,FALSE()),"")</f>
        <v>Ethan Parker</v>
      </c>
      <c r="N994" t="s">
        <v>778</v>
      </c>
      <c r="O994" t="str">
        <f>IFERROR(INDEX(Store_Manager!$A$2:$A$5,MATCH(M994,Store_Manager!$B$2:$B$5,0)),"")</f>
        <v>MGR004</v>
      </c>
    </row>
    <row r="995" spans="1:15" ht="15.75" customHeight="1">
      <c r="A995">
        <v>994</v>
      </c>
      <c r="B995" s="2">
        <v>45278</v>
      </c>
      <c r="C995" t="s">
        <v>1021</v>
      </c>
      <c r="D995" t="s">
        <v>21</v>
      </c>
      <c r="E995">
        <v>51</v>
      </c>
      <c r="F995" s="3" t="s">
        <v>17</v>
      </c>
      <c r="G995">
        <v>2</v>
      </c>
      <c r="H995" s="4">
        <v>500</v>
      </c>
      <c r="I995" s="4">
        <v>1000</v>
      </c>
      <c r="J995" t="s">
        <v>777</v>
      </c>
      <c r="K995" t="str">
        <f>IFERROR(VLOOKUP(F995&amp;"|"&amp;H995,Feature_Mappings!$A$2:$C$16,2,FALSE()),"")</f>
        <v>LED Beauty Device</v>
      </c>
      <c r="L995" t="str">
        <f>IFERROR(VLOOKUP(F995&amp;"|"&amp;H995,Feature_Mappings!$A$2:$C$16,3,FALSE()),"")</f>
        <v>BeautyTech Pro</v>
      </c>
      <c r="M995" t="str">
        <f>IFERROR(VLOOKUP(J995,Feature_Mappings!$D$2:$E$5,2,FALSE()),"")</f>
        <v>Ethan Parker</v>
      </c>
      <c r="N995" t="s">
        <v>778</v>
      </c>
      <c r="O995" t="str">
        <f>IFERROR(INDEX(Store_Manager!$A$2:$A$5,MATCH(M995,Store_Manager!$B$2:$B$5,0)),"")</f>
        <v>MGR004</v>
      </c>
    </row>
    <row r="996" spans="1:15" ht="15.75" customHeight="1">
      <c r="A996">
        <v>995</v>
      </c>
      <c r="B996" s="2">
        <v>45046</v>
      </c>
      <c r="C996" t="s">
        <v>1022</v>
      </c>
      <c r="D996" t="s">
        <v>21</v>
      </c>
      <c r="E996">
        <v>41</v>
      </c>
      <c r="F996" s="3" t="s">
        <v>22</v>
      </c>
      <c r="G996">
        <v>1</v>
      </c>
      <c r="H996" s="4">
        <v>30</v>
      </c>
      <c r="I996" s="4">
        <v>30</v>
      </c>
      <c r="J996" t="s">
        <v>777</v>
      </c>
      <c r="K996" t="str">
        <f>IFERROR(VLOOKUP(F996&amp;"|"&amp;H996,Feature_Mappings!$A$2:$C$16,2,FALSE()),"")</f>
        <v>Graphic T-Shirt</v>
      </c>
      <c r="L996" t="str">
        <f>IFERROR(VLOOKUP(F996&amp;"|"&amp;H996,Feature_Mappings!$A$2:$C$16,3,FALSE()),"")</f>
        <v>ThreadWorks Apparel</v>
      </c>
      <c r="M996" t="str">
        <f>IFERROR(VLOOKUP(J996,Feature_Mappings!$D$2:$E$5,2,FALSE()),"")</f>
        <v>Ethan Parker</v>
      </c>
      <c r="N996" t="s">
        <v>778</v>
      </c>
      <c r="O996" t="str">
        <f>IFERROR(INDEX(Store_Manager!$A$2:$A$5,MATCH(M996,Store_Manager!$B$2:$B$5,0)),"")</f>
        <v>MGR004</v>
      </c>
    </row>
    <row r="997" spans="1:15" ht="15.75" customHeight="1">
      <c r="A997">
        <v>996</v>
      </c>
      <c r="B997" s="2">
        <v>45062</v>
      </c>
      <c r="C997" t="s">
        <v>1023</v>
      </c>
      <c r="D997" t="s">
        <v>16</v>
      </c>
      <c r="E997">
        <v>62</v>
      </c>
      <c r="F997" s="3" t="s">
        <v>22</v>
      </c>
      <c r="G997">
        <v>1</v>
      </c>
      <c r="H997" s="4">
        <v>50</v>
      </c>
      <c r="I997" s="4">
        <v>50</v>
      </c>
      <c r="J997" t="s">
        <v>777</v>
      </c>
      <c r="K997" t="str">
        <f>IFERROR(VLOOKUP(F997&amp;"|"&amp;H997,Feature_Mappings!$A$2:$C$16,2,FALSE()),"")</f>
        <v>Denim Jeans</v>
      </c>
      <c r="L997" t="str">
        <f>IFERROR(VLOOKUP(F997&amp;"|"&amp;H997,Feature_Mappings!$A$2:$C$16,3,FALSE()),"")</f>
        <v>BlueFit Garments</v>
      </c>
      <c r="M997" t="str">
        <f>IFERROR(VLOOKUP(J997,Feature_Mappings!$D$2:$E$5,2,FALSE()),"")</f>
        <v>Ethan Parker</v>
      </c>
      <c r="N997" t="s">
        <v>778</v>
      </c>
      <c r="O997" t="str">
        <f>IFERROR(INDEX(Store_Manager!$A$2:$A$5,MATCH(M997,Store_Manager!$B$2:$B$5,0)),"")</f>
        <v>MGR004</v>
      </c>
    </row>
    <row r="998" spans="1:15" ht="15.75" customHeight="1">
      <c r="A998">
        <v>997</v>
      </c>
      <c r="B998" s="2">
        <v>45247</v>
      </c>
      <c r="C998" t="s">
        <v>1024</v>
      </c>
      <c r="D998" t="s">
        <v>16</v>
      </c>
      <c r="E998">
        <v>52</v>
      </c>
      <c r="F998" s="3" t="s">
        <v>17</v>
      </c>
      <c r="G998">
        <v>3</v>
      </c>
      <c r="H998" s="4">
        <v>30</v>
      </c>
      <c r="I998" s="4">
        <v>90</v>
      </c>
      <c r="J998" t="s">
        <v>777</v>
      </c>
      <c r="K998" t="str">
        <f>IFERROR(VLOOKUP(F998&amp;"|"&amp;H998,Feature_Mappings!$A$2:$C$16,2,FALSE()),"")</f>
        <v>Facial Cleanser</v>
      </c>
      <c r="L998" t="str">
        <f>IFERROR(VLOOKUP(F998&amp;"|"&amp;H998,Feature_Mappings!$A$2:$C$16,3,FALSE()),"")</f>
        <v>PureDerma Supplies</v>
      </c>
      <c r="M998" t="str">
        <f>IFERROR(VLOOKUP(J998,Feature_Mappings!$D$2:$E$5,2,FALSE()),"")</f>
        <v>Ethan Parker</v>
      </c>
      <c r="N998" t="s">
        <v>778</v>
      </c>
      <c r="O998" t="str">
        <f>IFERROR(INDEX(Store_Manager!$A$2:$A$5,MATCH(M998,Store_Manager!$B$2:$B$5,0)),"")</f>
        <v>MGR004</v>
      </c>
    </row>
    <row r="999" spans="1:15" ht="15.75" customHeight="1">
      <c r="A999">
        <v>998</v>
      </c>
      <c r="B999" s="2">
        <v>45228</v>
      </c>
      <c r="C999" t="s">
        <v>1025</v>
      </c>
      <c r="D999" t="s">
        <v>21</v>
      </c>
      <c r="E999">
        <v>23</v>
      </c>
      <c r="F999" s="3" t="s">
        <v>17</v>
      </c>
      <c r="G999">
        <v>4</v>
      </c>
      <c r="H999" s="4">
        <v>25</v>
      </c>
      <c r="I999" s="4">
        <v>100</v>
      </c>
      <c r="J999" t="s">
        <v>777</v>
      </c>
      <c r="K999" t="str">
        <f>IFERROR(VLOOKUP(F999&amp;"|"&amp;H999,Feature_Mappings!$A$2:$C$16,2,FALSE()),"")</f>
        <v>Lip Balm</v>
      </c>
      <c r="L999" t="str">
        <f>IFERROR(VLOOKUP(F999&amp;"|"&amp;H999,Feature_Mappings!$A$2:$C$16,3,FALSE()),"")</f>
        <v>GlowSource Cosmetics</v>
      </c>
      <c r="M999" t="str">
        <f>IFERROR(VLOOKUP(J999,Feature_Mappings!$D$2:$E$5,2,FALSE()),"")</f>
        <v>Ethan Parker</v>
      </c>
      <c r="N999" t="s">
        <v>778</v>
      </c>
      <c r="O999" t="str">
        <f>IFERROR(INDEX(Store_Manager!$A$2:$A$5,MATCH(M999,Store_Manager!$B$2:$B$5,0)),"")</f>
        <v>MGR004</v>
      </c>
    </row>
    <row r="1000" spans="1:15" ht="15.75" customHeight="1">
      <c r="A1000">
        <v>999</v>
      </c>
      <c r="B1000" s="2">
        <v>45265</v>
      </c>
      <c r="C1000" t="s">
        <v>1026</v>
      </c>
      <c r="D1000" t="s">
        <v>21</v>
      </c>
      <c r="E1000">
        <v>36</v>
      </c>
      <c r="F1000" s="3" t="s">
        <v>24</v>
      </c>
      <c r="G1000">
        <v>3</v>
      </c>
      <c r="H1000" s="4">
        <v>50</v>
      </c>
      <c r="I1000" s="4">
        <v>150</v>
      </c>
      <c r="J1000" t="s">
        <v>777</v>
      </c>
      <c r="K1000" t="str">
        <f>IFERROR(VLOOKUP(F1000&amp;"|"&amp;H1000,Feature_Mappings!$A$2:$C$16,2,FALSE()),"")</f>
        <v>Bluetooth Speaker</v>
      </c>
      <c r="L1000" t="str">
        <f>IFERROR(VLOOKUP(F1000&amp;"|"&amp;H1000,Feature_Mappings!$A$2:$C$16,3,FALSE()),"")</f>
        <v>SoundSphere Supply</v>
      </c>
      <c r="M1000" t="str">
        <f>IFERROR(VLOOKUP(J1000,Feature_Mappings!$D$2:$E$5,2,FALSE()),"")</f>
        <v>Ethan Parker</v>
      </c>
      <c r="N1000" t="s">
        <v>778</v>
      </c>
      <c r="O1000" t="str">
        <f>IFERROR(INDEX(Store_Manager!$A$2:$A$5,MATCH(M1000,Store_Manager!$B$2:$B$5,0)),"")</f>
        <v>MGR004</v>
      </c>
    </row>
    <row r="1001" spans="1:15" ht="15.75" customHeight="1">
      <c r="A1001">
        <v>1000</v>
      </c>
      <c r="B1001" s="2">
        <v>45028</v>
      </c>
      <c r="C1001" t="s">
        <v>1027</v>
      </c>
      <c r="D1001" t="s">
        <v>16</v>
      </c>
      <c r="E1001">
        <v>47</v>
      </c>
      <c r="F1001" s="3" t="s">
        <v>24</v>
      </c>
      <c r="G1001">
        <v>4</v>
      </c>
      <c r="H1001" s="4">
        <v>30</v>
      </c>
      <c r="I1001" s="4">
        <v>120</v>
      </c>
      <c r="J1001" t="s">
        <v>777</v>
      </c>
      <c r="K1001" t="str">
        <f>IFERROR(VLOOKUP(F1001&amp;"|"&amp;H1001,Feature_Mappings!$A$2:$C$16,2,FALSE()),"")</f>
        <v>Wireless Mouse</v>
      </c>
      <c r="L1001" t="str">
        <f>IFERROR(VLOOKUP(F1001&amp;"|"&amp;H1001,Feature_Mappings!$A$2:$C$16,3,FALSE()),"")</f>
        <v>ByteWave Distributors</v>
      </c>
      <c r="M1001" t="str">
        <f>IFERROR(VLOOKUP(J1001,Feature_Mappings!$D$2:$E$5,2,FALSE()),"")</f>
        <v>Ethan Parker</v>
      </c>
      <c r="N1001" t="s">
        <v>778</v>
      </c>
      <c r="O1001" t="str">
        <f>IFERROR(INDEX(Store_Manager!$A$2:$A$5,MATCH(M1001,Store_Manager!$B$2:$B$5,0)),"")</f>
        <v>MGR004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>
      <pane ySplit="1" topLeftCell="A2" activePane="bottomLeft" state="frozen"/>
      <selection pane="bottomLeft" activeCell="E19" sqref="E19"/>
    </sheetView>
  </sheetViews>
  <sheetFormatPr defaultColWidth="10.5703125" defaultRowHeight="15" customHeight="1"/>
  <cols>
    <col min="1" max="1" width="24.7109375" customWidth="1"/>
    <col min="2" max="3" width="29.5703125" customWidth="1"/>
    <col min="4" max="5" width="19.7109375" customWidth="1"/>
  </cols>
  <sheetData>
    <row r="1" spans="1:5">
      <c r="A1" s="5" t="s">
        <v>1028</v>
      </c>
      <c r="B1" s="5" t="s">
        <v>10</v>
      </c>
      <c r="C1" s="5" t="s">
        <v>11</v>
      </c>
      <c r="D1" s="5" t="s">
        <v>9</v>
      </c>
      <c r="E1" s="5" t="s">
        <v>12</v>
      </c>
    </row>
    <row r="2" spans="1:5">
      <c r="A2" t="s">
        <v>1029</v>
      </c>
      <c r="B2" t="s">
        <v>1030</v>
      </c>
      <c r="C2" t="s">
        <v>1031</v>
      </c>
      <c r="D2" t="s">
        <v>18</v>
      </c>
      <c r="E2" t="s">
        <v>1032</v>
      </c>
    </row>
    <row r="3" spans="1:5">
      <c r="A3" t="s">
        <v>1033</v>
      </c>
      <c r="B3" t="s">
        <v>1034</v>
      </c>
      <c r="C3" t="s">
        <v>1035</v>
      </c>
      <c r="D3" t="s">
        <v>273</v>
      </c>
      <c r="E3" t="s">
        <v>1036</v>
      </c>
    </row>
    <row r="4" spans="1:5">
      <c r="A4" t="s">
        <v>1037</v>
      </c>
      <c r="B4" t="s">
        <v>1038</v>
      </c>
      <c r="C4" t="s">
        <v>1039</v>
      </c>
      <c r="D4" t="s">
        <v>525</v>
      </c>
      <c r="E4" t="s">
        <v>1040</v>
      </c>
    </row>
    <row r="5" spans="1:5">
      <c r="A5" t="s">
        <v>1041</v>
      </c>
      <c r="B5" t="s">
        <v>1042</v>
      </c>
      <c r="C5" t="s">
        <v>1043</v>
      </c>
      <c r="D5" t="s">
        <v>777</v>
      </c>
      <c r="E5" t="s">
        <v>1044</v>
      </c>
    </row>
    <row r="6" spans="1:5">
      <c r="A6" t="s">
        <v>1045</v>
      </c>
      <c r="B6" t="s">
        <v>1046</v>
      </c>
      <c r="C6" t="s">
        <v>1047</v>
      </c>
    </row>
    <row r="7" spans="1:5">
      <c r="A7" t="s">
        <v>1048</v>
      </c>
      <c r="B7" t="s">
        <v>1049</v>
      </c>
      <c r="C7" t="s">
        <v>1050</v>
      </c>
    </row>
    <row r="8" spans="1:5">
      <c r="A8" t="s">
        <v>1051</v>
      </c>
      <c r="B8" t="s">
        <v>1052</v>
      </c>
      <c r="C8" t="s">
        <v>1053</v>
      </c>
    </row>
    <row r="9" spans="1:5">
      <c r="A9" t="s">
        <v>1054</v>
      </c>
      <c r="B9" t="s">
        <v>1055</v>
      </c>
      <c r="C9" t="s">
        <v>1056</v>
      </c>
    </row>
    <row r="10" spans="1:5">
      <c r="A10" t="s">
        <v>1057</v>
      </c>
      <c r="B10" t="s">
        <v>1058</v>
      </c>
      <c r="C10" t="s">
        <v>1059</v>
      </c>
    </row>
    <row r="11" spans="1:5">
      <c r="A11" t="s">
        <v>1060</v>
      </c>
      <c r="B11" t="s">
        <v>1061</v>
      </c>
      <c r="C11" t="s">
        <v>1062</v>
      </c>
    </row>
    <row r="12" spans="1:5">
      <c r="A12" t="s">
        <v>1063</v>
      </c>
      <c r="B12" t="s">
        <v>1064</v>
      </c>
      <c r="C12" t="s">
        <v>1065</v>
      </c>
    </row>
    <row r="13" spans="1:5">
      <c r="A13" t="s">
        <v>1066</v>
      </c>
      <c r="B13" t="s">
        <v>1067</v>
      </c>
      <c r="C13" t="s">
        <v>1068</v>
      </c>
    </row>
    <row r="14" spans="1:5">
      <c r="A14" t="s">
        <v>1069</v>
      </c>
      <c r="B14" t="s">
        <v>1070</v>
      </c>
      <c r="C14" t="s">
        <v>1071</v>
      </c>
    </row>
    <row r="15" spans="1:5">
      <c r="A15" t="s">
        <v>1072</v>
      </c>
      <c r="B15" t="s">
        <v>1073</v>
      </c>
      <c r="C15" t="s">
        <v>1074</v>
      </c>
    </row>
    <row r="16" spans="1:5">
      <c r="A16" t="s">
        <v>1075</v>
      </c>
      <c r="B16" t="s">
        <v>1076</v>
      </c>
      <c r="C16" t="s">
        <v>1077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defaultColWidth="10.5703125" defaultRowHeight="15" customHeight="1"/>
  <cols>
    <col min="1" max="1" width="22.28515625" customWidth="1"/>
    <col min="2" max="2" width="19.7109375" customWidth="1"/>
    <col min="3" max="3" width="29.5703125" customWidth="1"/>
    <col min="4" max="4" width="17.28515625" customWidth="1"/>
    <col min="5" max="5" width="14.85546875" customWidth="1"/>
    <col min="6" max="6" width="22.28515625" customWidth="1"/>
    <col min="7" max="7" width="19.7109375" customWidth="1"/>
  </cols>
  <sheetData>
    <row r="1" spans="1:7">
      <c r="A1" s="1" t="s">
        <v>14</v>
      </c>
      <c r="B1" s="1" t="s">
        <v>1078</v>
      </c>
      <c r="C1" s="1" t="s">
        <v>1079</v>
      </c>
      <c r="D1" s="1" t="s">
        <v>1080</v>
      </c>
      <c r="E1" s="1" t="s">
        <v>1081</v>
      </c>
      <c r="F1" s="1" t="s">
        <v>1082</v>
      </c>
      <c r="G1" s="1" t="s">
        <v>9</v>
      </c>
    </row>
    <row r="2" spans="1:7">
      <c r="A2" t="s">
        <v>1083</v>
      </c>
      <c r="B2" t="s">
        <v>1032</v>
      </c>
      <c r="C2" t="s">
        <v>1084</v>
      </c>
      <c r="D2" t="s">
        <v>1085</v>
      </c>
      <c r="E2" s="2">
        <v>43542</v>
      </c>
      <c r="F2" t="s">
        <v>1086</v>
      </c>
      <c r="G2" t="s">
        <v>18</v>
      </c>
    </row>
    <row r="3" spans="1:7">
      <c r="A3" t="s">
        <v>1087</v>
      </c>
      <c r="B3" t="s">
        <v>1036</v>
      </c>
      <c r="C3" t="s">
        <v>1088</v>
      </c>
      <c r="D3" t="s">
        <v>1089</v>
      </c>
      <c r="E3" s="2">
        <v>44018</v>
      </c>
      <c r="F3" t="s">
        <v>12</v>
      </c>
      <c r="G3" t="s">
        <v>273</v>
      </c>
    </row>
    <row r="4" spans="1:7">
      <c r="A4" t="s">
        <v>1090</v>
      </c>
      <c r="B4" t="s">
        <v>1040</v>
      </c>
      <c r="C4" t="s">
        <v>1091</v>
      </c>
      <c r="D4" t="s">
        <v>1092</v>
      </c>
      <c r="E4" s="2">
        <v>43416</v>
      </c>
      <c r="F4" t="s">
        <v>1086</v>
      </c>
      <c r="G4" t="s">
        <v>525</v>
      </c>
    </row>
    <row r="5" spans="1:7">
      <c r="A5" t="s">
        <v>1093</v>
      </c>
      <c r="B5" t="s">
        <v>1044</v>
      </c>
      <c r="C5" t="s">
        <v>1094</v>
      </c>
      <c r="D5" t="s">
        <v>1095</v>
      </c>
      <c r="E5" s="2">
        <v>44221</v>
      </c>
      <c r="F5" t="s">
        <v>12</v>
      </c>
      <c r="G5" t="s">
        <v>777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zoomScaleNormal="100" workbookViewId="0">
      <pane ySplit="1" topLeftCell="A2" activePane="bottomLeft" state="frozen"/>
      <selection pane="bottomLeft" activeCell="A5" sqref="A5"/>
    </sheetView>
  </sheetViews>
  <sheetFormatPr defaultColWidth="10.5703125" defaultRowHeight="15" customHeight="1"/>
  <cols>
    <col min="1" max="1" width="14.85546875" customWidth="1"/>
    <col min="2" max="2" width="28.42578125" customWidth="1"/>
    <col min="3" max="3" width="19.7109375" customWidth="1"/>
    <col min="4" max="4" width="14.85546875" customWidth="1"/>
    <col min="5" max="5" width="22.28515625" customWidth="1"/>
    <col min="6" max="6" width="19.7109375" customWidth="1"/>
  </cols>
  <sheetData>
    <row r="1" spans="1:6">
      <c r="A1" s="1" t="s">
        <v>13</v>
      </c>
      <c r="B1" s="1" t="s">
        <v>1096</v>
      </c>
      <c r="C1" s="1" t="s">
        <v>9</v>
      </c>
      <c r="D1" s="1" t="s">
        <v>1097</v>
      </c>
      <c r="E1" s="1" t="s">
        <v>14</v>
      </c>
      <c r="F1" s="1" t="s">
        <v>12</v>
      </c>
    </row>
    <row r="2" spans="1:6">
      <c r="A2" t="s">
        <v>19</v>
      </c>
      <c r="B2" t="s">
        <v>1098</v>
      </c>
      <c r="C2" t="s">
        <v>1099</v>
      </c>
      <c r="D2" s="2">
        <v>42979</v>
      </c>
      <c r="E2" t="s">
        <v>1083</v>
      </c>
      <c r="F2" t="s">
        <v>1032</v>
      </c>
    </row>
    <row r="3" spans="1:6">
      <c r="A3" t="s">
        <v>274</v>
      </c>
      <c r="B3" t="s">
        <v>1100</v>
      </c>
      <c r="C3" t="s">
        <v>1101</v>
      </c>
      <c r="D3" s="2">
        <v>43234</v>
      </c>
      <c r="E3" t="s">
        <v>1087</v>
      </c>
      <c r="F3" t="s">
        <v>1036</v>
      </c>
    </row>
    <row r="4" spans="1:6">
      <c r="A4" t="s">
        <v>526</v>
      </c>
      <c r="B4" t="s">
        <v>1102</v>
      </c>
      <c r="C4" t="s">
        <v>1103</v>
      </c>
      <c r="D4" s="2">
        <v>43696</v>
      </c>
      <c r="E4" t="s">
        <v>1090</v>
      </c>
      <c r="F4" t="s">
        <v>1040</v>
      </c>
    </row>
    <row r="5" spans="1:6">
      <c r="A5" t="s">
        <v>778</v>
      </c>
      <c r="B5" t="s">
        <v>1104</v>
      </c>
      <c r="C5" t="s">
        <v>1105</v>
      </c>
      <c r="D5" s="2">
        <v>43871</v>
      </c>
      <c r="E5" t="s">
        <v>1093</v>
      </c>
      <c r="F5" t="s">
        <v>1044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1"/>
  <sheetViews>
    <sheetView zoomScaleNormal="100" workbookViewId="0">
      <pane ySplit="1" topLeftCell="E2" activePane="bottomLeft" state="frozen"/>
      <selection pane="bottomLeft" activeCell="K1" sqref="K1"/>
    </sheetView>
  </sheetViews>
  <sheetFormatPr defaultColWidth="10.5703125" defaultRowHeight="15" customHeight="1"/>
  <cols>
    <col min="1" max="1" width="16" customWidth="1"/>
    <col min="2" max="6" width="14.85546875" customWidth="1"/>
    <col min="7" max="7" width="29.5703125" customWidth="1"/>
    <col min="8" max="8" width="17.28515625" customWidth="1"/>
    <col min="9" max="9" width="14.85546875" customWidth="1"/>
    <col min="10" max="10" width="17.28515625" customWidth="1"/>
    <col min="11" max="11" width="18.5703125" customWidth="1"/>
    <col min="12" max="12" width="25.85546875" customWidth="1"/>
    <col min="13" max="15" width="14.85546875" customWidth="1"/>
  </cols>
  <sheetData>
    <row r="1" spans="1:15" ht="14.25">
      <c r="A1" s="1" t="s">
        <v>2</v>
      </c>
      <c r="B1" s="1" t="s">
        <v>1106</v>
      </c>
      <c r="C1" s="1" t="s">
        <v>1107</v>
      </c>
      <c r="D1" s="1" t="s">
        <v>3</v>
      </c>
      <c r="E1" s="1" t="s">
        <v>4</v>
      </c>
      <c r="F1" s="1" t="s">
        <v>1108</v>
      </c>
      <c r="G1" s="1" t="s">
        <v>1079</v>
      </c>
      <c r="H1" s="1" t="s">
        <v>1080</v>
      </c>
      <c r="I1" s="1" t="s">
        <v>1109</v>
      </c>
      <c r="J1" s="1" t="s">
        <v>1110</v>
      </c>
      <c r="K1" s="1" t="s">
        <v>1111</v>
      </c>
      <c r="L1" s="1" t="s">
        <v>1112</v>
      </c>
      <c r="M1" s="1" t="s">
        <v>1113</v>
      </c>
      <c r="N1" s="1" t="s">
        <v>1114</v>
      </c>
      <c r="O1" s="1" t="s">
        <v>1115</v>
      </c>
    </row>
    <row r="2" spans="1:15" ht="15.75">
      <c r="A2" t="s">
        <v>15</v>
      </c>
      <c r="B2" t="s">
        <v>1116</v>
      </c>
      <c r="C2" t="s">
        <v>1117</v>
      </c>
      <c r="D2" t="s">
        <v>16</v>
      </c>
      <c r="E2">
        <v>34</v>
      </c>
      <c r="F2" t="s">
        <v>1118</v>
      </c>
      <c r="G2" t="s">
        <v>1119</v>
      </c>
      <c r="H2" t="s">
        <v>1120</v>
      </c>
      <c r="I2" s="2">
        <v>44562</v>
      </c>
      <c r="J2" t="s">
        <v>1121</v>
      </c>
      <c r="K2" t="s">
        <v>19</v>
      </c>
      <c r="L2" t="s">
        <v>18</v>
      </c>
      <c r="M2" t="s">
        <v>1122</v>
      </c>
      <c r="N2" t="s">
        <v>1123</v>
      </c>
      <c r="O2" t="s">
        <v>1124</v>
      </c>
    </row>
    <row r="3" spans="1:15" ht="15.75">
      <c r="A3" t="s">
        <v>20</v>
      </c>
      <c r="B3" t="s">
        <v>1125</v>
      </c>
      <c r="C3" t="s">
        <v>1117</v>
      </c>
      <c r="D3" t="s">
        <v>21</v>
      </c>
      <c r="E3">
        <v>26</v>
      </c>
      <c r="F3" t="s">
        <v>1118</v>
      </c>
      <c r="G3" t="s">
        <v>1126</v>
      </c>
      <c r="H3" t="s">
        <v>1127</v>
      </c>
      <c r="I3" s="2">
        <v>44959</v>
      </c>
      <c r="J3" t="s">
        <v>1128</v>
      </c>
      <c r="K3" t="s">
        <v>19</v>
      </c>
      <c r="L3" t="s">
        <v>18</v>
      </c>
      <c r="M3" t="s">
        <v>1129</v>
      </c>
      <c r="N3" t="s">
        <v>1123</v>
      </c>
      <c r="O3" t="s">
        <v>1130</v>
      </c>
    </row>
    <row r="4" spans="1:15" ht="15.75">
      <c r="A4" t="s">
        <v>23</v>
      </c>
      <c r="B4" t="s">
        <v>1131</v>
      </c>
      <c r="C4" t="s">
        <v>1117</v>
      </c>
      <c r="D4" t="s">
        <v>16</v>
      </c>
      <c r="E4">
        <v>50</v>
      </c>
      <c r="F4" t="s">
        <v>1132</v>
      </c>
      <c r="G4" t="s">
        <v>1133</v>
      </c>
      <c r="H4" t="s">
        <v>1134</v>
      </c>
      <c r="I4" s="2">
        <v>44258</v>
      </c>
      <c r="J4" t="s">
        <v>1135</v>
      </c>
      <c r="K4" t="s">
        <v>19</v>
      </c>
      <c r="L4" t="s">
        <v>18</v>
      </c>
      <c r="M4" t="s">
        <v>1136</v>
      </c>
      <c r="N4" t="s">
        <v>1123</v>
      </c>
      <c r="O4" t="s">
        <v>1137</v>
      </c>
    </row>
    <row r="5" spans="1:15" ht="15.75">
      <c r="A5" t="s">
        <v>25</v>
      </c>
      <c r="B5" t="s">
        <v>1138</v>
      </c>
      <c r="C5" t="s">
        <v>1117</v>
      </c>
      <c r="D5" t="s">
        <v>16</v>
      </c>
      <c r="E5">
        <v>37</v>
      </c>
      <c r="F5" t="s">
        <v>1139</v>
      </c>
      <c r="G5" t="s">
        <v>1140</v>
      </c>
      <c r="H5" t="s">
        <v>1141</v>
      </c>
      <c r="I5" s="2">
        <v>44655</v>
      </c>
      <c r="J5" t="s">
        <v>1142</v>
      </c>
      <c r="K5" t="s">
        <v>19</v>
      </c>
      <c r="L5" t="s">
        <v>18</v>
      </c>
      <c r="M5" t="s">
        <v>1143</v>
      </c>
      <c r="N5" t="s">
        <v>1123</v>
      </c>
      <c r="O5" t="s">
        <v>1144</v>
      </c>
    </row>
    <row r="6" spans="1:15" ht="15.75">
      <c r="A6" t="s">
        <v>26</v>
      </c>
      <c r="B6" t="s">
        <v>1145</v>
      </c>
      <c r="C6" t="s">
        <v>1117</v>
      </c>
      <c r="D6" t="s">
        <v>16</v>
      </c>
      <c r="E6">
        <v>30</v>
      </c>
      <c r="F6" t="s">
        <v>1118</v>
      </c>
      <c r="G6" t="s">
        <v>1146</v>
      </c>
      <c r="H6" t="s">
        <v>1147</v>
      </c>
      <c r="I6" s="2">
        <v>45051</v>
      </c>
      <c r="J6" t="s">
        <v>1121</v>
      </c>
      <c r="K6" t="s">
        <v>19</v>
      </c>
      <c r="L6" t="s">
        <v>18</v>
      </c>
      <c r="M6" t="s">
        <v>1122</v>
      </c>
      <c r="N6" t="s">
        <v>1123</v>
      </c>
      <c r="O6" t="s">
        <v>1124</v>
      </c>
    </row>
    <row r="7" spans="1:15" ht="15.75">
      <c r="A7" t="s">
        <v>27</v>
      </c>
      <c r="B7" t="s">
        <v>1148</v>
      </c>
      <c r="C7" t="s">
        <v>1117</v>
      </c>
      <c r="D7" t="s">
        <v>21</v>
      </c>
      <c r="E7">
        <v>45</v>
      </c>
      <c r="F7" t="s">
        <v>1139</v>
      </c>
      <c r="G7" t="s">
        <v>1149</v>
      </c>
      <c r="H7" t="s">
        <v>1150</v>
      </c>
      <c r="I7" s="2">
        <v>44353</v>
      </c>
      <c r="J7" t="s">
        <v>1128</v>
      </c>
      <c r="K7" t="s">
        <v>19</v>
      </c>
      <c r="L7" t="s">
        <v>18</v>
      </c>
      <c r="M7" t="s">
        <v>1129</v>
      </c>
      <c r="N7" t="s">
        <v>1123</v>
      </c>
      <c r="O7" t="s">
        <v>1130</v>
      </c>
    </row>
    <row r="8" spans="1:15" ht="15.75">
      <c r="A8" t="s">
        <v>28</v>
      </c>
      <c r="B8" t="s">
        <v>1151</v>
      </c>
      <c r="C8" t="s">
        <v>1117</v>
      </c>
      <c r="D8" t="s">
        <v>16</v>
      </c>
      <c r="E8">
        <v>46</v>
      </c>
      <c r="F8" t="s">
        <v>1132</v>
      </c>
      <c r="G8" t="s">
        <v>1152</v>
      </c>
      <c r="H8" t="s">
        <v>1153</v>
      </c>
      <c r="I8" s="2">
        <v>44749</v>
      </c>
      <c r="J8" t="s">
        <v>1135</v>
      </c>
      <c r="K8" t="s">
        <v>19</v>
      </c>
      <c r="L8" t="s">
        <v>18</v>
      </c>
      <c r="M8" t="s">
        <v>1136</v>
      </c>
      <c r="N8" t="s">
        <v>1123</v>
      </c>
      <c r="O8" t="s">
        <v>1137</v>
      </c>
    </row>
    <row r="9" spans="1:15" ht="15.75">
      <c r="A9" t="s">
        <v>29</v>
      </c>
      <c r="B9" t="s">
        <v>1154</v>
      </c>
      <c r="C9" t="s">
        <v>1117</v>
      </c>
      <c r="D9" t="s">
        <v>16</v>
      </c>
      <c r="E9">
        <v>30</v>
      </c>
      <c r="F9" t="s">
        <v>1118</v>
      </c>
      <c r="G9" t="s">
        <v>1155</v>
      </c>
      <c r="H9" t="s">
        <v>1156</v>
      </c>
      <c r="I9" s="2">
        <v>45146</v>
      </c>
      <c r="J9" t="s">
        <v>1142</v>
      </c>
      <c r="K9" t="s">
        <v>19</v>
      </c>
      <c r="L9" t="s">
        <v>18</v>
      </c>
      <c r="M9" t="s">
        <v>1143</v>
      </c>
      <c r="N9" t="s">
        <v>1123</v>
      </c>
      <c r="O9" t="s">
        <v>1144</v>
      </c>
    </row>
    <row r="10" spans="1:15" ht="15.75">
      <c r="A10" t="s">
        <v>30</v>
      </c>
      <c r="B10" t="s">
        <v>1157</v>
      </c>
      <c r="C10" t="s">
        <v>1117</v>
      </c>
      <c r="D10" t="s">
        <v>16</v>
      </c>
      <c r="E10">
        <v>63</v>
      </c>
      <c r="F10" t="s">
        <v>1132</v>
      </c>
      <c r="G10" t="s">
        <v>1158</v>
      </c>
      <c r="H10" t="s">
        <v>1159</v>
      </c>
      <c r="I10" s="2">
        <v>44448</v>
      </c>
      <c r="J10" t="s">
        <v>1121</v>
      </c>
      <c r="K10" t="s">
        <v>19</v>
      </c>
      <c r="L10" t="s">
        <v>18</v>
      </c>
      <c r="M10" t="s">
        <v>1122</v>
      </c>
      <c r="N10" t="s">
        <v>1123</v>
      </c>
      <c r="O10" t="s">
        <v>1124</v>
      </c>
    </row>
    <row r="11" spans="1:15" ht="15.75">
      <c r="A11" t="s">
        <v>31</v>
      </c>
      <c r="B11" t="s">
        <v>1160</v>
      </c>
      <c r="C11" t="s">
        <v>1117</v>
      </c>
      <c r="D11" t="s">
        <v>21</v>
      </c>
      <c r="E11">
        <v>52</v>
      </c>
      <c r="F11" t="s">
        <v>1132</v>
      </c>
      <c r="G11" t="s">
        <v>1161</v>
      </c>
      <c r="H11" t="s">
        <v>1162</v>
      </c>
      <c r="I11" s="2">
        <v>44844</v>
      </c>
      <c r="J11" t="s">
        <v>1128</v>
      </c>
      <c r="K11" t="s">
        <v>19</v>
      </c>
      <c r="L11" t="s">
        <v>18</v>
      </c>
      <c r="M11" t="s">
        <v>1129</v>
      </c>
      <c r="N11" t="s">
        <v>1123</v>
      </c>
      <c r="O11" t="s">
        <v>1130</v>
      </c>
    </row>
    <row r="12" spans="1:15" ht="15.75">
      <c r="A12" t="s">
        <v>32</v>
      </c>
      <c r="B12" t="s">
        <v>1163</v>
      </c>
      <c r="C12" t="s">
        <v>1117</v>
      </c>
      <c r="D12" t="s">
        <v>16</v>
      </c>
      <c r="E12">
        <v>23</v>
      </c>
      <c r="F12" t="s">
        <v>1164</v>
      </c>
      <c r="G12" t="s">
        <v>1165</v>
      </c>
      <c r="H12" t="s">
        <v>1166</v>
      </c>
      <c r="I12" s="2">
        <v>45241</v>
      </c>
      <c r="J12" t="s">
        <v>1135</v>
      </c>
      <c r="K12" t="s">
        <v>19</v>
      </c>
      <c r="L12" t="s">
        <v>18</v>
      </c>
      <c r="M12" t="s">
        <v>1136</v>
      </c>
      <c r="N12" t="s">
        <v>1123</v>
      </c>
      <c r="O12" t="s">
        <v>1137</v>
      </c>
    </row>
    <row r="13" spans="1:15" ht="15.75">
      <c r="A13" t="s">
        <v>33</v>
      </c>
      <c r="B13" t="s">
        <v>1167</v>
      </c>
      <c r="C13" t="s">
        <v>1117</v>
      </c>
      <c r="D13" t="s">
        <v>16</v>
      </c>
      <c r="E13">
        <v>35</v>
      </c>
      <c r="F13" t="s">
        <v>1118</v>
      </c>
      <c r="G13" t="s">
        <v>1168</v>
      </c>
      <c r="H13" t="s">
        <v>1169</v>
      </c>
      <c r="I13" s="2">
        <v>44542</v>
      </c>
      <c r="J13" t="s">
        <v>1142</v>
      </c>
      <c r="K13" t="s">
        <v>19</v>
      </c>
      <c r="L13" t="s">
        <v>18</v>
      </c>
      <c r="M13" t="s">
        <v>1143</v>
      </c>
      <c r="N13" t="s">
        <v>1123</v>
      </c>
      <c r="O13" t="s">
        <v>1144</v>
      </c>
    </row>
    <row r="14" spans="1:15" ht="15.75">
      <c r="A14" t="s">
        <v>34</v>
      </c>
      <c r="B14" t="s">
        <v>1116</v>
      </c>
      <c r="C14" t="s">
        <v>1170</v>
      </c>
      <c r="D14" t="s">
        <v>16</v>
      </c>
      <c r="E14">
        <v>22</v>
      </c>
      <c r="F14" t="s">
        <v>1164</v>
      </c>
      <c r="G14" t="s">
        <v>1171</v>
      </c>
      <c r="H14" t="s">
        <v>1172</v>
      </c>
      <c r="I14" s="2">
        <v>44574</v>
      </c>
      <c r="J14" t="s">
        <v>1121</v>
      </c>
      <c r="K14" t="s">
        <v>19</v>
      </c>
      <c r="L14" t="s">
        <v>18</v>
      </c>
      <c r="M14" t="s">
        <v>1122</v>
      </c>
      <c r="N14" t="s">
        <v>1123</v>
      </c>
      <c r="O14" t="s">
        <v>1124</v>
      </c>
    </row>
    <row r="15" spans="1:15" ht="15.75">
      <c r="A15" t="s">
        <v>35</v>
      </c>
      <c r="B15" t="s">
        <v>1173</v>
      </c>
      <c r="C15" t="s">
        <v>1170</v>
      </c>
      <c r="D15" t="s">
        <v>16</v>
      </c>
      <c r="E15">
        <v>64</v>
      </c>
      <c r="F15" t="s">
        <v>1132</v>
      </c>
      <c r="G15" t="s">
        <v>1174</v>
      </c>
      <c r="H15" t="s">
        <v>1175</v>
      </c>
      <c r="I15" s="2">
        <v>44971</v>
      </c>
      <c r="J15" t="s">
        <v>1128</v>
      </c>
      <c r="K15" t="s">
        <v>19</v>
      </c>
      <c r="L15" t="s">
        <v>18</v>
      </c>
      <c r="M15" t="s">
        <v>1129</v>
      </c>
      <c r="N15" t="s">
        <v>1123</v>
      </c>
      <c r="O15" t="s">
        <v>1130</v>
      </c>
    </row>
    <row r="16" spans="1:15" ht="15.75">
      <c r="A16" t="s">
        <v>36</v>
      </c>
      <c r="B16" t="s">
        <v>1176</v>
      </c>
      <c r="C16" t="s">
        <v>1170</v>
      </c>
      <c r="D16" t="s">
        <v>21</v>
      </c>
      <c r="E16">
        <v>42</v>
      </c>
      <c r="F16" t="s">
        <v>1139</v>
      </c>
      <c r="G16" t="s">
        <v>1177</v>
      </c>
      <c r="H16" t="s">
        <v>1178</v>
      </c>
      <c r="I16" s="2">
        <v>44270</v>
      </c>
      <c r="J16" t="s">
        <v>1135</v>
      </c>
      <c r="K16" t="s">
        <v>19</v>
      </c>
      <c r="L16" t="s">
        <v>18</v>
      </c>
      <c r="M16" t="s">
        <v>1136</v>
      </c>
      <c r="N16" t="s">
        <v>1123</v>
      </c>
      <c r="O16" t="s">
        <v>1137</v>
      </c>
    </row>
    <row r="17" spans="1:15" ht="15.75">
      <c r="A17" t="s">
        <v>37</v>
      </c>
      <c r="B17" t="s">
        <v>1138</v>
      </c>
      <c r="C17" t="s">
        <v>1170</v>
      </c>
      <c r="D17" t="s">
        <v>16</v>
      </c>
      <c r="E17">
        <v>19</v>
      </c>
      <c r="F17" t="s">
        <v>1164</v>
      </c>
      <c r="G17" t="s">
        <v>1179</v>
      </c>
      <c r="H17" t="s">
        <v>1180</v>
      </c>
      <c r="I17" s="2">
        <v>44667</v>
      </c>
      <c r="J17" t="s">
        <v>1142</v>
      </c>
      <c r="K17" t="s">
        <v>19</v>
      </c>
      <c r="L17" t="s">
        <v>18</v>
      </c>
      <c r="M17" t="s">
        <v>1143</v>
      </c>
      <c r="N17" t="s">
        <v>1123</v>
      </c>
      <c r="O17" t="s">
        <v>1144</v>
      </c>
    </row>
    <row r="18" spans="1:15" ht="15.75">
      <c r="A18" t="s">
        <v>38</v>
      </c>
      <c r="B18" t="s">
        <v>1181</v>
      </c>
      <c r="C18" t="s">
        <v>1170</v>
      </c>
      <c r="D18" t="s">
        <v>21</v>
      </c>
      <c r="E18">
        <v>27</v>
      </c>
      <c r="F18" t="s">
        <v>1118</v>
      </c>
      <c r="G18" t="s">
        <v>1182</v>
      </c>
      <c r="H18" t="s">
        <v>1183</v>
      </c>
      <c r="I18" s="2">
        <v>45063</v>
      </c>
      <c r="J18" t="s">
        <v>1121</v>
      </c>
      <c r="K18" t="s">
        <v>19</v>
      </c>
      <c r="L18" t="s">
        <v>18</v>
      </c>
      <c r="M18" t="s">
        <v>1122</v>
      </c>
      <c r="N18" t="s">
        <v>1123</v>
      </c>
      <c r="O18" t="s">
        <v>1124</v>
      </c>
    </row>
    <row r="19" spans="1:15" ht="15.75">
      <c r="A19" t="s">
        <v>39</v>
      </c>
      <c r="B19" t="s">
        <v>1148</v>
      </c>
      <c r="C19" t="s">
        <v>1170</v>
      </c>
      <c r="D19" t="s">
        <v>21</v>
      </c>
      <c r="E19">
        <v>47</v>
      </c>
      <c r="F19" t="s">
        <v>1132</v>
      </c>
      <c r="G19" t="s">
        <v>1184</v>
      </c>
      <c r="H19" t="s">
        <v>1185</v>
      </c>
      <c r="I19" s="2">
        <v>44365</v>
      </c>
      <c r="J19" t="s">
        <v>1128</v>
      </c>
      <c r="K19" t="s">
        <v>19</v>
      </c>
      <c r="L19" t="s">
        <v>18</v>
      </c>
      <c r="M19" t="s">
        <v>1129</v>
      </c>
      <c r="N19" t="s">
        <v>1123</v>
      </c>
      <c r="O19" t="s">
        <v>1130</v>
      </c>
    </row>
    <row r="20" spans="1:15" ht="15.75">
      <c r="A20" t="s">
        <v>40</v>
      </c>
      <c r="B20" t="s">
        <v>1186</v>
      </c>
      <c r="C20" t="s">
        <v>1170</v>
      </c>
      <c r="D20" t="s">
        <v>21</v>
      </c>
      <c r="E20">
        <v>62</v>
      </c>
      <c r="F20" t="s">
        <v>1132</v>
      </c>
      <c r="G20" t="s">
        <v>1187</v>
      </c>
      <c r="H20" t="s">
        <v>1188</v>
      </c>
      <c r="I20" s="2">
        <v>44761</v>
      </c>
      <c r="J20" t="s">
        <v>1135</v>
      </c>
      <c r="K20" t="s">
        <v>19</v>
      </c>
      <c r="L20" t="s">
        <v>18</v>
      </c>
      <c r="M20" t="s">
        <v>1136</v>
      </c>
      <c r="N20" t="s">
        <v>1123</v>
      </c>
      <c r="O20" t="s">
        <v>1137</v>
      </c>
    </row>
    <row r="21" spans="1:15" ht="15.75">
      <c r="A21" t="s">
        <v>41</v>
      </c>
      <c r="B21" t="s">
        <v>1154</v>
      </c>
      <c r="C21" t="s">
        <v>1170</v>
      </c>
      <c r="D21" t="s">
        <v>16</v>
      </c>
      <c r="E21">
        <v>22</v>
      </c>
      <c r="F21" t="s">
        <v>1164</v>
      </c>
      <c r="G21" t="s">
        <v>1189</v>
      </c>
      <c r="H21" t="s">
        <v>1190</v>
      </c>
      <c r="I21" s="2">
        <v>45158</v>
      </c>
      <c r="J21" t="s">
        <v>1142</v>
      </c>
      <c r="K21" t="s">
        <v>19</v>
      </c>
      <c r="L21" t="s">
        <v>18</v>
      </c>
      <c r="M21" t="s">
        <v>1143</v>
      </c>
      <c r="N21" t="s">
        <v>1123</v>
      </c>
      <c r="O21" t="s">
        <v>1144</v>
      </c>
    </row>
    <row r="22" spans="1:15" ht="15.75">
      <c r="A22" t="s">
        <v>42</v>
      </c>
      <c r="B22" t="s">
        <v>1191</v>
      </c>
      <c r="C22" t="s">
        <v>1170</v>
      </c>
      <c r="D22" t="s">
        <v>21</v>
      </c>
      <c r="E22">
        <v>50</v>
      </c>
      <c r="F22" t="s">
        <v>1132</v>
      </c>
      <c r="G22" t="s">
        <v>1192</v>
      </c>
      <c r="H22" t="s">
        <v>1193</v>
      </c>
      <c r="I22" s="2">
        <v>44460</v>
      </c>
      <c r="J22" t="s">
        <v>1121</v>
      </c>
      <c r="K22" t="s">
        <v>19</v>
      </c>
      <c r="L22" t="s">
        <v>18</v>
      </c>
      <c r="M22" t="s">
        <v>1122</v>
      </c>
      <c r="N22" t="s">
        <v>1123</v>
      </c>
      <c r="O22" t="s">
        <v>1124</v>
      </c>
    </row>
    <row r="23" spans="1:15" ht="15.75">
      <c r="A23" t="s">
        <v>43</v>
      </c>
      <c r="B23" t="s">
        <v>1194</v>
      </c>
      <c r="C23" t="s">
        <v>1170</v>
      </c>
      <c r="D23" t="s">
        <v>16</v>
      </c>
      <c r="E23">
        <v>18</v>
      </c>
      <c r="F23" t="s">
        <v>1164</v>
      </c>
      <c r="G23" t="s">
        <v>1195</v>
      </c>
      <c r="H23" t="s">
        <v>1196</v>
      </c>
      <c r="I23" s="2">
        <v>44856</v>
      </c>
      <c r="J23" t="s">
        <v>1128</v>
      </c>
      <c r="K23" t="s">
        <v>19</v>
      </c>
      <c r="L23" t="s">
        <v>18</v>
      </c>
      <c r="M23" t="s">
        <v>1129</v>
      </c>
      <c r="N23" t="s">
        <v>1123</v>
      </c>
      <c r="O23" t="s">
        <v>1130</v>
      </c>
    </row>
    <row r="24" spans="1:15" ht="15.75">
      <c r="A24" t="s">
        <v>44</v>
      </c>
      <c r="B24" t="s">
        <v>1197</v>
      </c>
      <c r="C24" t="s">
        <v>1170</v>
      </c>
      <c r="D24" t="s">
        <v>21</v>
      </c>
      <c r="E24">
        <v>35</v>
      </c>
      <c r="F24" t="s">
        <v>1118</v>
      </c>
      <c r="G24" t="s">
        <v>1198</v>
      </c>
      <c r="H24" t="s">
        <v>1199</v>
      </c>
      <c r="I24" s="2">
        <v>45253</v>
      </c>
      <c r="J24" t="s">
        <v>1135</v>
      </c>
      <c r="K24" t="s">
        <v>19</v>
      </c>
      <c r="L24" t="s">
        <v>18</v>
      </c>
      <c r="M24" t="s">
        <v>1136</v>
      </c>
      <c r="N24" t="s">
        <v>1123</v>
      </c>
      <c r="O24" t="s">
        <v>1137</v>
      </c>
    </row>
    <row r="25" spans="1:15" ht="15.75">
      <c r="A25" t="s">
        <v>45</v>
      </c>
      <c r="B25" t="s">
        <v>1200</v>
      </c>
      <c r="C25" t="s">
        <v>1170</v>
      </c>
      <c r="D25" t="s">
        <v>21</v>
      </c>
      <c r="E25">
        <v>49</v>
      </c>
      <c r="F25" t="s">
        <v>1132</v>
      </c>
      <c r="G25" t="s">
        <v>1201</v>
      </c>
      <c r="H25" t="s">
        <v>1202</v>
      </c>
      <c r="I25" s="2">
        <v>44554</v>
      </c>
      <c r="J25" t="s">
        <v>1142</v>
      </c>
      <c r="K25" t="s">
        <v>19</v>
      </c>
      <c r="L25" t="s">
        <v>18</v>
      </c>
      <c r="M25" t="s">
        <v>1143</v>
      </c>
      <c r="N25" t="s">
        <v>1123</v>
      </c>
      <c r="O25" t="s">
        <v>1144</v>
      </c>
    </row>
    <row r="26" spans="1:15" ht="15.75">
      <c r="A26" t="s">
        <v>46</v>
      </c>
      <c r="B26" t="s">
        <v>1203</v>
      </c>
      <c r="C26" t="s">
        <v>1204</v>
      </c>
      <c r="D26" t="s">
        <v>21</v>
      </c>
      <c r="E26">
        <v>64</v>
      </c>
      <c r="F26" t="s">
        <v>1132</v>
      </c>
      <c r="G26" t="s">
        <v>1205</v>
      </c>
      <c r="H26" t="s">
        <v>1206</v>
      </c>
      <c r="I26" s="2">
        <v>44586</v>
      </c>
      <c r="J26" t="s">
        <v>1121</v>
      </c>
      <c r="K26" t="s">
        <v>19</v>
      </c>
      <c r="L26" t="s">
        <v>18</v>
      </c>
      <c r="M26" t="s">
        <v>1122</v>
      </c>
      <c r="N26" t="s">
        <v>1123</v>
      </c>
      <c r="O26" t="s">
        <v>1124</v>
      </c>
    </row>
    <row r="27" spans="1:15" ht="15.75">
      <c r="A27" t="s">
        <v>47</v>
      </c>
      <c r="B27" t="s">
        <v>1125</v>
      </c>
      <c r="C27" t="s">
        <v>1204</v>
      </c>
      <c r="D27" t="s">
        <v>21</v>
      </c>
      <c r="E27">
        <v>28</v>
      </c>
      <c r="F27" t="s">
        <v>1118</v>
      </c>
      <c r="G27" t="s">
        <v>1207</v>
      </c>
      <c r="H27" t="s">
        <v>1208</v>
      </c>
      <c r="I27" s="2">
        <v>44983</v>
      </c>
      <c r="J27" t="s">
        <v>1128</v>
      </c>
      <c r="K27" t="s">
        <v>19</v>
      </c>
      <c r="L27" t="s">
        <v>18</v>
      </c>
      <c r="M27" t="s">
        <v>1129</v>
      </c>
      <c r="N27" t="s">
        <v>1123</v>
      </c>
      <c r="O27" t="s">
        <v>1130</v>
      </c>
    </row>
    <row r="28" spans="1:15" ht="15.75">
      <c r="A28" t="s">
        <v>48</v>
      </c>
      <c r="B28" t="s">
        <v>1176</v>
      </c>
      <c r="C28" t="s">
        <v>1204</v>
      </c>
      <c r="D28" t="s">
        <v>21</v>
      </c>
      <c r="E28">
        <v>38</v>
      </c>
      <c r="F28" t="s">
        <v>1139</v>
      </c>
      <c r="G28" t="s">
        <v>1209</v>
      </c>
      <c r="H28" t="s">
        <v>1210</v>
      </c>
      <c r="I28" s="2">
        <v>44282</v>
      </c>
      <c r="J28" t="s">
        <v>1135</v>
      </c>
      <c r="K28" t="s">
        <v>19</v>
      </c>
      <c r="L28" t="s">
        <v>18</v>
      </c>
      <c r="M28" t="s">
        <v>1136</v>
      </c>
      <c r="N28" t="s">
        <v>1123</v>
      </c>
      <c r="O28" t="s">
        <v>1137</v>
      </c>
    </row>
    <row r="29" spans="1:15" ht="15.75">
      <c r="A29" t="s">
        <v>49</v>
      </c>
      <c r="B29" t="s">
        <v>1211</v>
      </c>
      <c r="C29" t="s">
        <v>1204</v>
      </c>
      <c r="D29" t="s">
        <v>21</v>
      </c>
      <c r="E29">
        <v>43</v>
      </c>
      <c r="F29" t="s">
        <v>1139</v>
      </c>
      <c r="G29" t="s">
        <v>1212</v>
      </c>
      <c r="H29" t="s">
        <v>1213</v>
      </c>
      <c r="I29" s="2">
        <v>44679</v>
      </c>
      <c r="J29" t="s">
        <v>1142</v>
      </c>
      <c r="K29" t="s">
        <v>19</v>
      </c>
      <c r="L29" t="s">
        <v>18</v>
      </c>
      <c r="M29" t="s">
        <v>1143</v>
      </c>
      <c r="N29" t="s">
        <v>1123</v>
      </c>
      <c r="O29" t="s">
        <v>1144</v>
      </c>
    </row>
    <row r="30" spans="1:15" ht="15.75">
      <c r="A30" t="s">
        <v>50</v>
      </c>
      <c r="B30" t="s">
        <v>1181</v>
      </c>
      <c r="C30" t="s">
        <v>1204</v>
      </c>
      <c r="D30" t="s">
        <v>21</v>
      </c>
      <c r="E30">
        <v>42</v>
      </c>
      <c r="F30" t="s">
        <v>1139</v>
      </c>
      <c r="G30" t="s">
        <v>1214</v>
      </c>
      <c r="H30" t="s">
        <v>1215</v>
      </c>
      <c r="I30" s="2">
        <v>45047</v>
      </c>
      <c r="J30" t="s">
        <v>1121</v>
      </c>
      <c r="K30" t="s">
        <v>19</v>
      </c>
      <c r="L30" t="s">
        <v>18</v>
      </c>
      <c r="M30" t="s">
        <v>1122</v>
      </c>
      <c r="N30" t="s">
        <v>1123</v>
      </c>
      <c r="O30" t="s">
        <v>1124</v>
      </c>
    </row>
    <row r="31" spans="1:15" ht="15.75">
      <c r="A31" t="s">
        <v>51</v>
      </c>
      <c r="B31" t="s">
        <v>1148</v>
      </c>
      <c r="C31" t="s">
        <v>1204</v>
      </c>
      <c r="D31" t="s">
        <v>21</v>
      </c>
      <c r="E31">
        <v>39</v>
      </c>
      <c r="F31" t="s">
        <v>1139</v>
      </c>
      <c r="G31" t="s">
        <v>1216</v>
      </c>
      <c r="H31" t="s">
        <v>1217</v>
      </c>
      <c r="I31" s="2">
        <v>44349</v>
      </c>
      <c r="J31" t="s">
        <v>1128</v>
      </c>
      <c r="K31" t="s">
        <v>19</v>
      </c>
      <c r="L31" t="s">
        <v>18</v>
      </c>
      <c r="M31" t="s">
        <v>1129</v>
      </c>
      <c r="N31" t="s">
        <v>1123</v>
      </c>
      <c r="O31" t="s">
        <v>1130</v>
      </c>
    </row>
    <row r="32" spans="1:15" ht="15.75">
      <c r="A32" t="s">
        <v>52</v>
      </c>
      <c r="B32" t="s">
        <v>1151</v>
      </c>
      <c r="C32" t="s">
        <v>1204</v>
      </c>
      <c r="D32" t="s">
        <v>16</v>
      </c>
      <c r="E32">
        <v>44</v>
      </c>
      <c r="F32" t="s">
        <v>1139</v>
      </c>
      <c r="G32" t="s">
        <v>1218</v>
      </c>
      <c r="H32" t="s">
        <v>1219</v>
      </c>
      <c r="I32" s="2">
        <v>44745</v>
      </c>
      <c r="J32" t="s">
        <v>1135</v>
      </c>
      <c r="K32" t="s">
        <v>19</v>
      </c>
      <c r="L32" t="s">
        <v>18</v>
      </c>
      <c r="M32" t="s">
        <v>1136</v>
      </c>
      <c r="N32" t="s">
        <v>1123</v>
      </c>
      <c r="O32" t="s">
        <v>1137</v>
      </c>
    </row>
    <row r="33" spans="1:15" ht="15.75">
      <c r="A33" t="s">
        <v>53</v>
      </c>
      <c r="B33" t="s">
        <v>1154</v>
      </c>
      <c r="C33" t="s">
        <v>1204</v>
      </c>
      <c r="D33" t="s">
        <v>16</v>
      </c>
      <c r="E33">
        <v>30</v>
      </c>
      <c r="F33" t="s">
        <v>1118</v>
      </c>
      <c r="G33" t="s">
        <v>1220</v>
      </c>
      <c r="H33" t="s">
        <v>1221</v>
      </c>
      <c r="I33" s="2">
        <v>45142</v>
      </c>
      <c r="J33" t="s">
        <v>1142</v>
      </c>
      <c r="K33" t="s">
        <v>19</v>
      </c>
      <c r="L33" t="s">
        <v>18</v>
      </c>
      <c r="M33" t="s">
        <v>1143</v>
      </c>
      <c r="N33" t="s">
        <v>1123</v>
      </c>
      <c r="O33" t="s">
        <v>1144</v>
      </c>
    </row>
    <row r="34" spans="1:15" ht="15.75">
      <c r="A34" t="s">
        <v>54</v>
      </c>
      <c r="B34" t="s">
        <v>1191</v>
      </c>
      <c r="C34" t="s">
        <v>1204</v>
      </c>
      <c r="D34" t="s">
        <v>21</v>
      </c>
      <c r="E34">
        <v>50</v>
      </c>
      <c r="F34" t="s">
        <v>1132</v>
      </c>
      <c r="G34" t="s">
        <v>1222</v>
      </c>
      <c r="H34" t="s">
        <v>1223</v>
      </c>
      <c r="I34" s="2">
        <v>44444</v>
      </c>
      <c r="J34" t="s">
        <v>1121</v>
      </c>
      <c r="K34" t="s">
        <v>19</v>
      </c>
      <c r="L34" t="s">
        <v>18</v>
      </c>
      <c r="M34" t="s">
        <v>1122</v>
      </c>
      <c r="N34" t="s">
        <v>1123</v>
      </c>
      <c r="O34" t="s">
        <v>1124</v>
      </c>
    </row>
    <row r="35" spans="1:15" ht="15.75">
      <c r="A35" t="s">
        <v>55</v>
      </c>
      <c r="B35" t="s">
        <v>1160</v>
      </c>
      <c r="C35" t="s">
        <v>1204</v>
      </c>
      <c r="D35" t="s">
        <v>21</v>
      </c>
      <c r="E35">
        <v>51</v>
      </c>
      <c r="F35" t="s">
        <v>1132</v>
      </c>
      <c r="G35" t="s">
        <v>1224</v>
      </c>
      <c r="H35" t="s">
        <v>1225</v>
      </c>
      <c r="I35" s="2">
        <v>44840</v>
      </c>
      <c r="J35" t="s">
        <v>1128</v>
      </c>
      <c r="K35" t="s">
        <v>19</v>
      </c>
      <c r="L35" t="s">
        <v>18</v>
      </c>
      <c r="M35" t="s">
        <v>1129</v>
      </c>
      <c r="N35" t="s">
        <v>1123</v>
      </c>
      <c r="O35" t="s">
        <v>1130</v>
      </c>
    </row>
    <row r="36" spans="1:15" ht="15.75">
      <c r="A36" t="s">
        <v>56</v>
      </c>
      <c r="B36" t="s">
        <v>1197</v>
      </c>
      <c r="C36" t="s">
        <v>1204</v>
      </c>
      <c r="D36" t="s">
        <v>21</v>
      </c>
      <c r="E36">
        <v>58</v>
      </c>
      <c r="F36" t="s">
        <v>1132</v>
      </c>
      <c r="G36" t="s">
        <v>1226</v>
      </c>
      <c r="H36" t="s">
        <v>1227</v>
      </c>
      <c r="I36" s="2">
        <v>45237</v>
      </c>
      <c r="J36" t="s">
        <v>1135</v>
      </c>
      <c r="K36" t="s">
        <v>19</v>
      </c>
      <c r="L36" t="s">
        <v>18</v>
      </c>
      <c r="M36" t="s">
        <v>1136</v>
      </c>
      <c r="N36" t="s">
        <v>1123</v>
      </c>
      <c r="O36" t="s">
        <v>1137</v>
      </c>
    </row>
    <row r="37" spans="1:15" ht="15.75">
      <c r="A37" t="s">
        <v>57</v>
      </c>
      <c r="B37" t="s">
        <v>1167</v>
      </c>
      <c r="C37" t="s">
        <v>1204</v>
      </c>
      <c r="D37" t="s">
        <v>16</v>
      </c>
      <c r="E37">
        <v>52</v>
      </c>
      <c r="F37" t="s">
        <v>1132</v>
      </c>
      <c r="G37" t="s">
        <v>1228</v>
      </c>
      <c r="H37" t="s">
        <v>1229</v>
      </c>
      <c r="I37" s="2">
        <v>44538</v>
      </c>
      <c r="J37" t="s">
        <v>1142</v>
      </c>
      <c r="K37" t="s">
        <v>19</v>
      </c>
      <c r="L37" t="s">
        <v>18</v>
      </c>
      <c r="M37" t="s">
        <v>1143</v>
      </c>
      <c r="N37" t="s">
        <v>1123</v>
      </c>
      <c r="O37" t="s">
        <v>1144</v>
      </c>
    </row>
    <row r="38" spans="1:15" ht="15.75">
      <c r="A38" t="s">
        <v>58</v>
      </c>
      <c r="B38" t="s">
        <v>1203</v>
      </c>
      <c r="C38" t="s">
        <v>1230</v>
      </c>
      <c r="D38" t="s">
        <v>21</v>
      </c>
      <c r="E38">
        <v>18</v>
      </c>
      <c r="F38" t="s">
        <v>1164</v>
      </c>
      <c r="G38" t="s">
        <v>1231</v>
      </c>
      <c r="H38" t="s">
        <v>1232</v>
      </c>
      <c r="I38" s="2">
        <v>44570</v>
      </c>
      <c r="J38" t="s">
        <v>1121</v>
      </c>
      <c r="K38" t="s">
        <v>19</v>
      </c>
      <c r="L38" t="s">
        <v>18</v>
      </c>
      <c r="M38" t="s">
        <v>1122</v>
      </c>
      <c r="N38" t="s">
        <v>1123</v>
      </c>
      <c r="O38" t="s">
        <v>1124</v>
      </c>
    </row>
    <row r="39" spans="1:15" ht="15.75">
      <c r="A39" t="s">
        <v>59</v>
      </c>
      <c r="B39" t="s">
        <v>1173</v>
      </c>
      <c r="C39" t="s">
        <v>1230</v>
      </c>
      <c r="D39" t="s">
        <v>16</v>
      </c>
      <c r="E39">
        <v>38</v>
      </c>
      <c r="F39" t="s">
        <v>1139</v>
      </c>
      <c r="G39" t="s">
        <v>1233</v>
      </c>
      <c r="H39" t="s">
        <v>1234</v>
      </c>
      <c r="I39" s="2">
        <v>44967</v>
      </c>
      <c r="J39" t="s">
        <v>1128</v>
      </c>
      <c r="K39" t="s">
        <v>19</v>
      </c>
      <c r="L39" t="s">
        <v>18</v>
      </c>
      <c r="M39" t="s">
        <v>1129</v>
      </c>
      <c r="N39" t="s">
        <v>1123</v>
      </c>
      <c r="O39" t="s">
        <v>1130</v>
      </c>
    </row>
    <row r="40" spans="1:15" ht="15.75">
      <c r="A40" t="s">
        <v>60</v>
      </c>
      <c r="B40" t="s">
        <v>1131</v>
      </c>
      <c r="C40" t="s">
        <v>1230</v>
      </c>
      <c r="D40" t="s">
        <v>16</v>
      </c>
      <c r="E40">
        <v>23</v>
      </c>
      <c r="F40" t="s">
        <v>1164</v>
      </c>
      <c r="G40" t="s">
        <v>1235</v>
      </c>
      <c r="H40" t="s">
        <v>1236</v>
      </c>
      <c r="I40" s="2">
        <v>44266</v>
      </c>
      <c r="J40" t="s">
        <v>1135</v>
      </c>
      <c r="K40" t="s">
        <v>19</v>
      </c>
      <c r="L40" t="s">
        <v>18</v>
      </c>
      <c r="M40" t="s">
        <v>1136</v>
      </c>
      <c r="N40" t="s">
        <v>1123</v>
      </c>
      <c r="O40" t="s">
        <v>1137</v>
      </c>
    </row>
    <row r="41" spans="1:15" ht="15.75">
      <c r="A41" t="s">
        <v>61</v>
      </c>
      <c r="B41" t="s">
        <v>1138</v>
      </c>
      <c r="C41" t="s">
        <v>1230</v>
      </c>
      <c r="D41" t="s">
        <v>16</v>
      </c>
      <c r="E41">
        <v>45</v>
      </c>
      <c r="F41" t="s">
        <v>1139</v>
      </c>
      <c r="G41" t="s">
        <v>1237</v>
      </c>
      <c r="H41" t="s">
        <v>1238</v>
      </c>
      <c r="I41" s="2">
        <v>44663</v>
      </c>
      <c r="J41" t="s">
        <v>1142</v>
      </c>
      <c r="K41" t="s">
        <v>19</v>
      </c>
      <c r="L41" t="s">
        <v>18</v>
      </c>
      <c r="M41" t="s">
        <v>1143</v>
      </c>
      <c r="N41" t="s">
        <v>1123</v>
      </c>
      <c r="O41" t="s">
        <v>1144</v>
      </c>
    </row>
    <row r="42" spans="1:15" ht="15.75">
      <c r="A42" t="s">
        <v>62</v>
      </c>
      <c r="B42" t="s">
        <v>1145</v>
      </c>
      <c r="C42" t="s">
        <v>1230</v>
      </c>
      <c r="D42" t="s">
        <v>16</v>
      </c>
      <c r="E42">
        <v>34</v>
      </c>
      <c r="F42" t="s">
        <v>1118</v>
      </c>
      <c r="G42" t="s">
        <v>1239</v>
      </c>
      <c r="H42" t="s">
        <v>1240</v>
      </c>
      <c r="I42" s="2">
        <v>45059</v>
      </c>
      <c r="J42" t="s">
        <v>1121</v>
      </c>
      <c r="K42" t="s">
        <v>19</v>
      </c>
      <c r="L42" t="s">
        <v>18</v>
      </c>
      <c r="M42" t="s">
        <v>1122</v>
      </c>
      <c r="N42" t="s">
        <v>1123</v>
      </c>
      <c r="O42" t="s">
        <v>1124</v>
      </c>
    </row>
    <row r="43" spans="1:15" ht="15.75">
      <c r="A43" t="s">
        <v>63</v>
      </c>
      <c r="B43" t="s">
        <v>1241</v>
      </c>
      <c r="C43" t="s">
        <v>1230</v>
      </c>
      <c r="D43" t="s">
        <v>16</v>
      </c>
      <c r="E43">
        <v>22</v>
      </c>
      <c r="F43" t="s">
        <v>1164</v>
      </c>
      <c r="G43" t="s">
        <v>1242</v>
      </c>
      <c r="H43" t="s">
        <v>1243</v>
      </c>
      <c r="I43" s="2">
        <v>44361</v>
      </c>
      <c r="J43" t="s">
        <v>1128</v>
      </c>
      <c r="K43" t="s">
        <v>19</v>
      </c>
      <c r="L43" t="s">
        <v>18</v>
      </c>
      <c r="M43" t="s">
        <v>1129</v>
      </c>
      <c r="N43" t="s">
        <v>1123</v>
      </c>
      <c r="O43" t="s">
        <v>1130</v>
      </c>
    </row>
    <row r="44" spans="1:15" ht="15.75">
      <c r="A44" t="s">
        <v>64</v>
      </c>
      <c r="B44" t="s">
        <v>1186</v>
      </c>
      <c r="C44" t="s">
        <v>1230</v>
      </c>
      <c r="D44" t="s">
        <v>21</v>
      </c>
      <c r="E44">
        <v>48</v>
      </c>
      <c r="F44" t="s">
        <v>1132</v>
      </c>
      <c r="G44" t="s">
        <v>1244</v>
      </c>
      <c r="H44" t="s">
        <v>1245</v>
      </c>
      <c r="I44" s="2">
        <v>44757</v>
      </c>
      <c r="J44" t="s">
        <v>1135</v>
      </c>
      <c r="K44" t="s">
        <v>19</v>
      </c>
      <c r="L44" t="s">
        <v>18</v>
      </c>
      <c r="M44" t="s">
        <v>1136</v>
      </c>
      <c r="N44" t="s">
        <v>1123</v>
      </c>
      <c r="O44" t="s">
        <v>1137</v>
      </c>
    </row>
    <row r="45" spans="1:15" ht="15.75">
      <c r="A45" t="s">
        <v>65</v>
      </c>
      <c r="B45" t="s">
        <v>1246</v>
      </c>
      <c r="C45" t="s">
        <v>1230</v>
      </c>
      <c r="D45" t="s">
        <v>21</v>
      </c>
      <c r="E45">
        <v>22</v>
      </c>
      <c r="F45" t="s">
        <v>1164</v>
      </c>
      <c r="G45" t="s">
        <v>1247</v>
      </c>
      <c r="H45" t="s">
        <v>1248</v>
      </c>
      <c r="I45" s="2">
        <v>45154</v>
      </c>
      <c r="J45" t="s">
        <v>1142</v>
      </c>
      <c r="K45" t="s">
        <v>19</v>
      </c>
      <c r="L45" t="s">
        <v>18</v>
      </c>
      <c r="M45" t="s">
        <v>1143</v>
      </c>
      <c r="N45" t="s">
        <v>1123</v>
      </c>
      <c r="O45" t="s">
        <v>1144</v>
      </c>
    </row>
    <row r="46" spans="1:15" ht="15.75">
      <c r="A46" t="s">
        <v>66</v>
      </c>
      <c r="B46" t="s">
        <v>1191</v>
      </c>
      <c r="C46" t="s">
        <v>1230</v>
      </c>
      <c r="D46" t="s">
        <v>21</v>
      </c>
      <c r="E46">
        <v>55</v>
      </c>
      <c r="F46" t="s">
        <v>1132</v>
      </c>
      <c r="G46" t="s">
        <v>1249</v>
      </c>
      <c r="H46" t="s">
        <v>1250</v>
      </c>
      <c r="I46" s="2">
        <v>44456</v>
      </c>
      <c r="J46" t="s">
        <v>1121</v>
      </c>
      <c r="K46" t="s">
        <v>19</v>
      </c>
      <c r="L46" t="s">
        <v>18</v>
      </c>
      <c r="M46" t="s">
        <v>1122</v>
      </c>
      <c r="N46" t="s">
        <v>1123</v>
      </c>
      <c r="O46" t="s">
        <v>1124</v>
      </c>
    </row>
    <row r="47" spans="1:15" ht="15.75">
      <c r="A47" t="s">
        <v>67</v>
      </c>
      <c r="B47" t="s">
        <v>1160</v>
      </c>
      <c r="C47" t="s">
        <v>1230</v>
      </c>
      <c r="D47" t="s">
        <v>21</v>
      </c>
      <c r="E47">
        <v>20</v>
      </c>
      <c r="F47" t="s">
        <v>1164</v>
      </c>
      <c r="G47" t="s">
        <v>1251</v>
      </c>
      <c r="H47" t="s">
        <v>1252</v>
      </c>
      <c r="I47" s="2">
        <v>44852</v>
      </c>
      <c r="J47" t="s">
        <v>1128</v>
      </c>
      <c r="K47" t="s">
        <v>19</v>
      </c>
      <c r="L47" t="s">
        <v>18</v>
      </c>
      <c r="M47" t="s">
        <v>1129</v>
      </c>
      <c r="N47" t="s">
        <v>1123</v>
      </c>
      <c r="O47" t="s">
        <v>1130</v>
      </c>
    </row>
    <row r="48" spans="1:15" ht="15.75">
      <c r="A48" t="s">
        <v>68</v>
      </c>
      <c r="B48" t="s">
        <v>1197</v>
      </c>
      <c r="C48" t="s">
        <v>1230</v>
      </c>
      <c r="D48" t="s">
        <v>21</v>
      </c>
      <c r="E48">
        <v>40</v>
      </c>
      <c r="F48" t="s">
        <v>1139</v>
      </c>
      <c r="G48" t="s">
        <v>1253</v>
      </c>
      <c r="H48" t="s">
        <v>1254</v>
      </c>
      <c r="I48" s="2">
        <v>45249</v>
      </c>
      <c r="J48" t="s">
        <v>1135</v>
      </c>
      <c r="K48" t="s">
        <v>19</v>
      </c>
      <c r="L48" t="s">
        <v>18</v>
      </c>
      <c r="M48" t="s">
        <v>1136</v>
      </c>
      <c r="N48" t="s">
        <v>1123</v>
      </c>
      <c r="O48" t="s">
        <v>1137</v>
      </c>
    </row>
    <row r="49" spans="1:15" ht="15.75">
      <c r="A49" t="s">
        <v>69</v>
      </c>
      <c r="B49" t="s">
        <v>1167</v>
      </c>
      <c r="C49" t="s">
        <v>1230</v>
      </c>
      <c r="D49" t="s">
        <v>16</v>
      </c>
      <c r="E49">
        <v>54</v>
      </c>
      <c r="F49" t="s">
        <v>1132</v>
      </c>
      <c r="G49" t="s">
        <v>1255</v>
      </c>
      <c r="H49" t="s">
        <v>1256</v>
      </c>
      <c r="I49" s="2">
        <v>44550</v>
      </c>
      <c r="J49" t="s">
        <v>1142</v>
      </c>
      <c r="K49" t="s">
        <v>19</v>
      </c>
      <c r="L49" t="s">
        <v>18</v>
      </c>
      <c r="M49" t="s">
        <v>1143</v>
      </c>
      <c r="N49" t="s">
        <v>1123</v>
      </c>
      <c r="O49" t="s">
        <v>1144</v>
      </c>
    </row>
    <row r="50" spans="1:15" ht="15.75">
      <c r="A50" t="s">
        <v>70</v>
      </c>
      <c r="B50" t="s">
        <v>1203</v>
      </c>
      <c r="C50" t="s">
        <v>1257</v>
      </c>
      <c r="D50" t="s">
        <v>21</v>
      </c>
      <c r="E50">
        <v>54</v>
      </c>
      <c r="F50" t="s">
        <v>1132</v>
      </c>
      <c r="G50" t="s">
        <v>1258</v>
      </c>
      <c r="H50" t="s">
        <v>1259</v>
      </c>
      <c r="I50" s="2">
        <v>44582</v>
      </c>
      <c r="J50" t="s">
        <v>1121</v>
      </c>
      <c r="K50" t="s">
        <v>19</v>
      </c>
      <c r="L50" t="s">
        <v>18</v>
      </c>
      <c r="M50" t="s">
        <v>1122</v>
      </c>
      <c r="N50" t="s">
        <v>1123</v>
      </c>
      <c r="O50" t="s">
        <v>1124</v>
      </c>
    </row>
    <row r="51" spans="1:15" ht="15.75">
      <c r="A51" t="s">
        <v>71</v>
      </c>
      <c r="B51" t="s">
        <v>1125</v>
      </c>
      <c r="C51" t="s">
        <v>1257</v>
      </c>
      <c r="D51" t="s">
        <v>21</v>
      </c>
      <c r="E51">
        <v>27</v>
      </c>
      <c r="F51" t="s">
        <v>1118</v>
      </c>
      <c r="G51" t="s">
        <v>1260</v>
      </c>
      <c r="H51" t="s">
        <v>1261</v>
      </c>
      <c r="I51" s="2">
        <v>44979</v>
      </c>
      <c r="J51" t="s">
        <v>1128</v>
      </c>
      <c r="K51" t="s">
        <v>19</v>
      </c>
      <c r="L51" t="s">
        <v>18</v>
      </c>
      <c r="M51" t="s">
        <v>1129</v>
      </c>
      <c r="N51" t="s">
        <v>1123</v>
      </c>
      <c r="O51" t="s">
        <v>1130</v>
      </c>
    </row>
    <row r="52" spans="1:15" ht="15.75">
      <c r="A52" t="s">
        <v>72</v>
      </c>
      <c r="B52" t="s">
        <v>1131</v>
      </c>
      <c r="C52" t="s">
        <v>1257</v>
      </c>
      <c r="D52" t="s">
        <v>16</v>
      </c>
      <c r="E52">
        <v>27</v>
      </c>
      <c r="F52" t="s">
        <v>1118</v>
      </c>
      <c r="G52" t="s">
        <v>1262</v>
      </c>
      <c r="H52" t="s">
        <v>1263</v>
      </c>
      <c r="I52" s="2">
        <v>44278</v>
      </c>
      <c r="J52" t="s">
        <v>1135</v>
      </c>
      <c r="K52" t="s">
        <v>19</v>
      </c>
      <c r="L52" t="s">
        <v>18</v>
      </c>
      <c r="M52" t="s">
        <v>1136</v>
      </c>
      <c r="N52" t="s">
        <v>1123</v>
      </c>
      <c r="O52" t="s">
        <v>1137</v>
      </c>
    </row>
    <row r="53" spans="1:15" ht="15.75">
      <c r="A53" t="s">
        <v>73</v>
      </c>
      <c r="B53" t="s">
        <v>1211</v>
      </c>
      <c r="C53" t="s">
        <v>1257</v>
      </c>
      <c r="D53" t="s">
        <v>21</v>
      </c>
      <c r="E53">
        <v>36</v>
      </c>
      <c r="F53" t="s">
        <v>1139</v>
      </c>
      <c r="G53" t="s">
        <v>1264</v>
      </c>
      <c r="H53" t="s">
        <v>1265</v>
      </c>
      <c r="I53" s="2">
        <v>44675</v>
      </c>
      <c r="J53" t="s">
        <v>1142</v>
      </c>
      <c r="K53" t="s">
        <v>19</v>
      </c>
      <c r="L53" t="s">
        <v>18</v>
      </c>
      <c r="M53" t="s">
        <v>1143</v>
      </c>
      <c r="N53" t="s">
        <v>1123</v>
      </c>
      <c r="O53" t="s">
        <v>1144</v>
      </c>
    </row>
    <row r="54" spans="1:15" ht="15.75">
      <c r="A54" t="s">
        <v>74</v>
      </c>
      <c r="B54" t="s">
        <v>1145</v>
      </c>
      <c r="C54" t="s">
        <v>1257</v>
      </c>
      <c r="D54" t="s">
        <v>16</v>
      </c>
      <c r="E54">
        <v>34</v>
      </c>
      <c r="F54" t="s">
        <v>1118</v>
      </c>
      <c r="G54" t="s">
        <v>1266</v>
      </c>
      <c r="H54" t="s">
        <v>1267</v>
      </c>
      <c r="I54" s="2">
        <v>45071</v>
      </c>
      <c r="J54" t="s">
        <v>1121</v>
      </c>
      <c r="K54" t="s">
        <v>19</v>
      </c>
      <c r="L54" t="s">
        <v>18</v>
      </c>
      <c r="M54" t="s">
        <v>1122</v>
      </c>
      <c r="N54" t="s">
        <v>1123</v>
      </c>
      <c r="O54" t="s">
        <v>1124</v>
      </c>
    </row>
    <row r="55" spans="1:15" ht="15.75">
      <c r="A55" t="s">
        <v>75</v>
      </c>
      <c r="B55" t="s">
        <v>1148</v>
      </c>
      <c r="C55" t="s">
        <v>1257</v>
      </c>
      <c r="D55" t="s">
        <v>21</v>
      </c>
      <c r="E55">
        <v>38</v>
      </c>
      <c r="F55" t="s">
        <v>1139</v>
      </c>
      <c r="G55" t="s">
        <v>1268</v>
      </c>
      <c r="H55" t="s">
        <v>1269</v>
      </c>
      <c r="I55" s="2">
        <v>44373</v>
      </c>
      <c r="J55" t="s">
        <v>1128</v>
      </c>
      <c r="K55" t="s">
        <v>19</v>
      </c>
      <c r="L55" t="s">
        <v>18</v>
      </c>
      <c r="M55" t="s">
        <v>1129</v>
      </c>
      <c r="N55" t="s">
        <v>1123</v>
      </c>
      <c r="O55" t="s">
        <v>1130</v>
      </c>
    </row>
    <row r="56" spans="1:15" ht="15.75">
      <c r="A56" t="s">
        <v>76</v>
      </c>
      <c r="B56" t="s">
        <v>1151</v>
      </c>
      <c r="C56" t="s">
        <v>1257</v>
      </c>
      <c r="D56" t="s">
        <v>16</v>
      </c>
      <c r="E56">
        <v>31</v>
      </c>
      <c r="F56" t="s">
        <v>1118</v>
      </c>
      <c r="G56" t="s">
        <v>1270</v>
      </c>
      <c r="H56" t="s">
        <v>1271</v>
      </c>
      <c r="I56" s="2">
        <v>44769</v>
      </c>
      <c r="J56" t="s">
        <v>1135</v>
      </c>
      <c r="K56" t="s">
        <v>19</v>
      </c>
      <c r="L56" t="s">
        <v>18</v>
      </c>
      <c r="M56" t="s">
        <v>1136</v>
      </c>
      <c r="N56" t="s">
        <v>1123</v>
      </c>
      <c r="O56" t="s">
        <v>1137</v>
      </c>
    </row>
    <row r="57" spans="1:15" ht="15.75">
      <c r="A57" t="s">
        <v>77</v>
      </c>
      <c r="B57" t="s">
        <v>1246</v>
      </c>
      <c r="C57" t="s">
        <v>1257</v>
      </c>
      <c r="D57" t="s">
        <v>21</v>
      </c>
      <c r="E57">
        <v>26</v>
      </c>
      <c r="F57" t="s">
        <v>1118</v>
      </c>
      <c r="G57" t="s">
        <v>1272</v>
      </c>
      <c r="H57" t="s">
        <v>1273</v>
      </c>
      <c r="I57" s="2">
        <v>45166</v>
      </c>
      <c r="J57" t="s">
        <v>1142</v>
      </c>
      <c r="K57" t="s">
        <v>19</v>
      </c>
      <c r="L57" t="s">
        <v>18</v>
      </c>
      <c r="M57" t="s">
        <v>1143</v>
      </c>
      <c r="N57" t="s">
        <v>1123</v>
      </c>
      <c r="O57" t="s">
        <v>1144</v>
      </c>
    </row>
    <row r="58" spans="1:15" ht="15.75">
      <c r="A58" t="s">
        <v>78</v>
      </c>
      <c r="B58" t="s">
        <v>1191</v>
      </c>
      <c r="C58" t="s">
        <v>1257</v>
      </c>
      <c r="D58" t="s">
        <v>21</v>
      </c>
      <c r="E58">
        <v>63</v>
      </c>
      <c r="F58" t="s">
        <v>1132</v>
      </c>
      <c r="G58" t="s">
        <v>1274</v>
      </c>
      <c r="H58" t="s">
        <v>1275</v>
      </c>
      <c r="I58" s="2">
        <v>44440</v>
      </c>
      <c r="J58" t="s">
        <v>1121</v>
      </c>
      <c r="K58" t="s">
        <v>19</v>
      </c>
      <c r="L58" t="s">
        <v>18</v>
      </c>
      <c r="M58" t="s">
        <v>1122</v>
      </c>
      <c r="N58" t="s">
        <v>1123</v>
      </c>
      <c r="O58" t="s">
        <v>1124</v>
      </c>
    </row>
    <row r="59" spans="1:15" ht="15.75">
      <c r="A59" t="s">
        <v>79</v>
      </c>
      <c r="B59" t="s">
        <v>1194</v>
      </c>
      <c r="C59" t="s">
        <v>1257</v>
      </c>
      <c r="D59" t="s">
        <v>16</v>
      </c>
      <c r="E59">
        <v>18</v>
      </c>
      <c r="F59" t="s">
        <v>1164</v>
      </c>
      <c r="G59" t="s">
        <v>1276</v>
      </c>
      <c r="H59" t="s">
        <v>1277</v>
      </c>
      <c r="I59" s="2">
        <v>44836</v>
      </c>
      <c r="J59" t="s">
        <v>1128</v>
      </c>
      <c r="K59" t="s">
        <v>19</v>
      </c>
      <c r="L59" t="s">
        <v>18</v>
      </c>
      <c r="M59" t="s">
        <v>1129</v>
      </c>
      <c r="N59" t="s">
        <v>1123</v>
      </c>
      <c r="O59" t="s">
        <v>1130</v>
      </c>
    </row>
    <row r="60" spans="1:15" ht="15.75">
      <c r="A60" t="s">
        <v>80</v>
      </c>
      <c r="B60" t="s">
        <v>1163</v>
      </c>
      <c r="C60" t="s">
        <v>1257</v>
      </c>
      <c r="D60" t="s">
        <v>16</v>
      </c>
      <c r="E60">
        <v>62</v>
      </c>
      <c r="F60" t="s">
        <v>1132</v>
      </c>
      <c r="G60" t="s">
        <v>1278</v>
      </c>
      <c r="H60" t="s">
        <v>1279</v>
      </c>
      <c r="I60" s="2">
        <v>45233</v>
      </c>
      <c r="J60" t="s">
        <v>1135</v>
      </c>
      <c r="K60" t="s">
        <v>19</v>
      </c>
      <c r="L60" t="s">
        <v>18</v>
      </c>
      <c r="M60" t="s">
        <v>1136</v>
      </c>
      <c r="N60" t="s">
        <v>1123</v>
      </c>
      <c r="O60" t="s">
        <v>1137</v>
      </c>
    </row>
    <row r="61" spans="1:15" ht="15.75">
      <c r="A61" t="s">
        <v>81</v>
      </c>
      <c r="B61" t="s">
        <v>1167</v>
      </c>
      <c r="C61" t="s">
        <v>1257</v>
      </c>
      <c r="D61" t="s">
        <v>16</v>
      </c>
      <c r="E61">
        <v>30</v>
      </c>
      <c r="F61" t="s">
        <v>1118</v>
      </c>
      <c r="G61" t="s">
        <v>1280</v>
      </c>
      <c r="H61" t="s">
        <v>1281</v>
      </c>
      <c r="I61" s="2">
        <v>44534</v>
      </c>
      <c r="J61" t="s">
        <v>1142</v>
      </c>
      <c r="K61" t="s">
        <v>19</v>
      </c>
      <c r="L61" t="s">
        <v>18</v>
      </c>
      <c r="M61" t="s">
        <v>1143</v>
      </c>
      <c r="N61" t="s">
        <v>1123</v>
      </c>
      <c r="O61" t="s">
        <v>1144</v>
      </c>
    </row>
    <row r="62" spans="1:15" ht="15.75">
      <c r="A62" t="s">
        <v>82</v>
      </c>
      <c r="B62" t="s">
        <v>1116</v>
      </c>
      <c r="C62" t="s">
        <v>1282</v>
      </c>
      <c r="D62" t="s">
        <v>16</v>
      </c>
      <c r="E62">
        <v>21</v>
      </c>
      <c r="F62" t="s">
        <v>1164</v>
      </c>
      <c r="G62" t="s">
        <v>1283</v>
      </c>
      <c r="H62" t="s">
        <v>1284</v>
      </c>
      <c r="I62" s="2">
        <v>44566</v>
      </c>
      <c r="J62" t="s">
        <v>1121</v>
      </c>
      <c r="K62" t="s">
        <v>19</v>
      </c>
      <c r="L62" t="s">
        <v>18</v>
      </c>
      <c r="M62" t="s">
        <v>1122</v>
      </c>
      <c r="N62" t="s">
        <v>1123</v>
      </c>
      <c r="O62" t="s">
        <v>1124</v>
      </c>
    </row>
    <row r="63" spans="1:15" ht="15.75">
      <c r="A63" t="s">
        <v>83</v>
      </c>
      <c r="B63" t="s">
        <v>1173</v>
      </c>
      <c r="C63" t="s">
        <v>1282</v>
      </c>
      <c r="D63" t="s">
        <v>16</v>
      </c>
      <c r="E63">
        <v>18</v>
      </c>
      <c r="F63" t="s">
        <v>1164</v>
      </c>
      <c r="G63" t="s">
        <v>1285</v>
      </c>
      <c r="H63" t="s">
        <v>1286</v>
      </c>
      <c r="I63" s="2">
        <v>44963</v>
      </c>
      <c r="J63" t="s">
        <v>1128</v>
      </c>
      <c r="K63" t="s">
        <v>19</v>
      </c>
      <c r="L63" t="s">
        <v>18</v>
      </c>
      <c r="M63" t="s">
        <v>1129</v>
      </c>
      <c r="N63" t="s">
        <v>1123</v>
      </c>
      <c r="O63" t="s">
        <v>1130</v>
      </c>
    </row>
    <row r="64" spans="1:15" ht="15.75">
      <c r="A64" t="s">
        <v>84</v>
      </c>
      <c r="B64" t="s">
        <v>1131</v>
      </c>
      <c r="C64" t="s">
        <v>1282</v>
      </c>
      <c r="D64" t="s">
        <v>16</v>
      </c>
      <c r="E64">
        <v>57</v>
      </c>
      <c r="F64" t="s">
        <v>1132</v>
      </c>
      <c r="G64" t="s">
        <v>1287</v>
      </c>
      <c r="H64" t="s">
        <v>1288</v>
      </c>
      <c r="I64" s="2">
        <v>44262</v>
      </c>
      <c r="J64" t="s">
        <v>1135</v>
      </c>
      <c r="K64" t="s">
        <v>19</v>
      </c>
      <c r="L64" t="s">
        <v>18</v>
      </c>
      <c r="M64" t="s">
        <v>1136</v>
      </c>
      <c r="N64" t="s">
        <v>1123</v>
      </c>
      <c r="O64" t="s">
        <v>1137</v>
      </c>
    </row>
    <row r="65" spans="1:15" ht="15.75">
      <c r="A65" t="s">
        <v>85</v>
      </c>
      <c r="B65" t="s">
        <v>1138</v>
      </c>
      <c r="C65" t="s">
        <v>1282</v>
      </c>
      <c r="D65" t="s">
        <v>16</v>
      </c>
      <c r="E65">
        <v>49</v>
      </c>
      <c r="F65" t="s">
        <v>1132</v>
      </c>
      <c r="G65" t="s">
        <v>1289</v>
      </c>
      <c r="H65" t="s">
        <v>1290</v>
      </c>
      <c r="I65" s="2">
        <v>44659</v>
      </c>
      <c r="J65" t="s">
        <v>1142</v>
      </c>
      <c r="K65" t="s">
        <v>19</v>
      </c>
      <c r="L65" t="s">
        <v>18</v>
      </c>
      <c r="M65" t="s">
        <v>1143</v>
      </c>
      <c r="N65" t="s">
        <v>1123</v>
      </c>
      <c r="O65" t="s">
        <v>1144</v>
      </c>
    </row>
    <row r="66" spans="1:15" ht="15.75">
      <c r="A66" t="s">
        <v>86</v>
      </c>
      <c r="B66" t="s">
        <v>1145</v>
      </c>
      <c r="C66" t="s">
        <v>1282</v>
      </c>
      <c r="D66" t="s">
        <v>16</v>
      </c>
      <c r="E66">
        <v>51</v>
      </c>
      <c r="F66" t="s">
        <v>1132</v>
      </c>
      <c r="G66" t="s">
        <v>1291</v>
      </c>
      <c r="H66" t="s">
        <v>1292</v>
      </c>
      <c r="I66" s="2">
        <v>45055</v>
      </c>
      <c r="J66" t="s">
        <v>1121</v>
      </c>
      <c r="K66" t="s">
        <v>19</v>
      </c>
      <c r="L66" t="s">
        <v>18</v>
      </c>
      <c r="M66" t="s">
        <v>1122</v>
      </c>
      <c r="N66" t="s">
        <v>1123</v>
      </c>
      <c r="O66" t="s">
        <v>1124</v>
      </c>
    </row>
    <row r="67" spans="1:15" ht="15.75">
      <c r="A67" t="s">
        <v>87</v>
      </c>
      <c r="B67" t="s">
        <v>1148</v>
      </c>
      <c r="C67" t="s">
        <v>1282</v>
      </c>
      <c r="D67" t="s">
        <v>21</v>
      </c>
      <c r="E67">
        <v>45</v>
      </c>
      <c r="F67" t="s">
        <v>1139</v>
      </c>
      <c r="G67" t="s">
        <v>1293</v>
      </c>
      <c r="H67" t="s">
        <v>1294</v>
      </c>
      <c r="I67" s="2">
        <v>44357</v>
      </c>
      <c r="J67" t="s">
        <v>1128</v>
      </c>
      <c r="K67" t="s">
        <v>19</v>
      </c>
      <c r="L67" t="s">
        <v>18</v>
      </c>
      <c r="M67" t="s">
        <v>1129</v>
      </c>
      <c r="N67" t="s">
        <v>1123</v>
      </c>
      <c r="O67" t="s">
        <v>1130</v>
      </c>
    </row>
    <row r="68" spans="1:15" ht="15.75">
      <c r="A68" t="s">
        <v>88</v>
      </c>
      <c r="B68" t="s">
        <v>1186</v>
      </c>
      <c r="C68" t="s">
        <v>1282</v>
      </c>
      <c r="D68" t="s">
        <v>21</v>
      </c>
      <c r="E68">
        <v>48</v>
      </c>
      <c r="F68" t="s">
        <v>1132</v>
      </c>
      <c r="G68" t="s">
        <v>1295</v>
      </c>
      <c r="H68" t="s">
        <v>1296</v>
      </c>
      <c r="I68" s="2">
        <v>44753</v>
      </c>
      <c r="J68" t="s">
        <v>1135</v>
      </c>
      <c r="K68" t="s">
        <v>19</v>
      </c>
      <c r="L68" t="s">
        <v>18</v>
      </c>
      <c r="M68" t="s">
        <v>1136</v>
      </c>
      <c r="N68" t="s">
        <v>1123</v>
      </c>
      <c r="O68" t="s">
        <v>1137</v>
      </c>
    </row>
    <row r="69" spans="1:15" ht="15.75">
      <c r="A69" t="s">
        <v>89</v>
      </c>
      <c r="B69" t="s">
        <v>1154</v>
      </c>
      <c r="C69" t="s">
        <v>1282</v>
      </c>
      <c r="D69" t="s">
        <v>16</v>
      </c>
      <c r="E69">
        <v>25</v>
      </c>
      <c r="F69" t="s">
        <v>1164</v>
      </c>
      <c r="G69" t="s">
        <v>1297</v>
      </c>
      <c r="H69" t="s">
        <v>1298</v>
      </c>
      <c r="I69" s="2">
        <v>45150</v>
      </c>
      <c r="J69" t="s">
        <v>1142</v>
      </c>
      <c r="K69" t="s">
        <v>19</v>
      </c>
      <c r="L69" t="s">
        <v>18</v>
      </c>
      <c r="M69" t="s">
        <v>1143</v>
      </c>
      <c r="N69" t="s">
        <v>1123</v>
      </c>
      <c r="O69" t="s">
        <v>1144</v>
      </c>
    </row>
    <row r="70" spans="1:15" ht="15.75">
      <c r="A70" t="s">
        <v>90</v>
      </c>
      <c r="B70" t="s">
        <v>1191</v>
      </c>
      <c r="C70" t="s">
        <v>1282</v>
      </c>
      <c r="D70" t="s">
        <v>21</v>
      </c>
      <c r="E70">
        <v>56</v>
      </c>
      <c r="F70" t="s">
        <v>1132</v>
      </c>
      <c r="G70" t="s">
        <v>1299</v>
      </c>
      <c r="H70" t="s">
        <v>1300</v>
      </c>
      <c r="I70" s="2">
        <v>44452</v>
      </c>
      <c r="J70" t="s">
        <v>1121</v>
      </c>
      <c r="K70" t="s">
        <v>19</v>
      </c>
      <c r="L70" t="s">
        <v>18</v>
      </c>
      <c r="M70" t="s">
        <v>1122</v>
      </c>
      <c r="N70" t="s">
        <v>1123</v>
      </c>
      <c r="O70" t="s">
        <v>1124</v>
      </c>
    </row>
    <row r="71" spans="1:15" ht="15.75">
      <c r="A71" t="s">
        <v>91</v>
      </c>
      <c r="B71" t="s">
        <v>1160</v>
      </c>
      <c r="C71" t="s">
        <v>1282</v>
      </c>
      <c r="D71" t="s">
        <v>21</v>
      </c>
      <c r="E71">
        <v>43</v>
      </c>
      <c r="F71" t="s">
        <v>1139</v>
      </c>
      <c r="G71" t="s">
        <v>1301</v>
      </c>
      <c r="H71" t="s">
        <v>1302</v>
      </c>
      <c r="I71" s="2">
        <v>44848</v>
      </c>
      <c r="J71" t="s">
        <v>1128</v>
      </c>
      <c r="K71" t="s">
        <v>19</v>
      </c>
      <c r="L71" t="s">
        <v>18</v>
      </c>
      <c r="M71" t="s">
        <v>1129</v>
      </c>
      <c r="N71" t="s">
        <v>1123</v>
      </c>
      <c r="O71" t="s">
        <v>1130</v>
      </c>
    </row>
    <row r="72" spans="1:15" ht="15.75">
      <c r="A72" t="s">
        <v>92</v>
      </c>
      <c r="B72" t="s">
        <v>1197</v>
      </c>
      <c r="C72" t="s">
        <v>1282</v>
      </c>
      <c r="D72" t="s">
        <v>21</v>
      </c>
      <c r="E72">
        <v>51</v>
      </c>
      <c r="F72" t="s">
        <v>1132</v>
      </c>
      <c r="G72" t="s">
        <v>1303</v>
      </c>
      <c r="H72" t="s">
        <v>1304</v>
      </c>
      <c r="I72" s="2">
        <v>45245</v>
      </c>
      <c r="J72" t="s">
        <v>1135</v>
      </c>
      <c r="K72" t="s">
        <v>19</v>
      </c>
      <c r="L72" t="s">
        <v>18</v>
      </c>
      <c r="M72" t="s">
        <v>1136</v>
      </c>
      <c r="N72" t="s">
        <v>1123</v>
      </c>
      <c r="O72" t="s">
        <v>1137</v>
      </c>
    </row>
    <row r="73" spans="1:15" ht="15.75">
      <c r="A73" t="s">
        <v>93</v>
      </c>
      <c r="B73" t="s">
        <v>1200</v>
      </c>
      <c r="C73" t="s">
        <v>1282</v>
      </c>
      <c r="D73" t="s">
        <v>21</v>
      </c>
      <c r="E73">
        <v>20</v>
      </c>
      <c r="F73" t="s">
        <v>1164</v>
      </c>
      <c r="G73" t="s">
        <v>1305</v>
      </c>
      <c r="H73" t="s">
        <v>1306</v>
      </c>
      <c r="I73" s="2">
        <v>44546</v>
      </c>
      <c r="J73" t="s">
        <v>1142</v>
      </c>
      <c r="K73" t="s">
        <v>19</v>
      </c>
      <c r="L73" t="s">
        <v>18</v>
      </c>
      <c r="M73" t="s">
        <v>1143</v>
      </c>
      <c r="N73" t="s">
        <v>1123</v>
      </c>
      <c r="O73" t="s">
        <v>1144</v>
      </c>
    </row>
    <row r="74" spans="1:15" ht="15.75">
      <c r="A74" t="s">
        <v>94</v>
      </c>
      <c r="B74" t="s">
        <v>1116</v>
      </c>
      <c r="C74" t="s">
        <v>1307</v>
      </c>
      <c r="D74" t="s">
        <v>16</v>
      </c>
      <c r="E74">
        <v>29</v>
      </c>
      <c r="F74" t="s">
        <v>1118</v>
      </c>
      <c r="G74" t="s">
        <v>1308</v>
      </c>
      <c r="H74" t="s">
        <v>1309</v>
      </c>
      <c r="I74" s="2">
        <v>44578</v>
      </c>
      <c r="J74" t="s">
        <v>1121</v>
      </c>
      <c r="K74" t="s">
        <v>19</v>
      </c>
      <c r="L74" t="s">
        <v>18</v>
      </c>
      <c r="M74" t="s">
        <v>1122</v>
      </c>
      <c r="N74" t="s">
        <v>1123</v>
      </c>
      <c r="O74" t="s">
        <v>1124</v>
      </c>
    </row>
    <row r="75" spans="1:15" ht="15.75">
      <c r="A75" t="s">
        <v>95</v>
      </c>
      <c r="B75" t="s">
        <v>1125</v>
      </c>
      <c r="C75" t="s">
        <v>1307</v>
      </c>
      <c r="D75" t="s">
        <v>21</v>
      </c>
      <c r="E75">
        <v>18</v>
      </c>
      <c r="F75" t="s">
        <v>1164</v>
      </c>
      <c r="G75" t="s">
        <v>1310</v>
      </c>
      <c r="H75" t="s">
        <v>1311</v>
      </c>
      <c r="I75" s="2">
        <v>44975</v>
      </c>
      <c r="J75" t="s">
        <v>1128</v>
      </c>
      <c r="K75" t="s">
        <v>19</v>
      </c>
      <c r="L75" t="s">
        <v>18</v>
      </c>
      <c r="M75" t="s">
        <v>1129</v>
      </c>
      <c r="N75" t="s">
        <v>1123</v>
      </c>
      <c r="O75" t="s">
        <v>1130</v>
      </c>
    </row>
    <row r="76" spans="1:15" ht="15.75">
      <c r="A76" t="s">
        <v>96</v>
      </c>
      <c r="B76" t="s">
        <v>1131</v>
      </c>
      <c r="C76" t="s">
        <v>1307</v>
      </c>
      <c r="D76" t="s">
        <v>16</v>
      </c>
      <c r="E76">
        <v>61</v>
      </c>
      <c r="F76" t="s">
        <v>1132</v>
      </c>
      <c r="G76" t="s">
        <v>1312</v>
      </c>
      <c r="H76" t="s">
        <v>1313</v>
      </c>
      <c r="I76" s="2">
        <v>44274</v>
      </c>
      <c r="J76" t="s">
        <v>1135</v>
      </c>
      <c r="K76" t="s">
        <v>19</v>
      </c>
      <c r="L76" t="s">
        <v>18</v>
      </c>
      <c r="M76" t="s">
        <v>1136</v>
      </c>
      <c r="N76" t="s">
        <v>1123</v>
      </c>
      <c r="O76" t="s">
        <v>1137</v>
      </c>
    </row>
    <row r="77" spans="1:15" ht="15.75">
      <c r="A77" t="s">
        <v>97</v>
      </c>
      <c r="B77" t="s">
        <v>1211</v>
      </c>
      <c r="C77" t="s">
        <v>1307</v>
      </c>
      <c r="D77" t="s">
        <v>21</v>
      </c>
      <c r="E77">
        <v>22</v>
      </c>
      <c r="F77" t="s">
        <v>1164</v>
      </c>
      <c r="G77" t="s">
        <v>1314</v>
      </c>
      <c r="H77" t="s">
        <v>1315</v>
      </c>
      <c r="I77" s="2">
        <v>44671</v>
      </c>
      <c r="J77" t="s">
        <v>1142</v>
      </c>
      <c r="K77" t="s">
        <v>19</v>
      </c>
      <c r="L77" t="s">
        <v>18</v>
      </c>
      <c r="M77" t="s">
        <v>1143</v>
      </c>
      <c r="N77" t="s">
        <v>1123</v>
      </c>
      <c r="O77" t="s">
        <v>1144</v>
      </c>
    </row>
    <row r="78" spans="1:15" ht="15.75">
      <c r="A78" t="s">
        <v>98</v>
      </c>
      <c r="B78" t="s">
        <v>1181</v>
      </c>
      <c r="C78" t="s">
        <v>1307</v>
      </c>
      <c r="D78" t="s">
        <v>21</v>
      </c>
      <c r="E78">
        <v>47</v>
      </c>
      <c r="F78" t="s">
        <v>1132</v>
      </c>
      <c r="G78" t="s">
        <v>1316</v>
      </c>
      <c r="H78" t="s">
        <v>1317</v>
      </c>
      <c r="I78" s="2">
        <v>45067</v>
      </c>
      <c r="J78" t="s">
        <v>1121</v>
      </c>
      <c r="K78" t="s">
        <v>19</v>
      </c>
      <c r="L78" t="s">
        <v>18</v>
      </c>
      <c r="M78" t="s">
        <v>1122</v>
      </c>
      <c r="N78" t="s">
        <v>1123</v>
      </c>
      <c r="O78" t="s">
        <v>1124</v>
      </c>
    </row>
    <row r="79" spans="1:15" ht="15.75">
      <c r="A79" t="s">
        <v>99</v>
      </c>
      <c r="B79" t="s">
        <v>1148</v>
      </c>
      <c r="C79" t="s">
        <v>1307</v>
      </c>
      <c r="D79" t="s">
        <v>21</v>
      </c>
      <c r="E79">
        <v>47</v>
      </c>
      <c r="F79" t="s">
        <v>1132</v>
      </c>
      <c r="G79" t="s">
        <v>1318</v>
      </c>
      <c r="H79" t="s">
        <v>1319</v>
      </c>
      <c r="I79" s="2">
        <v>44369</v>
      </c>
      <c r="J79" t="s">
        <v>1128</v>
      </c>
      <c r="K79" t="s">
        <v>19</v>
      </c>
      <c r="L79" t="s">
        <v>18</v>
      </c>
      <c r="M79" t="s">
        <v>1129</v>
      </c>
      <c r="N79" t="s">
        <v>1123</v>
      </c>
      <c r="O79" t="s">
        <v>1130</v>
      </c>
    </row>
    <row r="80" spans="1:15" ht="15.75">
      <c r="A80" t="s">
        <v>100</v>
      </c>
      <c r="B80" t="s">
        <v>1151</v>
      </c>
      <c r="C80" t="s">
        <v>1307</v>
      </c>
      <c r="D80" t="s">
        <v>16</v>
      </c>
      <c r="E80">
        <v>34</v>
      </c>
      <c r="F80" t="s">
        <v>1118</v>
      </c>
      <c r="G80" t="s">
        <v>1320</v>
      </c>
      <c r="H80" t="s">
        <v>1321</v>
      </c>
      <c r="I80" s="2">
        <v>44765</v>
      </c>
      <c r="J80" t="s">
        <v>1135</v>
      </c>
      <c r="K80" t="s">
        <v>19</v>
      </c>
      <c r="L80" t="s">
        <v>18</v>
      </c>
      <c r="M80" t="s">
        <v>1136</v>
      </c>
      <c r="N80" t="s">
        <v>1123</v>
      </c>
      <c r="O80" t="s">
        <v>1137</v>
      </c>
    </row>
    <row r="81" spans="1:15" ht="15.75">
      <c r="A81" t="s">
        <v>101</v>
      </c>
      <c r="B81" t="s">
        <v>1246</v>
      </c>
      <c r="C81" t="s">
        <v>1307</v>
      </c>
      <c r="D81" t="s">
        <v>21</v>
      </c>
      <c r="E81">
        <v>64</v>
      </c>
      <c r="F81" t="s">
        <v>1132</v>
      </c>
      <c r="G81" t="s">
        <v>1322</v>
      </c>
      <c r="H81" t="s">
        <v>1323</v>
      </c>
      <c r="I81" s="2">
        <v>45162</v>
      </c>
      <c r="J81" t="s">
        <v>1142</v>
      </c>
      <c r="K81" t="s">
        <v>19</v>
      </c>
      <c r="L81" t="s">
        <v>18</v>
      </c>
      <c r="M81" t="s">
        <v>1143</v>
      </c>
      <c r="N81" t="s">
        <v>1123</v>
      </c>
      <c r="O81" t="s">
        <v>1144</v>
      </c>
    </row>
    <row r="82" spans="1:15" ht="15.75">
      <c r="A82" t="s">
        <v>102</v>
      </c>
      <c r="B82" t="s">
        <v>1157</v>
      </c>
      <c r="C82" t="s">
        <v>1307</v>
      </c>
      <c r="D82" t="s">
        <v>16</v>
      </c>
      <c r="E82">
        <v>40</v>
      </c>
      <c r="F82" t="s">
        <v>1139</v>
      </c>
      <c r="G82" t="s">
        <v>1324</v>
      </c>
      <c r="H82" t="s">
        <v>1325</v>
      </c>
      <c r="I82" s="2">
        <v>44464</v>
      </c>
      <c r="J82" t="s">
        <v>1121</v>
      </c>
      <c r="K82" t="s">
        <v>19</v>
      </c>
      <c r="L82" t="s">
        <v>18</v>
      </c>
      <c r="M82" t="s">
        <v>1122</v>
      </c>
      <c r="N82" t="s">
        <v>1123</v>
      </c>
      <c r="O82" t="s">
        <v>1124</v>
      </c>
    </row>
    <row r="83" spans="1:15" ht="15.75">
      <c r="A83" t="s">
        <v>103</v>
      </c>
      <c r="B83" t="s">
        <v>1160</v>
      </c>
      <c r="C83" t="s">
        <v>1307</v>
      </c>
      <c r="D83" t="s">
        <v>21</v>
      </c>
      <c r="E83">
        <v>32</v>
      </c>
      <c r="F83" t="s">
        <v>1118</v>
      </c>
      <c r="G83" t="s">
        <v>1326</v>
      </c>
      <c r="H83" t="s">
        <v>1327</v>
      </c>
      <c r="I83" s="2">
        <v>44860</v>
      </c>
      <c r="J83" t="s">
        <v>1128</v>
      </c>
      <c r="K83" t="s">
        <v>19</v>
      </c>
      <c r="L83" t="s">
        <v>18</v>
      </c>
      <c r="M83" t="s">
        <v>1129</v>
      </c>
      <c r="N83" t="s">
        <v>1123</v>
      </c>
      <c r="O83" t="s">
        <v>1130</v>
      </c>
    </row>
    <row r="84" spans="1:15" ht="15.75">
      <c r="A84" t="s">
        <v>104</v>
      </c>
      <c r="B84" t="s">
        <v>1163</v>
      </c>
      <c r="C84" t="s">
        <v>1307</v>
      </c>
      <c r="D84" t="s">
        <v>16</v>
      </c>
      <c r="E84">
        <v>54</v>
      </c>
      <c r="F84" t="s">
        <v>1132</v>
      </c>
      <c r="G84" t="s">
        <v>1328</v>
      </c>
      <c r="H84" t="s">
        <v>1329</v>
      </c>
      <c r="I84" s="2">
        <v>45257</v>
      </c>
      <c r="J84" t="s">
        <v>1135</v>
      </c>
      <c r="K84" t="s">
        <v>19</v>
      </c>
      <c r="L84" t="s">
        <v>18</v>
      </c>
      <c r="M84" t="s">
        <v>1136</v>
      </c>
      <c r="N84" t="s">
        <v>1123</v>
      </c>
      <c r="O84" t="s">
        <v>1137</v>
      </c>
    </row>
    <row r="85" spans="1:15" ht="15.75">
      <c r="A85" t="s">
        <v>105</v>
      </c>
      <c r="B85" t="s">
        <v>1200</v>
      </c>
      <c r="C85" t="s">
        <v>1307</v>
      </c>
      <c r="D85" t="s">
        <v>21</v>
      </c>
      <c r="E85">
        <v>38</v>
      </c>
      <c r="F85" t="s">
        <v>1139</v>
      </c>
      <c r="G85" t="s">
        <v>1330</v>
      </c>
      <c r="H85" t="s">
        <v>1331</v>
      </c>
      <c r="I85" s="2">
        <v>44558</v>
      </c>
      <c r="J85" t="s">
        <v>1142</v>
      </c>
      <c r="K85" t="s">
        <v>19</v>
      </c>
      <c r="L85" t="s">
        <v>18</v>
      </c>
      <c r="M85" t="s">
        <v>1143</v>
      </c>
      <c r="N85" t="s">
        <v>1123</v>
      </c>
      <c r="O85" t="s">
        <v>1144</v>
      </c>
    </row>
    <row r="86" spans="1:15" ht="15.75">
      <c r="A86" t="s">
        <v>106</v>
      </c>
      <c r="B86" t="s">
        <v>1116</v>
      </c>
      <c r="C86" t="s">
        <v>1332</v>
      </c>
      <c r="D86" t="s">
        <v>16</v>
      </c>
      <c r="E86">
        <v>31</v>
      </c>
      <c r="F86" t="s">
        <v>1118</v>
      </c>
      <c r="G86" t="s">
        <v>1333</v>
      </c>
      <c r="H86" t="s">
        <v>1334</v>
      </c>
      <c r="I86" s="2">
        <v>44562</v>
      </c>
      <c r="J86" t="s">
        <v>1121</v>
      </c>
      <c r="K86" t="s">
        <v>19</v>
      </c>
      <c r="L86" t="s">
        <v>18</v>
      </c>
      <c r="M86" t="s">
        <v>1122</v>
      </c>
      <c r="N86" t="s">
        <v>1123</v>
      </c>
      <c r="O86" t="s">
        <v>1124</v>
      </c>
    </row>
    <row r="87" spans="1:15" ht="15.75">
      <c r="A87" t="s">
        <v>107</v>
      </c>
      <c r="B87" t="s">
        <v>1173</v>
      </c>
      <c r="C87" t="s">
        <v>1332</v>
      </c>
      <c r="D87" t="s">
        <v>16</v>
      </c>
      <c r="E87">
        <v>19</v>
      </c>
      <c r="F87" t="s">
        <v>1164</v>
      </c>
      <c r="G87" t="s">
        <v>1335</v>
      </c>
      <c r="H87" t="s">
        <v>1336</v>
      </c>
      <c r="I87" s="2">
        <v>44959</v>
      </c>
      <c r="J87" t="s">
        <v>1128</v>
      </c>
      <c r="K87" t="s">
        <v>19</v>
      </c>
      <c r="L87" t="s">
        <v>18</v>
      </c>
      <c r="M87" t="s">
        <v>1129</v>
      </c>
      <c r="N87" t="s">
        <v>1123</v>
      </c>
      <c r="O87" t="s">
        <v>1130</v>
      </c>
    </row>
    <row r="88" spans="1:15" ht="15.75">
      <c r="A88" t="s">
        <v>108</v>
      </c>
      <c r="B88" t="s">
        <v>1176</v>
      </c>
      <c r="C88" t="s">
        <v>1332</v>
      </c>
      <c r="D88" t="s">
        <v>21</v>
      </c>
      <c r="E88">
        <v>28</v>
      </c>
      <c r="F88" t="s">
        <v>1118</v>
      </c>
      <c r="G88" t="s">
        <v>1337</v>
      </c>
      <c r="H88" t="s">
        <v>1338</v>
      </c>
      <c r="I88" s="2">
        <v>44258</v>
      </c>
      <c r="J88" t="s">
        <v>1135</v>
      </c>
      <c r="K88" t="s">
        <v>19</v>
      </c>
      <c r="L88" t="s">
        <v>18</v>
      </c>
      <c r="M88" t="s">
        <v>1136</v>
      </c>
      <c r="N88" t="s">
        <v>1123</v>
      </c>
      <c r="O88" t="s">
        <v>1137</v>
      </c>
    </row>
    <row r="89" spans="1:15" ht="15.75">
      <c r="A89" t="s">
        <v>109</v>
      </c>
      <c r="B89" t="s">
        <v>1138</v>
      </c>
      <c r="C89" t="s">
        <v>1332</v>
      </c>
      <c r="D89" t="s">
        <v>16</v>
      </c>
      <c r="E89">
        <v>56</v>
      </c>
      <c r="F89" t="s">
        <v>1132</v>
      </c>
      <c r="G89" t="s">
        <v>1339</v>
      </c>
      <c r="H89" t="s">
        <v>1340</v>
      </c>
      <c r="I89" s="2">
        <v>44655</v>
      </c>
      <c r="J89" t="s">
        <v>1142</v>
      </c>
      <c r="K89" t="s">
        <v>19</v>
      </c>
      <c r="L89" t="s">
        <v>18</v>
      </c>
      <c r="M89" t="s">
        <v>1143</v>
      </c>
      <c r="N89" t="s">
        <v>1123</v>
      </c>
      <c r="O89" t="s">
        <v>1144</v>
      </c>
    </row>
    <row r="90" spans="1:15" ht="15.75">
      <c r="A90" t="s">
        <v>110</v>
      </c>
      <c r="B90" t="s">
        <v>1181</v>
      </c>
      <c r="C90" t="s">
        <v>1332</v>
      </c>
      <c r="D90" t="s">
        <v>21</v>
      </c>
      <c r="E90">
        <v>55</v>
      </c>
      <c r="F90" t="s">
        <v>1132</v>
      </c>
      <c r="G90" t="s">
        <v>1341</v>
      </c>
      <c r="H90" t="s">
        <v>1342</v>
      </c>
      <c r="I90" s="2">
        <v>45051</v>
      </c>
      <c r="J90" t="s">
        <v>1121</v>
      </c>
      <c r="K90" t="s">
        <v>19</v>
      </c>
      <c r="L90" t="s">
        <v>18</v>
      </c>
      <c r="M90" t="s">
        <v>1122</v>
      </c>
      <c r="N90" t="s">
        <v>1123</v>
      </c>
      <c r="O90" t="s">
        <v>1124</v>
      </c>
    </row>
    <row r="91" spans="1:15" ht="15.75">
      <c r="A91" t="s">
        <v>111</v>
      </c>
      <c r="B91" t="s">
        <v>1148</v>
      </c>
      <c r="C91" t="s">
        <v>1332</v>
      </c>
      <c r="D91" t="s">
        <v>21</v>
      </c>
      <c r="E91">
        <v>51</v>
      </c>
      <c r="F91" t="s">
        <v>1132</v>
      </c>
      <c r="G91" t="s">
        <v>1343</v>
      </c>
      <c r="H91" t="s">
        <v>1344</v>
      </c>
      <c r="I91" s="2">
        <v>44353</v>
      </c>
      <c r="J91" t="s">
        <v>1128</v>
      </c>
      <c r="K91" t="s">
        <v>19</v>
      </c>
      <c r="L91" t="s">
        <v>18</v>
      </c>
      <c r="M91" t="s">
        <v>1129</v>
      </c>
      <c r="N91" t="s">
        <v>1123</v>
      </c>
      <c r="O91" t="s">
        <v>1130</v>
      </c>
    </row>
    <row r="92" spans="1:15" ht="15.75">
      <c r="A92" t="s">
        <v>112</v>
      </c>
      <c r="B92" t="s">
        <v>1186</v>
      </c>
      <c r="C92" t="s">
        <v>1332</v>
      </c>
      <c r="D92" t="s">
        <v>21</v>
      </c>
      <c r="E92">
        <v>55</v>
      </c>
      <c r="F92" t="s">
        <v>1132</v>
      </c>
      <c r="G92" t="s">
        <v>1345</v>
      </c>
      <c r="H92" t="s">
        <v>1346</v>
      </c>
      <c r="I92" s="2">
        <v>44749</v>
      </c>
      <c r="J92" t="s">
        <v>1135</v>
      </c>
      <c r="K92" t="s">
        <v>19</v>
      </c>
      <c r="L92" t="s">
        <v>18</v>
      </c>
      <c r="M92" t="s">
        <v>1136</v>
      </c>
      <c r="N92" t="s">
        <v>1123</v>
      </c>
      <c r="O92" t="s">
        <v>1137</v>
      </c>
    </row>
    <row r="93" spans="1:15" ht="15.75">
      <c r="A93" t="s">
        <v>113</v>
      </c>
      <c r="B93" t="s">
        <v>1246</v>
      </c>
      <c r="C93" t="s">
        <v>1332</v>
      </c>
      <c r="D93" t="s">
        <v>21</v>
      </c>
      <c r="E93">
        <v>51</v>
      </c>
      <c r="F93" t="s">
        <v>1132</v>
      </c>
      <c r="G93" t="s">
        <v>1347</v>
      </c>
      <c r="H93" t="s">
        <v>1348</v>
      </c>
      <c r="I93" s="2">
        <v>45146</v>
      </c>
      <c r="J93" t="s">
        <v>1142</v>
      </c>
      <c r="K93" t="s">
        <v>19</v>
      </c>
      <c r="L93" t="s">
        <v>18</v>
      </c>
      <c r="M93" t="s">
        <v>1143</v>
      </c>
      <c r="N93" t="s">
        <v>1123</v>
      </c>
      <c r="O93" t="s">
        <v>1144</v>
      </c>
    </row>
    <row r="94" spans="1:15" ht="15.75">
      <c r="A94" t="s">
        <v>114</v>
      </c>
      <c r="B94" t="s">
        <v>1191</v>
      </c>
      <c r="C94" t="s">
        <v>1332</v>
      </c>
      <c r="D94" t="s">
        <v>21</v>
      </c>
      <c r="E94">
        <v>35</v>
      </c>
      <c r="F94" t="s">
        <v>1118</v>
      </c>
      <c r="G94" t="s">
        <v>1349</v>
      </c>
      <c r="H94" t="s">
        <v>1350</v>
      </c>
      <c r="I94" s="2">
        <v>44448</v>
      </c>
      <c r="J94" t="s">
        <v>1121</v>
      </c>
      <c r="K94" t="s">
        <v>19</v>
      </c>
      <c r="L94" t="s">
        <v>18</v>
      </c>
      <c r="M94" t="s">
        <v>1122</v>
      </c>
      <c r="N94" t="s">
        <v>1123</v>
      </c>
      <c r="O94" t="s">
        <v>1124</v>
      </c>
    </row>
    <row r="95" spans="1:15" ht="15.75">
      <c r="A95" t="s">
        <v>115</v>
      </c>
      <c r="B95" t="s">
        <v>1160</v>
      </c>
      <c r="C95" t="s">
        <v>1332</v>
      </c>
      <c r="D95" t="s">
        <v>21</v>
      </c>
      <c r="E95">
        <v>47</v>
      </c>
      <c r="F95" t="s">
        <v>1132</v>
      </c>
      <c r="G95" t="s">
        <v>1351</v>
      </c>
      <c r="H95" t="s">
        <v>1352</v>
      </c>
      <c r="I95" s="2">
        <v>44844</v>
      </c>
      <c r="J95" t="s">
        <v>1128</v>
      </c>
      <c r="K95" t="s">
        <v>19</v>
      </c>
      <c r="L95" t="s">
        <v>18</v>
      </c>
      <c r="M95" t="s">
        <v>1129</v>
      </c>
      <c r="N95" t="s">
        <v>1123</v>
      </c>
      <c r="O95" t="s">
        <v>1130</v>
      </c>
    </row>
    <row r="96" spans="1:15" ht="15.75">
      <c r="A96" t="s">
        <v>116</v>
      </c>
      <c r="B96" t="s">
        <v>1197</v>
      </c>
      <c r="C96" t="s">
        <v>1332</v>
      </c>
      <c r="D96" t="s">
        <v>21</v>
      </c>
      <c r="E96">
        <v>32</v>
      </c>
      <c r="F96" t="s">
        <v>1118</v>
      </c>
      <c r="G96" t="s">
        <v>1353</v>
      </c>
      <c r="H96" t="s">
        <v>1354</v>
      </c>
      <c r="I96" s="2">
        <v>45241</v>
      </c>
      <c r="J96" t="s">
        <v>1135</v>
      </c>
      <c r="K96" t="s">
        <v>19</v>
      </c>
      <c r="L96" t="s">
        <v>18</v>
      </c>
      <c r="M96" t="s">
        <v>1136</v>
      </c>
      <c r="N96" t="s">
        <v>1123</v>
      </c>
      <c r="O96" t="s">
        <v>1137</v>
      </c>
    </row>
    <row r="97" spans="1:15" ht="15.75">
      <c r="A97" t="s">
        <v>117</v>
      </c>
      <c r="B97" t="s">
        <v>1200</v>
      </c>
      <c r="C97" t="s">
        <v>1332</v>
      </c>
      <c r="D97" t="s">
        <v>21</v>
      </c>
      <c r="E97">
        <v>44</v>
      </c>
      <c r="F97" t="s">
        <v>1139</v>
      </c>
      <c r="G97" t="s">
        <v>1355</v>
      </c>
      <c r="H97" t="s">
        <v>1356</v>
      </c>
      <c r="I97" s="2">
        <v>44542</v>
      </c>
      <c r="J97" t="s">
        <v>1142</v>
      </c>
      <c r="K97" t="s">
        <v>19</v>
      </c>
      <c r="L97" t="s">
        <v>18</v>
      </c>
      <c r="M97" t="s">
        <v>1143</v>
      </c>
      <c r="N97" t="s">
        <v>1123</v>
      </c>
      <c r="O97" t="s">
        <v>1144</v>
      </c>
    </row>
    <row r="98" spans="1:15" ht="15.75">
      <c r="A98" t="s">
        <v>118</v>
      </c>
      <c r="B98" t="s">
        <v>1203</v>
      </c>
      <c r="C98" t="s">
        <v>1357</v>
      </c>
      <c r="D98" t="s">
        <v>21</v>
      </c>
      <c r="E98">
        <v>51</v>
      </c>
      <c r="F98" t="s">
        <v>1132</v>
      </c>
      <c r="G98" t="s">
        <v>1358</v>
      </c>
      <c r="H98" t="s">
        <v>1359</v>
      </c>
      <c r="I98" s="2">
        <v>44574</v>
      </c>
      <c r="J98" t="s">
        <v>1121</v>
      </c>
      <c r="K98" t="s">
        <v>19</v>
      </c>
      <c r="L98" t="s">
        <v>18</v>
      </c>
      <c r="M98" t="s">
        <v>1122</v>
      </c>
      <c r="N98" t="s">
        <v>1123</v>
      </c>
      <c r="O98" t="s">
        <v>1124</v>
      </c>
    </row>
    <row r="99" spans="1:15" ht="15.75">
      <c r="A99" t="s">
        <v>119</v>
      </c>
      <c r="B99" t="s">
        <v>1125</v>
      </c>
      <c r="C99" t="s">
        <v>1357</v>
      </c>
      <c r="D99" t="s">
        <v>21</v>
      </c>
      <c r="E99">
        <v>55</v>
      </c>
      <c r="F99" t="s">
        <v>1132</v>
      </c>
      <c r="G99" t="s">
        <v>1360</v>
      </c>
      <c r="H99" t="s">
        <v>1361</v>
      </c>
      <c r="I99" s="2">
        <v>44971</v>
      </c>
      <c r="J99" t="s">
        <v>1128</v>
      </c>
      <c r="K99" t="s">
        <v>19</v>
      </c>
      <c r="L99" t="s">
        <v>18</v>
      </c>
      <c r="M99" t="s">
        <v>1129</v>
      </c>
      <c r="N99" t="s">
        <v>1123</v>
      </c>
      <c r="O99" t="s">
        <v>1130</v>
      </c>
    </row>
    <row r="100" spans="1:15" ht="15.75">
      <c r="A100" t="s">
        <v>120</v>
      </c>
      <c r="B100" t="s">
        <v>1176</v>
      </c>
      <c r="C100" t="s">
        <v>1357</v>
      </c>
      <c r="D100" t="s">
        <v>21</v>
      </c>
      <c r="E100">
        <v>50</v>
      </c>
      <c r="F100" t="s">
        <v>1132</v>
      </c>
      <c r="G100" t="s">
        <v>1362</v>
      </c>
      <c r="H100" t="s">
        <v>1363</v>
      </c>
      <c r="I100" s="2">
        <v>44270</v>
      </c>
      <c r="J100" t="s">
        <v>1135</v>
      </c>
      <c r="K100" t="s">
        <v>19</v>
      </c>
      <c r="L100" t="s">
        <v>18</v>
      </c>
      <c r="M100" t="s">
        <v>1136</v>
      </c>
      <c r="N100" t="s">
        <v>1123</v>
      </c>
      <c r="O100" t="s">
        <v>1137</v>
      </c>
    </row>
    <row r="101" spans="1:15" ht="15.75">
      <c r="A101" t="s">
        <v>121</v>
      </c>
      <c r="B101" t="s">
        <v>1138</v>
      </c>
      <c r="C101" t="s">
        <v>1357</v>
      </c>
      <c r="D101" t="s">
        <v>16</v>
      </c>
      <c r="E101">
        <v>41</v>
      </c>
      <c r="F101" t="s">
        <v>1139</v>
      </c>
      <c r="G101" t="s">
        <v>1364</v>
      </c>
      <c r="H101" t="s">
        <v>1365</v>
      </c>
      <c r="I101" s="2">
        <v>44667</v>
      </c>
      <c r="J101" t="s">
        <v>1142</v>
      </c>
      <c r="K101" t="s">
        <v>19</v>
      </c>
      <c r="L101" t="s">
        <v>18</v>
      </c>
      <c r="M101" t="s">
        <v>1143</v>
      </c>
      <c r="N101" t="s">
        <v>1123</v>
      </c>
      <c r="O101" t="s">
        <v>1144</v>
      </c>
    </row>
    <row r="102" spans="1:15" ht="15.75">
      <c r="A102" t="s">
        <v>122</v>
      </c>
      <c r="B102" t="s">
        <v>1145</v>
      </c>
      <c r="C102" t="s">
        <v>1357</v>
      </c>
      <c r="D102" t="s">
        <v>16</v>
      </c>
      <c r="E102">
        <v>32</v>
      </c>
      <c r="F102" t="s">
        <v>1118</v>
      </c>
      <c r="G102" t="s">
        <v>1366</v>
      </c>
      <c r="H102" t="s">
        <v>1367</v>
      </c>
      <c r="I102" s="2">
        <v>45063</v>
      </c>
      <c r="J102" t="s">
        <v>1121</v>
      </c>
      <c r="K102" t="s">
        <v>19</v>
      </c>
      <c r="L102" t="s">
        <v>18</v>
      </c>
      <c r="M102" t="s">
        <v>1122</v>
      </c>
      <c r="N102" t="s">
        <v>1123</v>
      </c>
      <c r="O102" t="s">
        <v>1124</v>
      </c>
    </row>
    <row r="103" spans="1:15" ht="15.75">
      <c r="A103" t="s">
        <v>123</v>
      </c>
      <c r="B103" t="s">
        <v>1148</v>
      </c>
      <c r="C103" t="s">
        <v>1357</v>
      </c>
      <c r="D103" t="s">
        <v>21</v>
      </c>
      <c r="E103">
        <v>47</v>
      </c>
      <c r="F103" t="s">
        <v>1132</v>
      </c>
      <c r="G103" t="s">
        <v>1368</v>
      </c>
      <c r="H103" t="s">
        <v>1369</v>
      </c>
      <c r="I103" s="2">
        <v>44365</v>
      </c>
      <c r="J103" t="s">
        <v>1128</v>
      </c>
      <c r="K103" t="s">
        <v>19</v>
      </c>
      <c r="L103" t="s">
        <v>18</v>
      </c>
      <c r="M103" t="s">
        <v>1129</v>
      </c>
      <c r="N103" t="s">
        <v>1123</v>
      </c>
      <c r="O103" t="s">
        <v>1130</v>
      </c>
    </row>
    <row r="104" spans="1:15" ht="15.75">
      <c r="A104" t="s">
        <v>124</v>
      </c>
      <c r="B104" t="s">
        <v>1186</v>
      </c>
      <c r="C104" t="s">
        <v>1357</v>
      </c>
      <c r="D104" t="s">
        <v>21</v>
      </c>
      <c r="E104">
        <v>59</v>
      </c>
      <c r="F104" t="s">
        <v>1132</v>
      </c>
      <c r="G104" t="s">
        <v>1370</v>
      </c>
      <c r="H104" t="s">
        <v>1371</v>
      </c>
      <c r="I104" s="2">
        <v>44761</v>
      </c>
      <c r="J104" t="s">
        <v>1135</v>
      </c>
      <c r="K104" t="s">
        <v>19</v>
      </c>
      <c r="L104" t="s">
        <v>18</v>
      </c>
      <c r="M104" t="s">
        <v>1136</v>
      </c>
      <c r="N104" t="s">
        <v>1123</v>
      </c>
      <c r="O104" t="s">
        <v>1137</v>
      </c>
    </row>
    <row r="105" spans="1:15" ht="15.75">
      <c r="A105" t="s">
        <v>125</v>
      </c>
      <c r="B105" t="s">
        <v>1246</v>
      </c>
      <c r="C105" t="s">
        <v>1357</v>
      </c>
      <c r="D105" t="s">
        <v>21</v>
      </c>
      <c r="E105">
        <v>34</v>
      </c>
      <c r="F105" t="s">
        <v>1118</v>
      </c>
      <c r="G105" t="s">
        <v>1372</v>
      </c>
      <c r="H105" t="s">
        <v>1373</v>
      </c>
      <c r="I105" s="2">
        <v>45158</v>
      </c>
      <c r="J105" t="s">
        <v>1142</v>
      </c>
      <c r="K105" t="s">
        <v>19</v>
      </c>
      <c r="L105" t="s">
        <v>18</v>
      </c>
      <c r="M105" t="s">
        <v>1143</v>
      </c>
      <c r="N105" t="s">
        <v>1123</v>
      </c>
      <c r="O105" t="s">
        <v>1144</v>
      </c>
    </row>
    <row r="106" spans="1:15" ht="15.75">
      <c r="A106" t="s">
        <v>126</v>
      </c>
      <c r="B106" t="s">
        <v>1191</v>
      </c>
      <c r="C106" t="s">
        <v>1357</v>
      </c>
      <c r="D106" t="s">
        <v>21</v>
      </c>
      <c r="E106">
        <v>22</v>
      </c>
      <c r="F106" t="s">
        <v>1164</v>
      </c>
      <c r="G106" t="s">
        <v>1374</v>
      </c>
      <c r="H106" t="s">
        <v>1375</v>
      </c>
      <c r="I106" s="2">
        <v>44460</v>
      </c>
      <c r="J106" t="s">
        <v>1121</v>
      </c>
      <c r="K106" t="s">
        <v>19</v>
      </c>
      <c r="L106" t="s">
        <v>18</v>
      </c>
      <c r="M106" t="s">
        <v>1122</v>
      </c>
      <c r="N106" t="s">
        <v>1123</v>
      </c>
      <c r="O106" t="s">
        <v>1124</v>
      </c>
    </row>
    <row r="107" spans="1:15" ht="15.75">
      <c r="A107" t="s">
        <v>127</v>
      </c>
      <c r="B107" t="s">
        <v>1160</v>
      </c>
      <c r="C107" t="s">
        <v>1357</v>
      </c>
      <c r="D107" t="s">
        <v>21</v>
      </c>
      <c r="E107">
        <v>46</v>
      </c>
      <c r="F107" t="s">
        <v>1132</v>
      </c>
      <c r="G107" t="s">
        <v>1376</v>
      </c>
      <c r="H107" t="s">
        <v>1377</v>
      </c>
      <c r="I107" s="2">
        <v>44856</v>
      </c>
      <c r="J107" t="s">
        <v>1128</v>
      </c>
      <c r="K107" t="s">
        <v>19</v>
      </c>
      <c r="L107" t="s">
        <v>18</v>
      </c>
      <c r="M107" t="s">
        <v>1129</v>
      </c>
      <c r="N107" t="s">
        <v>1123</v>
      </c>
      <c r="O107" t="s">
        <v>1130</v>
      </c>
    </row>
    <row r="108" spans="1:15" ht="15.75">
      <c r="A108" t="s">
        <v>128</v>
      </c>
      <c r="B108" t="s">
        <v>1197</v>
      </c>
      <c r="C108" t="s">
        <v>1357</v>
      </c>
      <c r="D108" t="s">
        <v>21</v>
      </c>
      <c r="E108">
        <v>21</v>
      </c>
      <c r="F108" t="s">
        <v>1164</v>
      </c>
      <c r="G108" t="s">
        <v>1378</v>
      </c>
      <c r="H108" t="s">
        <v>1379</v>
      </c>
      <c r="I108" s="2">
        <v>45253</v>
      </c>
      <c r="J108" t="s">
        <v>1135</v>
      </c>
      <c r="K108" t="s">
        <v>19</v>
      </c>
      <c r="L108" t="s">
        <v>18</v>
      </c>
      <c r="M108" t="s">
        <v>1136</v>
      </c>
      <c r="N108" t="s">
        <v>1123</v>
      </c>
      <c r="O108" t="s">
        <v>1137</v>
      </c>
    </row>
    <row r="109" spans="1:15" ht="15.75">
      <c r="A109" t="s">
        <v>129</v>
      </c>
      <c r="B109" t="s">
        <v>1200</v>
      </c>
      <c r="C109" t="s">
        <v>1357</v>
      </c>
      <c r="D109" t="s">
        <v>21</v>
      </c>
      <c r="E109">
        <v>27</v>
      </c>
      <c r="F109" t="s">
        <v>1118</v>
      </c>
      <c r="G109" t="s">
        <v>1380</v>
      </c>
      <c r="H109" t="s">
        <v>1381</v>
      </c>
      <c r="I109" s="2">
        <v>44554</v>
      </c>
      <c r="J109" t="s">
        <v>1142</v>
      </c>
      <c r="K109" t="s">
        <v>19</v>
      </c>
      <c r="L109" t="s">
        <v>18</v>
      </c>
      <c r="M109" t="s">
        <v>1143</v>
      </c>
      <c r="N109" t="s">
        <v>1123</v>
      </c>
      <c r="O109" t="s">
        <v>1144</v>
      </c>
    </row>
    <row r="110" spans="1:15" ht="15.75">
      <c r="A110" t="s">
        <v>130</v>
      </c>
      <c r="B110" t="s">
        <v>1203</v>
      </c>
      <c r="C110" t="s">
        <v>1382</v>
      </c>
      <c r="D110" t="s">
        <v>21</v>
      </c>
      <c r="E110">
        <v>34</v>
      </c>
      <c r="F110" t="s">
        <v>1118</v>
      </c>
      <c r="G110" t="s">
        <v>1383</v>
      </c>
      <c r="H110" t="s">
        <v>1384</v>
      </c>
      <c r="I110" s="2">
        <v>44586</v>
      </c>
      <c r="J110" t="s">
        <v>1121</v>
      </c>
      <c r="K110" t="s">
        <v>19</v>
      </c>
      <c r="L110" t="s">
        <v>18</v>
      </c>
      <c r="M110" t="s">
        <v>1122</v>
      </c>
      <c r="N110" t="s">
        <v>1123</v>
      </c>
      <c r="O110" t="s">
        <v>1124</v>
      </c>
    </row>
    <row r="111" spans="1:15" ht="15.75">
      <c r="A111" t="s">
        <v>131</v>
      </c>
      <c r="B111" t="s">
        <v>1173</v>
      </c>
      <c r="C111" t="s">
        <v>1382</v>
      </c>
      <c r="D111" t="s">
        <v>16</v>
      </c>
      <c r="E111">
        <v>27</v>
      </c>
      <c r="F111" t="s">
        <v>1118</v>
      </c>
      <c r="G111" t="s">
        <v>1385</v>
      </c>
      <c r="H111" t="s">
        <v>1386</v>
      </c>
      <c r="I111" s="2">
        <v>44983</v>
      </c>
      <c r="J111" t="s">
        <v>1128</v>
      </c>
      <c r="K111" t="s">
        <v>19</v>
      </c>
      <c r="L111" t="s">
        <v>18</v>
      </c>
      <c r="M111" t="s">
        <v>1129</v>
      </c>
      <c r="N111" t="s">
        <v>1123</v>
      </c>
      <c r="O111" t="s">
        <v>1130</v>
      </c>
    </row>
    <row r="112" spans="1:15" ht="15.75">
      <c r="A112" t="s">
        <v>132</v>
      </c>
      <c r="B112" t="s">
        <v>1176</v>
      </c>
      <c r="C112" t="s">
        <v>1382</v>
      </c>
      <c r="D112" t="s">
        <v>21</v>
      </c>
      <c r="E112">
        <v>34</v>
      </c>
      <c r="F112" t="s">
        <v>1118</v>
      </c>
      <c r="G112" t="s">
        <v>1387</v>
      </c>
      <c r="H112" t="s">
        <v>1388</v>
      </c>
      <c r="I112" s="2">
        <v>44282</v>
      </c>
      <c r="J112" t="s">
        <v>1135</v>
      </c>
      <c r="K112" t="s">
        <v>19</v>
      </c>
      <c r="L112" t="s">
        <v>18</v>
      </c>
      <c r="M112" t="s">
        <v>1136</v>
      </c>
      <c r="N112" t="s">
        <v>1123</v>
      </c>
      <c r="O112" t="s">
        <v>1137</v>
      </c>
    </row>
    <row r="113" spans="1:15" ht="15.75">
      <c r="A113" t="s">
        <v>133</v>
      </c>
      <c r="B113" t="s">
        <v>1138</v>
      </c>
      <c r="C113" t="s">
        <v>1382</v>
      </c>
      <c r="D113" t="s">
        <v>16</v>
      </c>
      <c r="E113">
        <v>37</v>
      </c>
      <c r="F113" t="s">
        <v>1139</v>
      </c>
      <c r="G113" t="s">
        <v>1389</v>
      </c>
      <c r="H113" t="s">
        <v>1390</v>
      </c>
      <c r="I113" s="2">
        <v>44679</v>
      </c>
      <c r="J113" t="s">
        <v>1142</v>
      </c>
      <c r="K113" t="s">
        <v>19</v>
      </c>
      <c r="L113" t="s">
        <v>18</v>
      </c>
      <c r="M113" t="s">
        <v>1143</v>
      </c>
      <c r="N113" t="s">
        <v>1123</v>
      </c>
      <c r="O113" t="s">
        <v>1144</v>
      </c>
    </row>
    <row r="114" spans="1:15" ht="15.75">
      <c r="A114" t="s">
        <v>134</v>
      </c>
      <c r="B114" t="s">
        <v>1181</v>
      </c>
      <c r="C114" t="s">
        <v>1382</v>
      </c>
      <c r="D114" t="s">
        <v>21</v>
      </c>
      <c r="E114">
        <v>41</v>
      </c>
      <c r="F114" t="s">
        <v>1139</v>
      </c>
      <c r="G114" t="s">
        <v>1391</v>
      </c>
      <c r="H114" t="s">
        <v>1392</v>
      </c>
      <c r="I114" s="2">
        <v>45047</v>
      </c>
      <c r="J114" t="s">
        <v>1121</v>
      </c>
      <c r="K114" t="s">
        <v>19</v>
      </c>
      <c r="L114" t="s">
        <v>18</v>
      </c>
      <c r="M114" t="s">
        <v>1122</v>
      </c>
      <c r="N114" t="s">
        <v>1123</v>
      </c>
      <c r="O114" t="s">
        <v>1124</v>
      </c>
    </row>
    <row r="115" spans="1:15" ht="15.75">
      <c r="A115" t="s">
        <v>135</v>
      </c>
      <c r="B115" t="s">
        <v>1148</v>
      </c>
      <c r="C115" t="s">
        <v>1382</v>
      </c>
      <c r="D115" t="s">
        <v>21</v>
      </c>
      <c r="E115">
        <v>22</v>
      </c>
      <c r="F115" t="s">
        <v>1164</v>
      </c>
      <c r="G115" t="s">
        <v>1393</v>
      </c>
      <c r="H115" t="s">
        <v>1394</v>
      </c>
      <c r="I115" s="2">
        <v>44349</v>
      </c>
      <c r="J115" t="s">
        <v>1128</v>
      </c>
      <c r="K115" t="s">
        <v>19</v>
      </c>
      <c r="L115" t="s">
        <v>18</v>
      </c>
      <c r="M115" t="s">
        <v>1129</v>
      </c>
      <c r="N115" t="s">
        <v>1123</v>
      </c>
      <c r="O115" t="s">
        <v>1130</v>
      </c>
    </row>
    <row r="116" spans="1:15" ht="15.75">
      <c r="A116" t="s">
        <v>136</v>
      </c>
      <c r="B116" t="s">
        <v>1151</v>
      </c>
      <c r="C116" t="s">
        <v>1382</v>
      </c>
      <c r="D116" t="s">
        <v>16</v>
      </c>
      <c r="E116">
        <v>51</v>
      </c>
      <c r="F116" t="s">
        <v>1132</v>
      </c>
      <c r="G116" t="s">
        <v>1395</v>
      </c>
      <c r="H116" t="s">
        <v>1396</v>
      </c>
      <c r="I116" s="2">
        <v>44745</v>
      </c>
      <c r="J116" t="s">
        <v>1135</v>
      </c>
      <c r="K116" t="s">
        <v>19</v>
      </c>
      <c r="L116" t="s">
        <v>18</v>
      </c>
      <c r="M116" t="s">
        <v>1136</v>
      </c>
      <c r="N116" t="s">
        <v>1123</v>
      </c>
      <c r="O116" t="s">
        <v>1137</v>
      </c>
    </row>
    <row r="117" spans="1:15" ht="15.75">
      <c r="A117" t="s">
        <v>137</v>
      </c>
      <c r="B117" t="s">
        <v>1246</v>
      </c>
      <c r="C117" t="s">
        <v>1382</v>
      </c>
      <c r="D117" t="s">
        <v>21</v>
      </c>
      <c r="E117">
        <v>23</v>
      </c>
      <c r="F117" t="s">
        <v>1164</v>
      </c>
      <c r="G117" t="s">
        <v>1397</v>
      </c>
      <c r="H117" t="s">
        <v>1398</v>
      </c>
      <c r="I117" s="2">
        <v>45142</v>
      </c>
      <c r="J117" t="s">
        <v>1142</v>
      </c>
      <c r="K117" t="s">
        <v>19</v>
      </c>
      <c r="L117" t="s">
        <v>18</v>
      </c>
      <c r="M117" t="s">
        <v>1143</v>
      </c>
      <c r="N117" t="s">
        <v>1123</v>
      </c>
      <c r="O117" t="s">
        <v>1144</v>
      </c>
    </row>
    <row r="118" spans="1:15" ht="15.75">
      <c r="A118" t="s">
        <v>138</v>
      </c>
      <c r="B118" t="s">
        <v>1157</v>
      </c>
      <c r="C118" t="s">
        <v>1382</v>
      </c>
      <c r="D118" t="s">
        <v>16</v>
      </c>
      <c r="E118">
        <v>19</v>
      </c>
      <c r="F118" t="s">
        <v>1164</v>
      </c>
      <c r="G118" t="s">
        <v>1399</v>
      </c>
      <c r="H118" t="s">
        <v>1400</v>
      </c>
      <c r="I118" s="2">
        <v>44444</v>
      </c>
      <c r="J118" t="s">
        <v>1121</v>
      </c>
      <c r="K118" t="s">
        <v>19</v>
      </c>
      <c r="L118" t="s">
        <v>18</v>
      </c>
      <c r="M118" t="s">
        <v>1122</v>
      </c>
      <c r="N118" t="s">
        <v>1123</v>
      </c>
      <c r="O118" t="s">
        <v>1124</v>
      </c>
    </row>
    <row r="119" spans="1:15" ht="15.75">
      <c r="A119" t="s">
        <v>139</v>
      </c>
      <c r="B119" t="s">
        <v>1160</v>
      </c>
      <c r="C119" t="s">
        <v>1382</v>
      </c>
      <c r="D119" t="s">
        <v>21</v>
      </c>
      <c r="E119">
        <v>30</v>
      </c>
      <c r="F119" t="s">
        <v>1118</v>
      </c>
      <c r="G119" t="s">
        <v>1401</v>
      </c>
      <c r="H119" t="s">
        <v>1402</v>
      </c>
      <c r="I119" s="2">
        <v>44840</v>
      </c>
      <c r="J119" t="s">
        <v>1128</v>
      </c>
      <c r="K119" t="s">
        <v>19</v>
      </c>
      <c r="L119" t="s">
        <v>18</v>
      </c>
      <c r="M119" t="s">
        <v>1129</v>
      </c>
      <c r="N119" t="s">
        <v>1123</v>
      </c>
      <c r="O119" t="s">
        <v>1130</v>
      </c>
    </row>
    <row r="120" spans="1:15" ht="15.75">
      <c r="A120" t="s">
        <v>140</v>
      </c>
      <c r="B120" t="s">
        <v>1197</v>
      </c>
      <c r="C120" t="s">
        <v>1382</v>
      </c>
      <c r="D120" t="s">
        <v>21</v>
      </c>
      <c r="E120">
        <v>60</v>
      </c>
      <c r="F120" t="s">
        <v>1132</v>
      </c>
      <c r="G120" t="s">
        <v>1403</v>
      </c>
      <c r="H120" t="s">
        <v>1404</v>
      </c>
      <c r="I120" s="2">
        <v>45237</v>
      </c>
      <c r="J120" t="s">
        <v>1135</v>
      </c>
      <c r="K120" t="s">
        <v>19</v>
      </c>
      <c r="L120" t="s">
        <v>18</v>
      </c>
      <c r="M120" t="s">
        <v>1136</v>
      </c>
      <c r="N120" t="s">
        <v>1123</v>
      </c>
      <c r="O120" t="s">
        <v>1137</v>
      </c>
    </row>
    <row r="121" spans="1:15" ht="15.75">
      <c r="A121" t="s">
        <v>141</v>
      </c>
      <c r="B121" t="s">
        <v>1167</v>
      </c>
      <c r="C121" t="s">
        <v>1382</v>
      </c>
      <c r="D121" t="s">
        <v>16</v>
      </c>
      <c r="E121">
        <v>60</v>
      </c>
      <c r="F121" t="s">
        <v>1132</v>
      </c>
      <c r="G121" t="s">
        <v>1405</v>
      </c>
      <c r="H121" t="s">
        <v>1406</v>
      </c>
      <c r="I121" s="2">
        <v>44538</v>
      </c>
      <c r="J121" t="s">
        <v>1142</v>
      </c>
      <c r="K121" t="s">
        <v>19</v>
      </c>
      <c r="L121" t="s">
        <v>18</v>
      </c>
      <c r="M121" t="s">
        <v>1143</v>
      </c>
      <c r="N121" t="s">
        <v>1123</v>
      </c>
      <c r="O121" t="s">
        <v>1144</v>
      </c>
    </row>
    <row r="122" spans="1:15" ht="15.75">
      <c r="A122" t="s">
        <v>142</v>
      </c>
      <c r="B122" t="s">
        <v>1203</v>
      </c>
      <c r="C122" t="s">
        <v>1407</v>
      </c>
      <c r="D122" t="s">
        <v>21</v>
      </c>
      <c r="E122">
        <v>28</v>
      </c>
      <c r="F122" t="s">
        <v>1118</v>
      </c>
      <c r="G122" t="s">
        <v>1408</v>
      </c>
      <c r="H122" t="s">
        <v>1409</v>
      </c>
      <c r="I122" s="2">
        <v>44570</v>
      </c>
      <c r="J122" t="s">
        <v>1121</v>
      </c>
      <c r="K122" t="s">
        <v>19</v>
      </c>
      <c r="L122" t="s">
        <v>18</v>
      </c>
      <c r="M122" t="s">
        <v>1122</v>
      </c>
      <c r="N122" t="s">
        <v>1123</v>
      </c>
      <c r="O122" t="s">
        <v>1124</v>
      </c>
    </row>
    <row r="123" spans="1:15" ht="15.75">
      <c r="A123" t="s">
        <v>143</v>
      </c>
      <c r="B123" t="s">
        <v>1173</v>
      </c>
      <c r="C123" t="s">
        <v>1407</v>
      </c>
      <c r="D123" t="s">
        <v>16</v>
      </c>
      <c r="E123">
        <v>64</v>
      </c>
      <c r="F123" t="s">
        <v>1132</v>
      </c>
      <c r="G123" t="s">
        <v>1410</v>
      </c>
      <c r="H123" t="s">
        <v>1411</v>
      </c>
      <c r="I123" s="2">
        <v>44967</v>
      </c>
      <c r="J123" t="s">
        <v>1128</v>
      </c>
      <c r="K123" t="s">
        <v>19</v>
      </c>
      <c r="L123" t="s">
        <v>18</v>
      </c>
      <c r="M123" t="s">
        <v>1129</v>
      </c>
      <c r="N123" t="s">
        <v>1123</v>
      </c>
      <c r="O123" t="s">
        <v>1130</v>
      </c>
    </row>
    <row r="124" spans="1:15" ht="15.75">
      <c r="A124" t="s">
        <v>144</v>
      </c>
      <c r="B124" t="s">
        <v>1176</v>
      </c>
      <c r="C124" t="s">
        <v>1407</v>
      </c>
      <c r="D124" t="s">
        <v>21</v>
      </c>
      <c r="E124">
        <v>40</v>
      </c>
      <c r="F124" t="s">
        <v>1139</v>
      </c>
      <c r="G124" t="s">
        <v>1412</v>
      </c>
      <c r="H124" t="s">
        <v>1413</v>
      </c>
      <c r="I124" s="2">
        <v>44266</v>
      </c>
      <c r="J124" t="s">
        <v>1135</v>
      </c>
      <c r="K124" t="s">
        <v>19</v>
      </c>
      <c r="L124" t="s">
        <v>18</v>
      </c>
      <c r="M124" t="s">
        <v>1136</v>
      </c>
      <c r="N124" t="s">
        <v>1123</v>
      </c>
      <c r="O124" t="s">
        <v>1137</v>
      </c>
    </row>
    <row r="125" spans="1:15" ht="15.75">
      <c r="A125" t="s">
        <v>145</v>
      </c>
      <c r="B125" t="s">
        <v>1138</v>
      </c>
      <c r="C125" t="s">
        <v>1407</v>
      </c>
      <c r="D125" t="s">
        <v>16</v>
      </c>
      <c r="E125">
        <v>33</v>
      </c>
      <c r="F125" t="s">
        <v>1118</v>
      </c>
      <c r="G125" t="s">
        <v>1414</v>
      </c>
      <c r="H125" t="s">
        <v>1415</v>
      </c>
      <c r="I125" s="2">
        <v>44663</v>
      </c>
      <c r="J125" t="s">
        <v>1142</v>
      </c>
      <c r="K125" t="s">
        <v>19</v>
      </c>
      <c r="L125" t="s">
        <v>18</v>
      </c>
      <c r="M125" t="s">
        <v>1143</v>
      </c>
      <c r="N125" t="s">
        <v>1123</v>
      </c>
      <c r="O125" t="s">
        <v>1144</v>
      </c>
    </row>
    <row r="126" spans="1:15" ht="15.75">
      <c r="A126" t="s">
        <v>146</v>
      </c>
      <c r="B126" t="s">
        <v>1145</v>
      </c>
      <c r="C126" t="s">
        <v>1407</v>
      </c>
      <c r="D126" t="s">
        <v>16</v>
      </c>
      <c r="E126">
        <v>48</v>
      </c>
      <c r="F126" t="s">
        <v>1132</v>
      </c>
      <c r="G126" t="s">
        <v>1416</v>
      </c>
      <c r="H126" t="s">
        <v>1417</v>
      </c>
      <c r="I126" s="2">
        <v>45059</v>
      </c>
      <c r="J126" t="s">
        <v>1121</v>
      </c>
      <c r="K126" t="s">
        <v>19</v>
      </c>
      <c r="L126" t="s">
        <v>18</v>
      </c>
      <c r="M126" t="s">
        <v>1122</v>
      </c>
      <c r="N126" t="s">
        <v>1123</v>
      </c>
      <c r="O126" t="s">
        <v>1124</v>
      </c>
    </row>
    <row r="127" spans="1:15" ht="15.75">
      <c r="A127" t="s">
        <v>147</v>
      </c>
      <c r="B127" t="s">
        <v>1148</v>
      </c>
      <c r="C127" t="s">
        <v>1407</v>
      </c>
      <c r="D127" t="s">
        <v>21</v>
      </c>
      <c r="E127">
        <v>28</v>
      </c>
      <c r="F127" t="s">
        <v>1118</v>
      </c>
      <c r="G127" t="s">
        <v>1418</v>
      </c>
      <c r="H127" t="s">
        <v>1419</v>
      </c>
      <c r="I127" s="2">
        <v>44361</v>
      </c>
      <c r="J127" t="s">
        <v>1128</v>
      </c>
      <c r="K127" t="s">
        <v>19</v>
      </c>
      <c r="L127" t="s">
        <v>18</v>
      </c>
      <c r="M127" t="s">
        <v>1129</v>
      </c>
      <c r="N127" t="s">
        <v>1123</v>
      </c>
      <c r="O127" t="s">
        <v>1130</v>
      </c>
    </row>
    <row r="128" spans="1:15" ht="15.75">
      <c r="A128" t="s">
        <v>148</v>
      </c>
      <c r="B128" t="s">
        <v>1186</v>
      </c>
      <c r="C128" t="s">
        <v>1407</v>
      </c>
      <c r="D128" t="s">
        <v>21</v>
      </c>
      <c r="E128">
        <v>33</v>
      </c>
      <c r="F128" t="s">
        <v>1118</v>
      </c>
      <c r="G128" t="s">
        <v>1420</v>
      </c>
      <c r="H128" t="s">
        <v>1421</v>
      </c>
      <c r="I128" s="2">
        <v>44757</v>
      </c>
      <c r="J128" t="s">
        <v>1135</v>
      </c>
      <c r="K128" t="s">
        <v>19</v>
      </c>
      <c r="L128" t="s">
        <v>18</v>
      </c>
      <c r="M128" t="s">
        <v>1136</v>
      </c>
      <c r="N128" t="s">
        <v>1123</v>
      </c>
      <c r="O128" t="s">
        <v>1137</v>
      </c>
    </row>
    <row r="129" spans="1:15" ht="15.75">
      <c r="A129" t="s">
        <v>149</v>
      </c>
      <c r="B129" t="s">
        <v>1154</v>
      </c>
      <c r="C129" t="s">
        <v>1407</v>
      </c>
      <c r="D129" t="s">
        <v>16</v>
      </c>
      <c r="E129">
        <v>25</v>
      </c>
      <c r="F129" t="s">
        <v>1164</v>
      </c>
      <c r="G129" t="s">
        <v>1422</v>
      </c>
      <c r="H129" t="s">
        <v>1423</v>
      </c>
      <c r="I129" s="2">
        <v>45154</v>
      </c>
      <c r="J129" t="s">
        <v>1142</v>
      </c>
      <c r="K129" t="s">
        <v>19</v>
      </c>
      <c r="L129" t="s">
        <v>18</v>
      </c>
      <c r="M129" t="s">
        <v>1143</v>
      </c>
      <c r="N129" t="s">
        <v>1123</v>
      </c>
      <c r="O129" t="s">
        <v>1144</v>
      </c>
    </row>
    <row r="130" spans="1:15" ht="15.75">
      <c r="A130" t="s">
        <v>150</v>
      </c>
      <c r="B130" t="s">
        <v>1191</v>
      </c>
      <c r="C130" t="s">
        <v>1407</v>
      </c>
      <c r="D130" t="s">
        <v>21</v>
      </c>
      <c r="E130">
        <v>21</v>
      </c>
      <c r="F130" t="s">
        <v>1164</v>
      </c>
      <c r="G130" t="s">
        <v>1424</v>
      </c>
      <c r="H130" t="s">
        <v>1425</v>
      </c>
      <c r="I130" s="2">
        <v>44456</v>
      </c>
      <c r="J130" t="s">
        <v>1121</v>
      </c>
      <c r="K130" t="s">
        <v>19</v>
      </c>
      <c r="L130" t="s">
        <v>18</v>
      </c>
      <c r="M130" t="s">
        <v>1122</v>
      </c>
      <c r="N130" t="s">
        <v>1123</v>
      </c>
      <c r="O130" t="s">
        <v>1124</v>
      </c>
    </row>
    <row r="131" spans="1:15" ht="15.75">
      <c r="A131" t="s">
        <v>151</v>
      </c>
      <c r="B131" t="s">
        <v>1160</v>
      </c>
      <c r="C131" t="s">
        <v>1407</v>
      </c>
      <c r="D131" t="s">
        <v>21</v>
      </c>
      <c r="E131">
        <v>57</v>
      </c>
      <c r="F131" t="s">
        <v>1132</v>
      </c>
      <c r="G131" t="s">
        <v>1426</v>
      </c>
      <c r="H131" t="s">
        <v>1427</v>
      </c>
      <c r="I131" s="2">
        <v>44852</v>
      </c>
      <c r="J131" t="s">
        <v>1128</v>
      </c>
      <c r="K131" t="s">
        <v>19</v>
      </c>
      <c r="L131" t="s">
        <v>18</v>
      </c>
      <c r="M131" t="s">
        <v>1129</v>
      </c>
      <c r="N131" t="s">
        <v>1123</v>
      </c>
      <c r="O131" t="s">
        <v>1130</v>
      </c>
    </row>
    <row r="132" spans="1:15" ht="15.75">
      <c r="A132" t="s">
        <v>152</v>
      </c>
      <c r="B132" t="s">
        <v>1197</v>
      </c>
      <c r="C132" t="s">
        <v>1407</v>
      </c>
      <c r="D132" t="s">
        <v>21</v>
      </c>
      <c r="E132">
        <v>21</v>
      </c>
      <c r="F132" t="s">
        <v>1164</v>
      </c>
      <c r="G132" t="s">
        <v>1428</v>
      </c>
      <c r="H132" t="s">
        <v>1429</v>
      </c>
      <c r="I132" s="2">
        <v>45249</v>
      </c>
      <c r="J132" t="s">
        <v>1135</v>
      </c>
      <c r="K132" t="s">
        <v>19</v>
      </c>
      <c r="L132" t="s">
        <v>18</v>
      </c>
      <c r="M132" t="s">
        <v>1136</v>
      </c>
      <c r="N132" t="s">
        <v>1123</v>
      </c>
      <c r="O132" t="s">
        <v>1137</v>
      </c>
    </row>
    <row r="133" spans="1:15" ht="15.75">
      <c r="A133" t="s">
        <v>153</v>
      </c>
      <c r="B133" t="s">
        <v>1167</v>
      </c>
      <c r="C133" t="s">
        <v>1407</v>
      </c>
      <c r="D133" t="s">
        <v>16</v>
      </c>
      <c r="E133">
        <v>42</v>
      </c>
      <c r="F133" t="s">
        <v>1139</v>
      </c>
      <c r="G133" t="s">
        <v>1430</v>
      </c>
      <c r="H133" t="s">
        <v>1431</v>
      </c>
      <c r="I133" s="2">
        <v>44550</v>
      </c>
      <c r="J133" t="s">
        <v>1142</v>
      </c>
      <c r="K133" t="s">
        <v>19</v>
      </c>
      <c r="L133" t="s">
        <v>18</v>
      </c>
      <c r="M133" t="s">
        <v>1143</v>
      </c>
      <c r="N133" t="s">
        <v>1123</v>
      </c>
      <c r="O133" t="s">
        <v>1144</v>
      </c>
    </row>
    <row r="134" spans="1:15" ht="15.75">
      <c r="A134" t="s">
        <v>154</v>
      </c>
      <c r="B134" t="s">
        <v>1116</v>
      </c>
      <c r="C134" t="s">
        <v>1432</v>
      </c>
      <c r="D134" t="s">
        <v>16</v>
      </c>
      <c r="E134">
        <v>20</v>
      </c>
      <c r="F134" t="s">
        <v>1164</v>
      </c>
      <c r="G134" t="s">
        <v>1433</v>
      </c>
      <c r="H134" t="s">
        <v>1434</v>
      </c>
      <c r="I134" s="2">
        <v>44582</v>
      </c>
      <c r="J134" t="s">
        <v>1121</v>
      </c>
      <c r="K134" t="s">
        <v>19</v>
      </c>
      <c r="L134" t="s">
        <v>18</v>
      </c>
      <c r="M134" t="s">
        <v>1122</v>
      </c>
      <c r="N134" t="s">
        <v>1123</v>
      </c>
      <c r="O134" t="s">
        <v>1124</v>
      </c>
    </row>
    <row r="135" spans="1:15" ht="15.75">
      <c r="A135" t="s">
        <v>155</v>
      </c>
      <c r="B135" t="s">
        <v>1173</v>
      </c>
      <c r="C135" t="s">
        <v>1432</v>
      </c>
      <c r="D135" t="s">
        <v>16</v>
      </c>
      <c r="E135">
        <v>49</v>
      </c>
      <c r="F135" t="s">
        <v>1132</v>
      </c>
      <c r="G135" t="s">
        <v>1435</v>
      </c>
      <c r="H135" t="s">
        <v>1436</v>
      </c>
      <c r="I135" s="2">
        <v>44979</v>
      </c>
      <c r="J135" t="s">
        <v>1128</v>
      </c>
      <c r="K135" t="s">
        <v>19</v>
      </c>
      <c r="L135" t="s">
        <v>18</v>
      </c>
      <c r="M135" t="s">
        <v>1129</v>
      </c>
      <c r="N135" t="s">
        <v>1123</v>
      </c>
      <c r="O135" t="s">
        <v>1130</v>
      </c>
    </row>
    <row r="136" spans="1:15" ht="15.75">
      <c r="A136" t="s">
        <v>156</v>
      </c>
      <c r="B136" t="s">
        <v>1131</v>
      </c>
      <c r="C136" t="s">
        <v>1432</v>
      </c>
      <c r="D136" t="s">
        <v>16</v>
      </c>
      <c r="E136">
        <v>20</v>
      </c>
      <c r="F136" t="s">
        <v>1164</v>
      </c>
      <c r="G136" t="s">
        <v>1437</v>
      </c>
      <c r="H136" t="s">
        <v>1438</v>
      </c>
      <c r="I136" s="2">
        <v>44278</v>
      </c>
      <c r="J136" t="s">
        <v>1135</v>
      </c>
      <c r="K136" t="s">
        <v>19</v>
      </c>
      <c r="L136" t="s">
        <v>18</v>
      </c>
      <c r="M136" t="s">
        <v>1136</v>
      </c>
      <c r="N136" t="s">
        <v>1123</v>
      </c>
      <c r="O136" t="s">
        <v>1137</v>
      </c>
    </row>
    <row r="137" spans="1:15" ht="15.75">
      <c r="A137" t="s">
        <v>157</v>
      </c>
      <c r="B137" t="s">
        <v>1138</v>
      </c>
      <c r="C137" t="s">
        <v>1432</v>
      </c>
      <c r="D137" t="s">
        <v>16</v>
      </c>
      <c r="E137">
        <v>44</v>
      </c>
      <c r="F137" t="s">
        <v>1139</v>
      </c>
      <c r="G137" t="s">
        <v>1439</v>
      </c>
      <c r="H137" t="s">
        <v>1440</v>
      </c>
      <c r="I137" s="2">
        <v>44675</v>
      </c>
      <c r="J137" t="s">
        <v>1142</v>
      </c>
      <c r="K137" t="s">
        <v>19</v>
      </c>
      <c r="L137" t="s">
        <v>18</v>
      </c>
      <c r="M137" t="s">
        <v>1143</v>
      </c>
      <c r="N137" t="s">
        <v>1123</v>
      </c>
      <c r="O137" t="s">
        <v>1144</v>
      </c>
    </row>
    <row r="138" spans="1:15" ht="15.75">
      <c r="A138" t="s">
        <v>158</v>
      </c>
      <c r="B138" t="s">
        <v>1145</v>
      </c>
      <c r="C138" t="s">
        <v>1432</v>
      </c>
      <c r="D138" t="s">
        <v>16</v>
      </c>
      <c r="E138">
        <v>46</v>
      </c>
      <c r="F138" t="s">
        <v>1132</v>
      </c>
      <c r="G138" t="s">
        <v>1441</v>
      </c>
      <c r="H138" t="s">
        <v>1442</v>
      </c>
      <c r="I138" s="2">
        <v>45071</v>
      </c>
      <c r="J138" t="s">
        <v>1121</v>
      </c>
      <c r="K138" t="s">
        <v>19</v>
      </c>
      <c r="L138" t="s">
        <v>18</v>
      </c>
      <c r="M138" t="s">
        <v>1122</v>
      </c>
      <c r="N138" t="s">
        <v>1123</v>
      </c>
      <c r="O138" t="s">
        <v>1124</v>
      </c>
    </row>
    <row r="139" spans="1:15" ht="15.75">
      <c r="A139" t="s">
        <v>159</v>
      </c>
      <c r="B139" t="s">
        <v>1241</v>
      </c>
      <c r="C139" t="s">
        <v>1432</v>
      </c>
      <c r="D139" t="s">
        <v>16</v>
      </c>
      <c r="E139">
        <v>49</v>
      </c>
      <c r="F139" t="s">
        <v>1132</v>
      </c>
      <c r="G139" t="s">
        <v>1443</v>
      </c>
      <c r="H139" t="s">
        <v>1444</v>
      </c>
      <c r="I139" s="2">
        <v>44373</v>
      </c>
      <c r="J139" t="s">
        <v>1128</v>
      </c>
      <c r="K139" t="s">
        <v>19</v>
      </c>
      <c r="L139" t="s">
        <v>18</v>
      </c>
      <c r="M139" t="s">
        <v>1129</v>
      </c>
      <c r="N139" t="s">
        <v>1123</v>
      </c>
      <c r="O139" t="s">
        <v>1130</v>
      </c>
    </row>
    <row r="140" spans="1:15" ht="15.75">
      <c r="A140" t="s">
        <v>160</v>
      </c>
      <c r="B140" t="s">
        <v>1151</v>
      </c>
      <c r="C140" t="s">
        <v>1432</v>
      </c>
      <c r="D140" t="s">
        <v>16</v>
      </c>
      <c r="E140">
        <v>36</v>
      </c>
      <c r="F140" t="s">
        <v>1139</v>
      </c>
      <c r="G140" t="s">
        <v>1445</v>
      </c>
      <c r="H140" t="s">
        <v>1446</v>
      </c>
      <c r="I140" s="2">
        <v>44769</v>
      </c>
      <c r="J140" t="s">
        <v>1135</v>
      </c>
      <c r="K140" t="s">
        <v>19</v>
      </c>
      <c r="L140" t="s">
        <v>18</v>
      </c>
      <c r="M140" t="s">
        <v>1136</v>
      </c>
      <c r="N140" t="s">
        <v>1123</v>
      </c>
      <c r="O140" t="s">
        <v>1137</v>
      </c>
    </row>
    <row r="141" spans="1:15" ht="15.75">
      <c r="A141" t="s">
        <v>161</v>
      </c>
      <c r="B141" t="s">
        <v>1154</v>
      </c>
      <c r="C141" t="s">
        <v>1432</v>
      </c>
      <c r="D141" t="s">
        <v>16</v>
      </c>
      <c r="E141">
        <v>38</v>
      </c>
      <c r="F141" t="s">
        <v>1139</v>
      </c>
      <c r="G141" t="s">
        <v>1447</v>
      </c>
      <c r="H141" t="s">
        <v>1448</v>
      </c>
      <c r="I141" s="2">
        <v>45166</v>
      </c>
      <c r="J141" t="s">
        <v>1142</v>
      </c>
      <c r="K141" t="s">
        <v>19</v>
      </c>
      <c r="L141" t="s">
        <v>18</v>
      </c>
      <c r="M141" t="s">
        <v>1143</v>
      </c>
      <c r="N141" t="s">
        <v>1123</v>
      </c>
      <c r="O141" t="s">
        <v>1144</v>
      </c>
    </row>
    <row r="142" spans="1:15" ht="15.75">
      <c r="A142" t="s">
        <v>162</v>
      </c>
      <c r="B142" t="s">
        <v>1191</v>
      </c>
      <c r="C142" t="s">
        <v>1432</v>
      </c>
      <c r="D142" t="s">
        <v>21</v>
      </c>
      <c r="E142">
        <v>22</v>
      </c>
      <c r="F142" t="s">
        <v>1164</v>
      </c>
      <c r="G142" t="s">
        <v>1449</v>
      </c>
      <c r="H142" t="s">
        <v>1450</v>
      </c>
      <c r="I142" s="2">
        <v>44440</v>
      </c>
      <c r="J142" t="s">
        <v>1121</v>
      </c>
      <c r="K142" t="s">
        <v>19</v>
      </c>
      <c r="L142" t="s">
        <v>18</v>
      </c>
      <c r="M142" t="s">
        <v>1122</v>
      </c>
      <c r="N142" t="s">
        <v>1123</v>
      </c>
      <c r="O142" t="s">
        <v>1124</v>
      </c>
    </row>
    <row r="143" spans="1:15" ht="15.75">
      <c r="A143" t="s">
        <v>163</v>
      </c>
      <c r="B143" t="s">
        <v>1194</v>
      </c>
      <c r="C143" t="s">
        <v>1432</v>
      </c>
      <c r="D143" t="s">
        <v>16</v>
      </c>
      <c r="E143">
        <v>35</v>
      </c>
      <c r="F143" t="s">
        <v>1118</v>
      </c>
      <c r="G143" t="s">
        <v>1451</v>
      </c>
      <c r="H143" t="s">
        <v>1452</v>
      </c>
      <c r="I143" s="2">
        <v>44836</v>
      </c>
      <c r="J143" t="s">
        <v>1128</v>
      </c>
      <c r="K143" t="s">
        <v>19</v>
      </c>
      <c r="L143" t="s">
        <v>18</v>
      </c>
      <c r="M143" t="s">
        <v>1129</v>
      </c>
      <c r="N143" t="s">
        <v>1123</v>
      </c>
      <c r="O143" t="s">
        <v>1130</v>
      </c>
    </row>
    <row r="144" spans="1:15" ht="15.75">
      <c r="A144" t="s">
        <v>164</v>
      </c>
      <c r="B144" t="s">
        <v>1197</v>
      </c>
      <c r="C144" t="s">
        <v>1432</v>
      </c>
      <c r="D144" t="s">
        <v>21</v>
      </c>
      <c r="E144">
        <v>45</v>
      </c>
      <c r="F144" t="s">
        <v>1139</v>
      </c>
      <c r="G144" t="s">
        <v>1453</v>
      </c>
      <c r="H144" t="s">
        <v>1454</v>
      </c>
      <c r="I144" s="2">
        <v>45233</v>
      </c>
      <c r="J144" t="s">
        <v>1135</v>
      </c>
      <c r="K144" t="s">
        <v>19</v>
      </c>
      <c r="L144" t="s">
        <v>18</v>
      </c>
      <c r="M144" t="s">
        <v>1136</v>
      </c>
      <c r="N144" t="s">
        <v>1123</v>
      </c>
      <c r="O144" t="s">
        <v>1137</v>
      </c>
    </row>
    <row r="145" spans="1:15" ht="15.75">
      <c r="A145" t="s">
        <v>165</v>
      </c>
      <c r="B145" t="s">
        <v>1200</v>
      </c>
      <c r="C145" t="s">
        <v>1432</v>
      </c>
      <c r="D145" t="s">
        <v>21</v>
      </c>
      <c r="E145">
        <v>59</v>
      </c>
      <c r="F145" t="s">
        <v>1132</v>
      </c>
      <c r="G145" t="s">
        <v>1455</v>
      </c>
      <c r="H145" t="s">
        <v>1456</v>
      </c>
      <c r="I145" s="2">
        <v>44534</v>
      </c>
      <c r="J145" t="s">
        <v>1142</v>
      </c>
      <c r="K145" t="s">
        <v>19</v>
      </c>
      <c r="L145" t="s">
        <v>18</v>
      </c>
      <c r="M145" t="s">
        <v>1143</v>
      </c>
      <c r="N145" t="s">
        <v>1123</v>
      </c>
      <c r="O145" t="s">
        <v>1144</v>
      </c>
    </row>
    <row r="146" spans="1:15" ht="15.75">
      <c r="A146" t="s">
        <v>166</v>
      </c>
      <c r="B146" t="s">
        <v>1203</v>
      </c>
      <c r="C146" t="s">
        <v>1117</v>
      </c>
      <c r="D146" t="s">
        <v>21</v>
      </c>
      <c r="E146">
        <v>39</v>
      </c>
      <c r="F146" t="s">
        <v>1139</v>
      </c>
      <c r="G146" t="s">
        <v>1457</v>
      </c>
      <c r="H146" t="s">
        <v>1458</v>
      </c>
      <c r="I146" s="2">
        <v>44566</v>
      </c>
      <c r="J146" t="s">
        <v>1121</v>
      </c>
      <c r="K146" t="s">
        <v>19</v>
      </c>
      <c r="L146" t="s">
        <v>18</v>
      </c>
      <c r="M146" t="s">
        <v>1122</v>
      </c>
      <c r="N146" t="s">
        <v>1123</v>
      </c>
      <c r="O146" t="s">
        <v>1124</v>
      </c>
    </row>
    <row r="147" spans="1:15" ht="15.75">
      <c r="A147" t="s">
        <v>167</v>
      </c>
      <c r="B147" t="s">
        <v>1173</v>
      </c>
      <c r="C147" t="s">
        <v>1117</v>
      </c>
      <c r="D147" t="s">
        <v>16</v>
      </c>
      <c r="E147">
        <v>38</v>
      </c>
      <c r="F147" t="s">
        <v>1139</v>
      </c>
      <c r="G147" t="s">
        <v>1459</v>
      </c>
      <c r="H147" t="s">
        <v>1460</v>
      </c>
      <c r="I147" s="2">
        <v>44963</v>
      </c>
      <c r="J147" t="s">
        <v>1128</v>
      </c>
      <c r="K147" t="s">
        <v>19</v>
      </c>
      <c r="L147" t="s">
        <v>18</v>
      </c>
      <c r="M147" t="s">
        <v>1129</v>
      </c>
      <c r="N147" t="s">
        <v>1123</v>
      </c>
      <c r="O147" t="s">
        <v>1130</v>
      </c>
    </row>
    <row r="148" spans="1:15" ht="15.75">
      <c r="A148" t="s">
        <v>168</v>
      </c>
      <c r="B148" t="s">
        <v>1131</v>
      </c>
      <c r="C148" t="s">
        <v>1117</v>
      </c>
      <c r="D148" t="s">
        <v>16</v>
      </c>
      <c r="E148">
        <v>23</v>
      </c>
      <c r="F148" t="s">
        <v>1164</v>
      </c>
      <c r="G148" t="s">
        <v>1461</v>
      </c>
      <c r="H148" t="s">
        <v>1462</v>
      </c>
      <c r="I148" s="2">
        <v>44262</v>
      </c>
      <c r="J148" t="s">
        <v>1135</v>
      </c>
      <c r="K148" t="s">
        <v>19</v>
      </c>
      <c r="L148" t="s">
        <v>18</v>
      </c>
      <c r="M148" t="s">
        <v>1136</v>
      </c>
      <c r="N148" t="s">
        <v>1123</v>
      </c>
      <c r="O148" t="s">
        <v>1137</v>
      </c>
    </row>
    <row r="149" spans="1:15" ht="15.75">
      <c r="A149" t="s">
        <v>169</v>
      </c>
      <c r="B149" t="s">
        <v>1138</v>
      </c>
      <c r="C149" t="s">
        <v>1117</v>
      </c>
      <c r="D149" t="s">
        <v>16</v>
      </c>
      <c r="E149">
        <v>18</v>
      </c>
      <c r="F149" t="s">
        <v>1164</v>
      </c>
      <c r="G149" t="s">
        <v>1463</v>
      </c>
      <c r="H149" t="s">
        <v>1464</v>
      </c>
      <c r="I149" s="2">
        <v>44659</v>
      </c>
      <c r="J149" t="s">
        <v>1142</v>
      </c>
      <c r="K149" t="s">
        <v>19</v>
      </c>
      <c r="L149" t="s">
        <v>18</v>
      </c>
      <c r="M149" t="s">
        <v>1143</v>
      </c>
      <c r="N149" t="s">
        <v>1123</v>
      </c>
      <c r="O149" t="s">
        <v>1144</v>
      </c>
    </row>
    <row r="150" spans="1:15" ht="15.75">
      <c r="A150" t="s">
        <v>170</v>
      </c>
      <c r="B150" t="s">
        <v>1145</v>
      </c>
      <c r="C150" t="s">
        <v>1117</v>
      </c>
      <c r="D150" t="s">
        <v>16</v>
      </c>
      <c r="E150">
        <v>22</v>
      </c>
      <c r="F150" t="s">
        <v>1164</v>
      </c>
      <c r="G150" t="s">
        <v>1465</v>
      </c>
      <c r="H150" t="s">
        <v>1466</v>
      </c>
      <c r="I150" s="2">
        <v>45055</v>
      </c>
      <c r="J150" t="s">
        <v>1121</v>
      </c>
      <c r="K150" t="s">
        <v>19</v>
      </c>
      <c r="L150" t="s">
        <v>18</v>
      </c>
      <c r="M150" t="s">
        <v>1122</v>
      </c>
      <c r="N150" t="s">
        <v>1123</v>
      </c>
      <c r="O150" t="s">
        <v>1124</v>
      </c>
    </row>
    <row r="151" spans="1:15" ht="15.75">
      <c r="A151" t="s">
        <v>171</v>
      </c>
      <c r="B151" t="s">
        <v>1148</v>
      </c>
      <c r="C151" t="s">
        <v>1117</v>
      </c>
      <c r="D151" t="s">
        <v>21</v>
      </c>
      <c r="E151">
        <v>58</v>
      </c>
      <c r="F151" t="s">
        <v>1132</v>
      </c>
      <c r="G151" t="s">
        <v>1467</v>
      </c>
      <c r="H151" t="s">
        <v>1468</v>
      </c>
      <c r="I151" s="2">
        <v>44357</v>
      </c>
      <c r="J151" t="s">
        <v>1128</v>
      </c>
      <c r="K151" t="s">
        <v>19</v>
      </c>
      <c r="L151" t="s">
        <v>18</v>
      </c>
      <c r="M151" t="s">
        <v>1129</v>
      </c>
      <c r="N151" t="s">
        <v>1123</v>
      </c>
      <c r="O151" t="s">
        <v>1130</v>
      </c>
    </row>
    <row r="152" spans="1:15" ht="15.75">
      <c r="A152" t="s">
        <v>172</v>
      </c>
      <c r="B152" t="s">
        <v>1151</v>
      </c>
      <c r="C152" t="s">
        <v>1117</v>
      </c>
      <c r="D152" t="s">
        <v>16</v>
      </c>
      <c r="E152">
        <v>29</v>
      </c>
      <c r="F152" t="s">
        <v>1118</v>
      </c>
      <c r="G152" t="s">
        <v>1469</v>
      </c>
      <c r="H152" t="s">
        <v>1470</v>
      </c>
      <c r="I152" s="2">
        <v>44753</v>
      </c>
      <c r="J152" t="s">
        <v>1135</v>
      </c>
      <c r="K152" t="s">
        <v>19</v>
      </c>
      <c r="L152" t="s">
        <v>18</v>
      </c>
      <c r="M152" t="s">
        <v>1136</v>
      </c>
      <c r="N152" t="s">
        <v>1123</v>
      </c>
      <c r="O152" t="s">
        <v>1137</v>
      </c>
    </row>
    <row r="153" spans="1:15" ht="15.75">
      <c r="A153" t="s">
        <v>173</v>
      </c>
      <c r="B153" t="s">
        <v>1154</v>
      </c>
      <c r="C153" t="s">
        <v>1117</v>
      </c>
      <c r="D153" t="s">
        <v>16</v>
      </c>
      <c r="E153">
        <v>43</v>
      </c>
      <c r="F153" t="s">
        <v>1139</v>
      </c>
      <c r="G153" t="s">
        <v>1471</v>
      </c>
      <c r="H153" t="s">
        <v>1472</v>
      </c>
      <c r="I153" s="2">
        <v>45150</v>
      </c>
      <c r="J153" t="s">
        <v>1142</v>
      </c>
      <c r="K153" t="s">
        <v>19</v>
      </c>
      <c r="L153" t="s">
        <v>18</v>
      </c>
      <c r="M153" t="s">
        <v>1143</v>
      </c>
      <c r="N153" t="s">
        <v>1123</v>
      </c>
      <c r="O153" t="s">
        <v>1144</v>
      </c>
    </row>
    <row r="154" spans="1:15" ht="15.75">
      <c r="A154" t="s">
        <v>174</v>
      </c>
      <c r="B154" t="s">
        <v>1157</v>
      </c>
      <c r="C154" t="s">
        <v>1117</v>
      </c>
      <c r="D154" t="s">
        <v>16</v>
      </c>
      <c r="E154">
        <v>63</v>
      </c>
      <c r="F154" t="s">
        <v>1132</v>
      </c>
      <c r="G154" t="s">
        <v>1473</v>
      </c>
      <c r="H154" t="s">
        <v>1474</v>
      </c>
      <c r="I154" s="2">
        <v>44452</v>
      </c>
      <c r="J154" t="s">
        <v>1121</v>
      </c>
      <c r="K154" t="s">
        <v>19</v>
      </c>
      <c r="L154" t="s">
        <v>18</v>
      </c>
      <c r="M154" t="s">
        <v>1122</v>
      </c>
      <c r="N154" t="s">
        <v>1123</v>
      </c>
      <c r="O154" t="s">
        <v>1124</v>
      </c>
    </row>
    <row r="155" spans="1:15" ht="15.75">
      <c r="A155" t="s">
        <v>175</v>
      </c>
      <c r="B155" t="s">
        <v>1194</v>
      </c>
      <c r="C155" t="s">
        <v>1117</v>
      </c>
      <c r="D155" t="s">
        <v>16</v>
      </c>
      <c r="E155">
        <v>51</v>
      </c>
      <c r="F155" t="s">
        <v>1132</v>
      </c>
      <c r="G155" t="s">
        <v>1475</v>
      </c>
      <c r="H155" t="s">
        <v>1476</v>
      </c>
      <c r="I155" s="2">
        <v>44848</v>
      </c>
      <c r="J155" t="s">
        <v>1128</v>
      </c>
      <c r="K155" t="s">
        <v>19</v>
      </c>
      <c r="L155" t="s">
        <v>18</v>
      </c>
      <c r="M155" t="s">
        <v>1129</v>
      </c>
      <c r="N155" t="s">
        <v>1123</v>
      </c>
      <c r="O155" t="s">
        <v>1130</v>
      </c>
    </row>
    <row r="156" spans="1:15" ht="15.75">
      <c r="A156" t="s">
        <v>176</v>
      </c>
      <c r="B156" t="s">
        <v>1163</v>
      </c>
      <c r="C156" t="s">
        <v>1117</v>
      </c>
      <c r="D156" t="s">
        <v>16</v>
      </c>
      <c r="E156">
        <v>31</v>
      </c>
      <c r="F156" t="s">
        <v>1118</v>
      </c>
      <c r="G156" t="s">
        <v>1477</v>
      </c>
      <c r="H156" t="s">
        <v>1478</v>
      </c>
      <c r="I156" s="2">
        <v>45245</v>
      </c>
      <c r="J156" t="s">
        <v>1135</v>
      </c>
      <c r="K156" t="s">
        <v>19</v>
      </c>
      <c r="L156" t="s">
        <v>18</v>
      </c>
      <c r="M156" t="s">
        <v>1136</v>
      </c>
      <c r="N156" t="s">
        <v>1123</v>
      </c>
      <c r="O156" t="s">
        <v>1137</v>
      </c>
    </row>
    <row r="157" spans="1:15" ht="15.75">
      <c r="A157" t="s">
        <v>177</v>
      </c>
      <c r="B157" t="s">
        <v>1200</v>
      </c>
      <c r="C157" t="s">
        <v>1117</v>
      </c>
      <c r="D157" t="s">
        <v>21</v>
      </c>
      <c r="E157">
        <v>43</v>
      </c>
      <c r="F157" t="s">
        <v>1139</v>
      </c>
      <c r="G157" t="s">
        <v>1479</v>
      </c>
      <c r="H157" t="s">
        <v>1480</v>
      </c>
      <c r="I157" s="2">
        <v>44546</v>
      </c>
      <c r="J157" t="s">
        <v>1142</v>
      </c>
      <c r="K157" t="s">
        <v>19</v>
      </c>
      <c r="L157" t="s">
        <v>18</v>
      </c>
      <c r="M157" t="s">
        <v>1143</v>
      </c>
      <c r="N157" t="s">
        <v>1123</v>
      </c>
      <c r="O157" t="s">
        <v>1144</v>
      </c>
    </row>
    <row r="158" spans="1:15" ht="15.75">
      <c r="A158" t="s">
        <v>178</v>
      </c>
      <c r="B158" t="s">
        <v>1116</v>
      </c>
      <c r="C158" t="s">
        <v>1170</v>
      </c>
      <c r="D158" t="s">
        <v>16</v>
      </c>
      <c r="E158">
        <v>62</v>
      </c>
      <c r="F158" t="s">
        <v>1132</v>
      </c>
      <c r="G158" t="s">
        <v>1481</v>
      </c>
      <c r="H158" t="s">
        <v>1482</v>
      </c>
      <c r="I158" s="2">
        <v>44578</v>
      </c>
      <c r="J158" t="s">
        <v>1121</v>
      </c>
      <c r="K158" t="s">
        <v>19</v>
      </c>
      <c r="L158" t="s">
        <v>18</v>
      </c>
      <c r="M158" t="s">
        <v>1122</v>
      </c>
      <c r="N158" t="s">
        <v>1123</v>
      </c>
      <c r="O158" t="s">
        <v>1124</v>
      </c>
    </row>
    <row r="159" spans="1:15" ht="15.75">
      <c r="A159" t="s">
        <v>179</v>
      </c>
      <c r="B159" t="s">
        <v>1125</v>
      </c>
      <c r="C159" t="s">
        <v>1170</v>
      </c>
      <c r="D159" t="s">
        <v>21</v>
      </c>
      <c r="E159">
        <v>44</v>
      </c>
      <c r="F159" t="s">
        <v>1139</v>
      </c>
      <c r="G159" t="s">
        <v>1483</v>
      </c>
      <c r="H159" t="s">
        <v>1484</v>
      </c>
      <c r="I159" s="2">
        <v>44975</v>
      </c>
      <c r="J159" t="s">
        <v>1128</v>
      </c>
      <c r="K159" t="s">
        <v>19</v>
      </c>
      <c r="L159" t="s">
        <v>18</v>
      </c>
      <c r="M159" t="s">
        <v>1129</v>
      </c>
      <c r="N159" t="s">
        <v>1123</v>
      </c>
      <c r="O159" t="s">
        <v>1130</v>
      </c>
    </row>
    <row r="160" spans="1:15" ht="15.75">
      <c r="A160" t="s">
        <v>180</v>
      </c>
      <c r="B160" t="s">
        <v>1131</v>
      </c>
      <c r="C160" t="s">
        <v>1170</v>
      </c>
      <c r="D160" t="s">
        <v>16</v>
      </c>
      <c r="E160">
        <v>26</v>
      </c>
      <c r="F160" t="s">
        <v>1118</v>
      </c>
      <c r="G160" t="s">
        <v>1485</v>
      </c>
      <c r="H160" t="s">
        <v>1486</v>
      </c>
      <c r="I160" s="2">
        <v>44274</v>
      </c>
      <c r="J160" t="s">
        <v>1135</v>
      </c>
      <c r="K160" t="s">
        <v>19</v>
      </c>
      <c r="L160" t="s">
        <v>18</v>
      </c>
      <c r="M160" t="s">
        <v>1136</v>
      </c>
      <c r="N160" t="s">
        <v>1123</v>
      </c>
      <c r="O160" t="s">
        <v>1137</v>
      </c>
    </row>
    <row r="161" spans="1:15" ht="15.75">
      <c r="A161" t="s">
        <v>181</v>
      </c>
      <c r="B161" t="s">
        <v>1211</v>
      </c>
      <c r="C161" t="s">
        <v>1170</v>
      </c>
      <c r="D161" t="s">
        <v>21</v>
      </c>
      <c r="E161">
        <v>43</v>
      </c>
      <c r="F161" t="s">
        <v>1139</v>
      </c>
      <c r="G161" t="s">
        <v>1487</v>
      </c>
      <c r="H161" t="s">
        <v>1488</v>
      </c>
      <c r="I161" s="2">
        <v>44671</v>
      </c>
      <c r="J161" t="s">
        <v>1142</v>
      </c>
      <c r="K161" t="s">
        <v>19</v>
      </c>
      <c r="L161" t="s">
        <v>18</v>
      </c>
      <c r="M161" t="s">
        <v>1143</v>
      </c>
      <c r="N161" t="s">
        <v>1123</v>
      </c>
      <c r="O161" t="s">
        <v>1144</v>
      </c>
    </row>
    <row r="162" spans="1:15" ht="15.75">
      <c r="A162" t="s">
        <v>182</v>
      </c>
      <c r="B162" t="s">
        <v>1145</v>
      </c>
      <c r="C162" t="s">
        <v>1170</v>
      </c>
      <c r="D162" t="s">
        <v>16</v>
      </c>
      <c r="E162">
        <v>64</v>
      </c>
      <c r="F162" t="s">
        <v>1132</v>
      </c>
      <c r="G162" t="s">
        <v>1489</v>
      </c>
      <c r="H162" t="s">
        <v>1490</v>
      </c>
      <c r="I162" s="2">
        <v>45067</v>
      </c>
      <c r="J162" t="s">
        <v>1121</v>
      </c>
      <c r="K162" t="s">
        <v>19</v>
      </c>
      <c r="L162" t="s">
        <v>18</v>
      </c>
      <c r="M162" t="s">
        <v>1122</v>
      </c>
      <c r="N162" t="s">
        <v>1123</v>
      </c>
      <c r="O162" t="s">
        <v>1124</v>
      </c>
    </row>
    <row r="163" spans="1:15" ht="15.75">
      <c r="A163" t="s">
        <v>183</v>
      </c>
      <c r="B163" t="s">
        <v>1241</v>
      </c>
      <c r="C163" t="s">
        <v>1170</v>
      </c>
      <c r="D163" t="s">
        <v>16</v>
      </c>
      <c r="E163">
        <v>39</v>
      </c>
      <c r="F163" t="s">
        <v>1139</v>
      </c>
      <c r="G163" t="s">
        <v>1491</v>
      </c>
      <c r="H163" t="s">
        <v>1492</v>
      </c>
      <c r="I163" s="2">
        <v>44369</v>
      </c>
      <c r="J163" t="s">
        <v>1128</v>
      </c>
      <c r="K163" t="s">
        <v>19</v>
      </c>
      <c r="L163" t="s">
        <v>18</v>
      </c>
      <c r="M163" t="s">
        <v>1129</v>
      </c>
      <c r="N163" t="s">
        <v>1123</v>
      </c>
      <c r="O163" t="s">
        <v>1130</v>
      </c>
    </row>
    <row r="164" spans="1:15" ht="15.75">
      <c r="A164" t="s">
        <v>184</v>
      </c>
      <c r="B164" t="s">
        <v>1186</v>
      </c>
      <c r="C164" t="s">
        <v>1170</v>
      </c>
      <c r="D164" t="s">
        <v>21</v>
      </c>
      <c r="E164">
        <v>64</v>
      </c>
      <c r="F164" t="s">
        <v>1132</v>
      </c>
      <c r="G164" t="s">
        <v>1493</v>
      </c>
      <c r="H164" t="s">
        <v>1494</v>
      </c>
      <c r="I164" s="2">
        <v>44765</v>
      </c>
      <c r="J164" t="s">
        <v>1135</v>
      </c>
      <c r="K164" t="s">
        <v>19</v>
      </c>
      <c r="L164" t="s">
        <v>18</v>
      </c>
      <c r="M164" t="s">
        <v>1136</v>
      </c>
      <c r="N164" t="s">
        <v>1123</v>
      </c>
      <c r="O164" t="s">
        <v>1137</v>
      </c>
    </row>
    <row r="165" spans="1:15" ht="15.75">
      <c r="A165" t="s">
        <v>185</v>
      </c>
      <c r="B165" t="s">
        <v>1246</v>
      </c>
      <c r="C165" t="s">
        <v>1170</v>
      </c>
      <c r="D165" t="s">
        <v>21</v>
      </c>
      <c r="E165">
        <v>47</v>
      </c>
      <c r="F165" t="s">
        <v>1132</v>
      </c>
      <c r="G165" t="s">
        <v>1495</v>
      </c>
      <c r="H165" t="s">
        <v>1496</v>
      </c>
      <c r="I165" s="2">
        <v>45162</v>
      </c>
      <c r="J165" t="s">
        <v>1142</v>
      </c>
      <c r="K165" t="s">
        <v>19</v>
      </c>
      <c r="L165" t="s">
        <v>18</v>
      </c>
      <c r="M165" t="s">
        <v>1143</v>
      </c>
      <c r="N165" t="s">
        <v>1123</v>
      </c>
      <c r="O165" t="s">
        <v>1144</v>
      </c>
    </row>
    <row r="166" spans="1:15" ht="15.75">
      <c r="A166" t="s">
        <v>186</v>
      </c>
      <c r="B166" t="s">
        <v>1191</v>
      </c>
      <c r="C166" t="s">
        <v>1170</v>
      </c>
      <c r="D166" t="s">
        <v>21</v>
      </c>
      <c r="E166">
        <v>60</v>
      </c>
      <c r="F166" t="s">
        <v>1132</v>
      </c>
      <c r="G166" t="s">
        <v>1497</v>
      </c>
      <c r="H166" t="s">
        <v>1498</v>
      </c>
      <c r="I166" s="2">
        <v>44464</v>
      </c>
      <c r="J166" t="s">
        <v>1121</v>
      </c>
      <c r="K166" t="s">
        <v>19</v>
      </c>
      <c r="L166" t="s">
        <v>18</v>
      </c>
      <c r="M166" t="s">
        <v>1122</v>
      </c>
      <c r="N166" t="s">
        <v>1123</v>
      </c>
      <c r="O166" t="s">
        <v>1124</v>
      </c>
    </row>
    <row r="167" spans="1:15" ht="15.75">
      <c r="A167" t="s">
        <v>187</v>
      </c>
      <c r="B167" t="s">
        <v>1194</v>
      </c>
      <c r="C167" t="s">
        <v>1170</v>
      </c>
      <c r="D167" t="s">
        <v>16</v>
      </c>
      <c r="E167">
        <v>34</v>
      </c>
      <c r="F167" t="s">
        <v>1118</v>
      </c>
      <c r="G167" t="s">
        <v>1499</v>
      </c>
      <c r="H167" t="s">
        <v>1500</v>
      </c>
      <c r="I167" s="2">
        <v>44860</v>
      </c>
      <c r="J167" t="s">
        <v>1128</v>
      </c>
      <c r="K167" t="s">
        <v>19</v>
      </c>
      <c r="L167" t="s">
        <v>18</v>
      </c>
      <c r="M167" t="s">
        <v>1129</v>
      </c>
      <c r="N167" t="s">
        <v>1123</v>
      </c>
      <c r="O167" t="s">
        <v>1130</v>
      </c>
    </row>
    <row r="168" spans="1:15" ht="15.75">
      <c r="A168" t="s">
        <v>188</v>
      </c>
      <c r="B168" t="s">
        <v>1197</v>
      </c>
      <c r="C168" t="s">
        <v>1170</v>
      </c>
      <c r="D168" t="s">
        <v>21</v>
      </c>
      <c r="E168">
        <v>43</v>
      </c>
      <c r="F168" t="s">
        <v>1139</v>
      </c>
      <c r="G168" t="s">
        <v>1501</v>
      </c>
      <c r="H168" t="s">
        <v>1502</v>
      </c>
      <c r="I168" s="2">
        <v>45257</v>
      </c>
      <c r="J168" t="s">
        <v>1135</v>
      </c>
      <c r="K168" t="s">
        <v>19</v>
      </c>
      <c r="L168" t="s">
        <v>18</v>
      </c>
      <c r="M168" t="s">
        <v>1136</v>
      </c>
      <c r="N168" t="s">
        <v>1123</v>
      </c>
      <c r="O168" t="s">
        <v>1137</v>
      </c>
    </row>
    <row r="169" spans="1:15" ht="15.75">
      <c r="A169" t="s">
        <v>189</v>
      </c>
      <c r="B169" t="s">
        <v>1167</v>
      </c>
      <c r="C169" t="s">
        <v>1170</v>
      </c>
      <c r="D169" t="s">
        <v>16</v>
      </c>
      <c r="E169">
        <v>53</v>
      </c>
      <c r="F169" t="s">
        <v>1132</v>
      </c>
      <c r="G169" t="s">
        <v>1503</v>
      </c>
      <c r="H169" t="s">
        <v>1504</v>
      </c>
      <c r="I169" s="2">
        <v>44558</v>
      </c>
      <c r="J169" t="s">
        <v>1142</v>
      </c>
      <c r="K169" t="s">
        <v>19</v>
      </c>
      <c r="L169" t="s">
        <v>18</v>
      </c>
      <c r="M169" t="s">
        <v>1143</v>
      </c>
      <c r="N169" t="s">
        <v>1123</v>
      </c>
      <c r="O169" t="s">
        <v>1144</v>
      </c>
    </row>
    <row r="170" spans="1:15" ht="15.75">
      <c r="A170" t="s">
        <v>190</v>
      </c>
      <c r="B170" t="s">
        <v>1116</v>
      </c>
      <c r="C170" t="s">
        <v>1204</v>
      </c>
      <c r="D170" t="s">
        <v>16</v>
      </c>
      <c r="E170">
        <v>18</v>
      </c>
      <c r="F170" t="s">
        <v>1164</v>
      </c>
      <c r="G170" t="s">
        <v>1505</v>
      </c>
      <c r="H170" t="s">
        <v>1506</v>
      </c>
      <c r="I170" s="2">
        <v>44562</v>
      </c>
      <c r="J170" t="s">
        <v>1121</v>
      </c>
      <c r="K170" t="s">
        <v>19</v>
      </c>
      <c r="L170" t="s">
        <v>18</v>
      </c>
      <c r="M170" t="s">
        <v>1122</v>
      </c>
      <c r="N170" t="s">
        <v>1123</v>
      </c>
      <c r="O170" t="s">
        <v>1124</v>
      </c>
    </row>
    <row r="171" spans="1:15" ht="15.75">
      <c r="A171" t="s">
        <v>191</v>
      </c>
      <c r="B171" t="s">
        <v>1125</v>
      </c>
      <c r="C171" t="s">
        <v>1204</v>
      </c>
      <c r="D171" t="s">
        <v>21</v>
      </c>
      <c r="E171">
        <v>25</v>
      </c>
      <c r="F171" t="s">
        <v>1164</v>
      </c>
      <c r="G171" t="s">
        <v>1507</v>
      </c>
      <c r="H171" t="s">
        <v>1508</v>
      </c>
      <c r="I171" s="2">
        <v>44959</v>
      </c>
      <c r="J171" t="s">
        <v>1128</v>
      </c>
      <c r="K171" t="s">
        <v>19</v>
      </c>
      <c r="L171" t="s">
        <v>18</v>
      </c>
      <c r="M171" t="s">
        <v>1129</v>
      </c>
      <c r="N171" t="s">
        <v>1123</v>
      </c>
      <c r="O171" t="s">
        <v>1130</v>
      </c>
    </row>
    <row r="172" spans="1:15" ht="15.75">
      <c r="A172" t="s">
        <v>192</v>
      </c>
      <c r="B172" t="s">
        <v>1176</v>
      </c>
      <c r="C172" t="s">
        <v>1204</v>
      </c>
      <c r="D172" t="s">
        <v>21</v>
      </c>
      <c r="E172">
        <v>52</v>
      </c>
      <c r="F172" t="s">
        <v>1132</v>
      </c>
      <c r="G172" t="s">
        <v>1509</v>
      </c>
      <c r="H172" t="s">
        <v>1510</v>
      </c>
      <c r="I172" s="2">
        <v>44258</v>
      </c>
      <c r="J172" t="s">
        <v>1135</v>
      </c>
      <c r="K172" t="s">
        <v>19</v>
      </c>
      <c r="L172" t="s">
        <v>18</v>
      </c>
      <c r="M172" t="s">
        <v>1136</v>
      </c>
      <c r="N172" t="s">
        <v>1123</v>
      </c>
      <c r="O172" t="s">
        <v>1137</v>
      </c>
    </row>
    <row r="173" spans="1:15" ht="15.75">
      <c r="A173" t="s">
        <v>193</v>
      </c>
      <c r="B173" t="s">
        <v>1138</v>
      </c>
      <c r="C173" t="s">
        <v>1204</v>
      </c>
      <c r="D173" t="s">
        <v>16</v>
      </c>
      <c r="E173">
        <v>32</v>
      </c>
      <c r="F173" t="s">
        <v>1118</v>
      </c>
      <c r="G173" t="s">
        <v>1511</v>
      </c>
      <c r="H173" t="s">
        <v>1512</v>
      </c>
      <c r="I173" s="2">
        <v>44655</v>
      </c>
      <c r="J173" t="s">
        <v>1142</v>
      </c>
      <c r="K173" t="s">
        <v>19</v>
      </c>
      <c r="L173" t="s">
        <v>18</v>
      </c>
      <c r="M173" t="s">
        <v>1143</v>
      </c>
      <c r="N173" t="s">
        <v>1123</v>
      </c>
      <c r="O173" t="s">
        <v>1144</v>
      </c>
    </row>
    <row r="174" spans="1:15" ht="15.75">
      <c r="A174" t="s">
        <v>194</v>
      </c>
      <c r="B174" t="s">
        <v>1145</v>
      </c>
      <c r="C174" t="s">
        <v>1204</v>
      </c>
      <c r="D174" t="s">
        <v>16</v>
      </c>
      <c r="E174">
        <v>64</v>
      </c>
      <c r="F174" t="s">
        <v>1132</v>
      </c>
      <c r="G174" t="s">
        <v>1513</v>
      </c>
      <c r="H174" t="s">
        <v>1514</v>
      </c>
      <c r="I174" s="2">
        <v>45051</v>
      </c>
      <c r="J174" t="s">
        <v>1121</v>
      </c>
      <c r="K174" t="s">
        <v>19</v>
      </c>
      <c r="L174" t="s">
        <v>18</v>
      </c>
      <c r="M174" t="s">
        <v>1122</v>
      </c>
      <c r="N174" t="s">
        <v>1123</v>
      </c>
      <c r="O174" t="s">
        <v>1124</v>
      </c>
    </row>
    <row r="175" spans="1:15" ht="15.75">
      <c r="A175" t="s">
        <v>195</v>
      </c>
      <c r="B175" t="s">
        <v>1148</v>
      </c>
      <c r="C175" t="s">
        <v>1204</v>
      </c>
      <c r="D175" t="s">
        <v>21</v>
      </c>
      <c r="E175">
        <v>39</v>
      </c>
      <c r="F175" t="s">
        <v>1139</v>
      </c>
      <c r="G175" t="s">
        <v>1515</v>
      </c>
      <c r="H175" t="s">
        <v>1516</v>
      </c>
      <c r="I175" s="2">
        <v>44353</v>
      </c>
      <c r="J175" t="s">
        <v>1128</v>
      </c>
      <c r="K175" t="s">
        <v>19</v>
      </c>
      <c r="L175" t="s">
        <v>18</v>
      </c>
      <c r="M175" t="s">
        <v>1129</v>
      </c>
      <c r="N175" t="s">
        <v>1123</v>
      </c>
      <c r="O175" t="s">
        <v>1130</v>
      </c>
    </row>
    <row r="176" spans="1:15" ht="15.75">
      <c r="A176" t="s">
        <v>196</v>
      </c>
      <c r="B176" t="s">
        <v>1186</v>
      </c>
      <c r="C176" t="s">
        <v>1204</v>
      </c>
      <c r="D176" t="s">
        <v>21</v>
      </c>
      <c r="E176">
        <v>31</v>
      </c>
      <c r="F176" t="s">
        <v>1118</v>
      </c>
      <c r="G176" t="s">
        <v>1517</v>
      </c>
      <c r="H176" t="s">
        <v>1518</v>
      </c>
      <c r="I176" s="2">
        <v>44749</v>
      </c>
      <c r="J176" t="s">
        <v>1135</v>
      </c>
      <c r="K176" t="s">
        <v>19</v>
      </c>
      <c r="L176" t="s">
        <v>18</v>
      </c>
      <c r="M176" t="s">
        <v>1136</v>
      </c>
      <c r="N176" t="s">
        <v>1123</v>
      </c>
      <c r="O176" t="s">
        <v>1137</v>
      </c>
    </row>
    <row r="177" spans="1:15" ht="15.75">
      <c r="A177" t="s">
        <v>197</v>
      </c>
      <c r="B177" t="s">
        <v>1246</v>
      </c>
      <c r="C177" t="s">
        <v>1204</v>
      </c>
      <c r="D177" t="s">
        <v>21</v>
      </c>
      <c r="E177">
        <v>43</v>
      </c>
      <c r="F177" t="s">
        <v>1139</v>
      </c>
      <c r="G177" t="s">
        <v>1519</v>
      </c>
      <c r="H177" t="s">
        <v>1520</v>
      </c>
      <c r="I177" s="2">
        <v>45146</v>
      </c>
      <c r="J177" t="s">
        <v>1142</v>
      </c>
      <c r="K177" t="s">
        <v>19</v>
      </c>
      <c r="L177" t="s">
        <v>18</v>
      </c>
      <c r="M177" t="s">
        <v>1143</v>
      </c>
      <c r="N177" t="s">
        <v>1123</v>
      </c>
      <c r="O177" t="s">
        <v>1144</v>
      </c>
    </row>
    <row r="178" spans="1:15" ht="15.75">
      <c r="A178" t="s">
        <v>198</v>
      </c>
      <c r="B178" t="s">
        <v>1157</v>
      </c>
      <c r="C178" t="s">
        <v>1204</v>
      </c>
      <c r="D178" t="s">
        <v>16</v>
      </c>
      <c r="E178">
        <v>45</v>
      </c>
      <c r="F178" t="s">
        <v>1139</v>
      </c>
      <c r="G178" t="s">
        <v>1521</v>
      </c>
      <c r="H178" t="s">
        <v>1522</v>
      </c>
      <c r="I178" s="2">
        <v>44448</v>
      </c>
      <c r="J178" t="s">
        <v>1121</v>
      </c>
      <c r="K178" t="s">
        <v>19</v>
      </c>
      <c r="L178" t="s">
        <v>18</v>
      </c>
      <c r="M178" t="s">
        <v>1122</v>
      </c>
      <c r="N178" t="s">
        <v>1123</v>
      </c>
      <c r="O178" t="s">
        <v>1124</v>
      </c>
    </row>
    <row r="179" spans="1:15" ht="15.75">
      <c r="A179" t="s">
        <v>199</v>
      </c>
      <c r="B179" t="s">
        <v>1194</v>
      </c>
      <c r="C179" t="s">
        <v>1204</v>
      </c>
      <c r="D179" t="s">
        <v>16</v>
      </c>
      <c r="E179">
        <v>40</v>
      </c>
      <c r="F179" t="s">
        <v>1139</v>
      </c>
      <c r="G179" t="s">
        <v>1523</v>
      </c>
      <c r="H179" t="s">
        <v>1524</v>
      </c>
      <c r="I179" s="2">
        <v>44844</v>
      </c>
      <c r="J179" t="s">
        <v>1128</v>
      </c>
      <c r="K179" t="s">
        <v>19</v>
      </c>
      <c r="L179" t="s">
        <v>18</v>
      </c>
      <c r="M179" t="s">
        <v>1129</v>
      </c>
      <c r="N179" t="s">
        <v>1123</v>
      </c>
      <c r="O179" t="s">
        <v>1130</v>
      </c>
    </row>
    <row r="180" spans="1:15" ht="15.75">
      <c r="A180" t="s">
        <v>200</v>
      </c>
      <c r="B180" t="s">
        <v>1163</v>
      </c>
      <c r="C180" t="s">
        <v>1204</v>
      </c>
      <c r="D180" t="s">
        <v>16</v>
      </c>
      <c r="E180">
        <v>31</v>
      </c>
      <c r="F180" t="s">
        <v>1118</v>
      </c>
      <c r="G180" t="s">
        <v>1525</v>
      </c>
      <c r="H180" t="s">
        <v>1526</v>
      </c>
      <c r="I180" s="2">
        <v>45241</v>
      </c>
      <c r="J180" t="s">
        <v>1135</v>
      </c>
      <c r="K180" t="s">
        <v>19</v>
      </c>
      <c r="L180" t="s">
        <v>18</v>
      </c>
      <c r="M180" t="s">
        <v>1136</v>
      </c>
      <c r="N180" t="s">
        <v>1123</v>
      </c>
      <c r="O180" t="s">
        <v>1137</v>
      </c>
    </row>
    <row r="181" spans="1:15" ht="15.75">
      <c r="A181" t="s">
        <v>201</v>
      </c>
      <c r="B181" t="s">
        <v>1167</v>
      </c>
      <c r="C181" t="s">
        <v>1204</v>
      </c>
      <c r="D181" t="s">
        <v>16</v>
      </c>
      <c r="E181">
        <v>41</v>
      </c>
      <c r="F181" t="s">
        <v>1139</v>
      </c>
      <c r="G181" t="s">
        <v>1527</v>
      </c>
      <c r="H181" t="s">
        <v>1528</v>
      </c>
      <c r="I181" s="2">
        <v>44542</v>
      </c>
      <c r="J181" t="s">
        <v>1142</v>
      </c>
      <c r="K181" t="s">
        <v>19</v>
      </c>
      <c r="L181" t="s">
        <v>18</v>
      </c>
      <c r="M181" t="s">
        <v>1143</v>
      </c>
      <c r="N181" t="s">
        <v>1123</v>
      </c>
      <c r="O181" t="s">
        <v>1144</v>
      </c>
    </row>
    <row r="182" spans="1:15" ht="15.75">
      <c r="A182" t="s">
        <v>202</v>
      </c>
      <c r="B182" t="s">
        <v>1116</v>
      </c>
      <c r="C182" t="s">
        <v>1230</v>
      </c>
      <c r="D182" t="s">
        <v>16</v>
      </c>
      <c r="E182">
        <v>19</v>
      </c>
      <c r="F182" t="s">
        <v>1164</v>
      </c>
      <c r="G182" t="s">
        <v>1529</v>
      </c>
      <c r="H182" t="s">
        <v>1530</v>
      </c>
      <c r="I182" s="2">
        <v>44574</v>
      </c>
      <c r="J182" t="s">
        <v>1121</v>
      </c>
      <c r="K182" t="s">
        <v>19</v>
      </c>
      <c r="L182" t="s">
        <v>18</v>
      </c>
      <c r="M182" t="s">
        <v>1122</v>
      </c>
      <c r="N182" t="s">
        <v>1123</v>
      </c>
      <c r="O182" t="s">
        <v>1124</v>
      </c>
    </row>
    <row r="183" spans="1:15" ht="15.75">
      <c r="A183" t="s">
        <v>203</v>
      </c>
      <c r="B183" t="s">
        <v>1173</v>
      </c>
      <c r="C183" t="s">
        <v>1230</v>
      </c>
      <c r="D183" t="s">
        <v>16</v>
      </c>
      <c r="E183">
        <v>62</v>
      </c>
      <c r="F183" t="s">
        <v>1132</v>
      </c>
      <c r="G183" t="s">
        <v>1531</v>
      </c>
      <c r="H183" t="s">
        <v>1532</v>
      </c>
      <c r="I183" s="2">
        <v>44971</v>
      </c>
      <c r="J183" t="s">
        <v>1128</v>
      </c>
      <c r="K183" t="s">
        <v>19</v>
      </c>
      <c r="L183" t="s">
        <v>18</v>
      </c>
      <c r="M183" t="s">
        <v>1129</v>
      </c>
      <c r="N183" t="s">
        <v>1123</v>
      </c>
      <c r="O183" t="s">
        <v>1130</v>
      </c>
    </row>
    <row r="184" spans="1:15" ht="15.75">
      <c r="A184" t="s">
        <v>204</v>
      </c>
      <c r="B184" t="s">
        <v>1176</v>
      </c>
      <c r="C184" t="s">
        <v>1230</v>
      </c>
      <c r="D184" t="s">
        <v>21</v>
      </c>
      <c r="E184">
        <v>43</v>
      </c>
      <c r="F184" t="s">
        <v>1139</v>
      </c>
      <c r="G184" t="s">
        <v>1533</v>
      </c>
      <c r="H184" t="s">
        <v>1534</v>
      </c>
      <c r="I184" s="2">
        <v>44270</v>
      </c>
      <c r="J184" t="s">
        <v>1135</v>
      </c>
      <c r="K184" t="s">
        <v>19</v>
      </c>
      <c r="L184" t="s">
        <v>18</v>
      </c>
      <c r="M184" t="s">
        <v>1136</v>
      </c>
      <c r="N184" t="s">
        <v>1123</v>
      </c>
      <c r="O184" t="s">
        <v>1137</v>
      </c>
    </row>
    <row r="185" spans="1:15" ht="15.75">
      <c r="A185" t="s">
        <v>205</v>
      </c>
      <c r="B185" t="s">
        <v>1138</v>
      </c>
      <c r="C185" t="s">
        <v>1230</v>
      </c>
      <c r="D185" t="s">
        <v>16</v>
      </c>
      <c r="E185">
        <v>31</v>
      </c>
      <c r="F185" t="s">
        <v>1118</v>
      </c>
      <c r="G185" t="s">
        <v>1535</v>
      </c>
      <c r="H185" t="s">
        <v>1536</v>
      </c>
      <c r="I185" s="2">
        <v>44667</v>
      </c>
      <c r="J185" t="s">
        <v>1142</v>
      </c>
      <c r="K185" t="s">
        <v>19</v>
      </c>
      <c r="L185" t="s">
        <v>18</v>
      </c>
      <c r="M185" t="s">
        <v>1143</v>
      </c>
      <c r="N185" t="s">
        <v>1123</v>
      </c>
      <c r="O185" t="s">
        <v>1144</v>
      </c>
    </row>
    <row r="186" spans="1:15" ht="15.75">
      <c r="A186" t="s">
        <v>206</v>
      </c>
      <c r="B186" t="s">
        <v>1145</v>
      </c>
      <c r="C186" t="s">
        <v>1230</v>
      </c>
      <c r="D186" t="s">
        <v>16</v>
      </c>
      <c r="E186">
        <v>24</v>
      </c>
      <c r="F186" t="s">
        <v>1164</v>
      </c>
      <c r="G186" t="s">
        <v>1537</v>
      </c>
      <c r="H186" t="s">
        <v>1538</v>
      </c>
      <c r="I186" s="2">
        <v>45063</v>
      </c>
      <c r="J186" t="s">
        <v>1121</v>
      </c>
      <c r="K186" t="s">
        <v>19</v>
      </c>
      <c r="L186" t="s">
        <v>18</v>
      </c>
      <c r="M186" t="s">
        <v>1122</v>
      </c>
      <c r="N186" t="s">
        <v>1123</v>
      </c>
      <c r="O186" t="s">
        <v>1124</v>
      </c>
    </row>
    <row r="187" spans="1:15" ht="15.75">
      <c r="A187" t="s">
        <v>207</v>
      </c>
      <c r="B187" t="s">
        <v>1241</v>
      </c>
      <c r="C187" t="s">
        <v>1230</v>
      </c>
      <c r="D187" t="s">
        <v>16</v>
      </c>
      <c r="E187">
        <v>20</v>
      </c>
      <c r="F187" t="s">
        <v>1164</v>
      </c>
      <c r="G187" t="s">
        <v>1539</v>
      </c>
      <c r="H187" t="s">
        <v>1540</v>
      </c>
      <c r="I187" s="2">
        <v>44365</v>
      </c>
      <c r="J187" t="s">
        <v>1128</v>
      </c>
      <c r="K187" t="s">
        <v>19</v>
      </c>
      <c r="L187" t="s">
        <v>18</v>
      </c>
      <c r="M187" t="s">
        <v>1129</v>
      </c>
      <c r="N187" t="s">
        <v>1123</v>
      </c>
      <c r="O187" t="s">
        <v>1130</v>
      </c>
    </row>
    <row r="188" spans="1:15" ht="15.75">
      <c r="A188" t="s">
        <v>208</v>
      </c>
      <c r="B188" t="s">
        <v>1186</v>
      </c>
      <c r="C188" t="s">
        <v>1230</v>
      </c>
      <c r="D188" t="s">
        <v>21</v>
      </c>
      <c r="E188">
        <v>64</v>
      </c>
      <c r="F188" t="s">
        <v>1132</v>
      </c>
      <c r="G188" t="s">
        <v>1541</v>
      </c>
      <c r="H188" t="s">
        <v>1542</v>
      </c>
      <c r="I188" s="2">
        <v>44761</v>
      </c>
      <c r="J188" t="s">
        <v>1135</v>
      </c>
      <c r="K188" t="s">
        <v>19</v>
      </c>
      <c r="L188" t="s">
        <v>18</v>
      </c>
      <c r="M188" t="s">
        <v>1136</v>
      </c>
      <c r="N188" t="s">
        <v>1123</v>
      </c>
      <c r="O188" t="s">
        <v>1137</v>
      </c>
    </row>
    <row r="189" spans="1:15" ht="15.75">
      <c r="A189" t="s">
        <v>209</v>
      </c>
      <c r="B189" t="s">
        <v>1154</v>
      </c>
      <c r="C189" t="s">
        <v>1230</v>
      </c>
      <c r="D189" t="s">
        <v>16</v>
      </c>
      <c r="E189">
        <v>40</v>
      </c>
      <c r="F189" t="s">
        <v>1139</v>
      </c>
      <c r="G189" t="s">
        <v>1543</v>
      </c>
      <c r="H189" t="s">
        <v>1544</v>
      </c>
      <c r="I189" s="2">
        <v>45158</v>
      </c>
      <c r="J189" t="s">
        <v>1142</v>
      </c>
      <c r="K189" t="s">
        <v>19</v>
      </c>
      <c r="L189" t="s">
        <v>18</v>
      </c>
      <c r="M189" t="s">
        <v>1143</v>
      </c>
      <c r="N189" t="s">
        <v>1123</v>
      </c>
      <c r="O189" t="s">
        <v>1144</v>
      </c>
    </row>
    <row r="190" spans="1:15" ht="15.75">
      <c r="A190" t="s">
        <v>210</v>
      </c>
      <c r="B190" t="s">
        <v>1157</v>
      </c>
      <c r="C190" t="s">
        <v>1230</v>
      </c>
      <c r="D190" t="s">
        <v>16</v>
      </c>
      <c r="E190">
        <v>63</v>
      </c>
      <c r="F190" t="s">
        <v>1132</v>
      </c>
      <c r="G190" t="s">
        <v>1545</v>
      </c>
      <c r="H190" t="s">
        <v>1546</v>
      </c>
      <c r="I190" s="2">
        <v>44460</v>
      </c>
      <c r="J190" t="s">
        <v>1121</v>
      </c>
      <c r="K190" t="s">
        <v>19</v>
      </c>
      <c r="L190" t="s">
        <v>18</v>
      </c>
      <c r="M190" t="s">
        <v>1122</v>
      </c>
      <c r="N190" t="s">
        <v>1123</v>
      </c>
      <c r="O190" t="s">
        <v>1124</v>
      </c>
    </row>
    <row r="191" spans="1:15" ht="15.75">
      <c r="A191" t="s">
        <v>211</v>
      </c>
      <c r="B191" t="s">
        <v>1160</v>
      </c>
      <c r="C191" t="s">
        <v>1230</v>
      </c>
      <c r="D191" t="s">
        <v>21</v>
      </c>
      <c r="E191">
        <v>60</v>
      </c>
      <c r="F191" t="s">
        <v>1132</v>
      </c>
      <c r="G191" t="s">
        <v>1547</v>
      </c>
      <c r="H191" t="s">
        <v>1548</v>
      </c>
      <c r="I191" s="2">
        <v>44856</v>
      </c>
      <c r="J191" t="s">
        <v>1128</v>
      </c>
      <c r="K191" t="s">
        <v>19</v>
      </c>
      <c r="L191" t="s">
        <v>18</v>
      </c>
      <c r="M191" t="s">
        <v>1129</v>
      </c>
      <c r="N191" t="s">
        <v>1123</v>
      </c>
      <c r="O191" t="s">
        <v>1130</v>
      </c>
    </row>
    <row r="192" spans="1:15" ht="15.75">
      <c r="A192" t="s">
        <v>212</v>
      </c>
      <c r="B192" t="s">
        <v>1163</v>
      </c>
      <c r="C192" t="s">
        <v>1230</v>
      </c>
      <c r="D192" t="s">
        <v>16</v>
      </c>
      <c r="E192">
        <v>64</v>
      </c>
      <c r="F192" t="s">
        <v>1132</v>
      </c>
      <c r="G192" t="s">
        <v>1549</v>
      </c>
      <c r="H192" t="s">
        <v>1550</v>
      </c>
      <c r="I192" s="2">
        <v>45253</v>
      </c>
      <c r="J192" t="s">
        <v>1135</v>
      </c>
      <c r="K192" t="s">
        <v>19</v>
      </c>
      <c r="L192" t="s">
        <v>18</v>
      </c>
      <c r="M192" t="s">
        <v>1136</v>
      </c>
      <c r="N192" t="s">
        <v>1123</v>
      </c>
      <c r="O192" t="s">
        <v>1137</v>
      </c>
    </row>
    <row r="193" spans="1:15" ht="15.75">
      <c r="A193" t="s">
        <v>213</v>
      </c>
      <c r="B193" t="s">
        <v>1167</v>
      </c>
      <c r="C193" t="s">
        <v>1230</v>
      </c>
      <c r="D193" t="s">
        <v>16</v>
      </c>
      <c r="E193">
        <v>62</v>
      </c>
      <c r="F193" t="s">
        <v>1132</v>
      </c>
      <c r="G193" t="s">
        <v>1551</v>
      </c>
      <c r="H193" t="s">
        <v>1552</v>
      </c>
      <c r="I193" s="2">
        <v>44554</v>
      </c>
      <c r="J193" t="s">
        <v>1142</v>
      </c>
      <c r="K193" t="s">
        <v>19</v>
      </c>
      <c r="L193" t="s">
        <v>18</v>
      </c>
      <c r="M193" t="s">
        <v>1143</v>
      </c>
      <c r="N193" t="s">
        <v>1123</v>
      </c>
      <c r="O193" t="s">
        <v>1144</v>
      </c>
    </row>
    <row r="194" spans="1:15" ht="15.75">
      <c r="A194" t="s">
        <v>214</v>
      </c>
      <c r="B194" t="s">
        <v>1116</v>
      </c>
      <c r="C194" t="s">
        <v>1257</v>
      </c>
      <c r="D194" t="s">
        <v>16</v>
      </c>
      <c r="E194">
        <v>35</v>
      </c>
      <c r="F194" t="s">
        <v>1118</v>
      </c>
      <c r="G194" t="s">
        <v>1553</v>
      </c>
      <c r="H194" t="s">
        <v>1554</v>
      </c>
      <c r="I194" s="2">
        <v>44586</v>
      </c>
      <c r="J194" t="s">
        <v>1121</v>
      </c>
      <c r="K194" t="s">
        <v>19</v>
      </c>
      <c r="L194" t="s">
        <v>18</v>
      </c>
      <c r="M194" t="s">
        <v>1122</v>
      </c>
      <c r="N194" t="s">
        <v>1123</v>
      </c>
      <c r="O194" t="s">
        <v>1124</v>
      </c>
    </row>
    <row r="195" spans="1:15" ht="15.75">
      <c r="A195" t="s">
        <v>215</v>
      </c>
      <c r="B195" t="s">
        <v>1173</v>
      </c>
      <c r="C195" t="s">
        <v>1257</v>
      </c>
      <c r="D195" t="s">
        <v>16</v>
      </c>
      <c r="E195">
        <v>55</v>
      </c>
      <c r="F195" t="s">
        <v>1132</v>
      </c>
      <c r="G195" t="s">
        <v>1555</v>
      </c>
      <c r="H195" t="s">
        <v>1556</v>
      </c>
      <c r="I195" s="2">
        <v>44983</v>
      </c>
      <c r="J195" t="s">
        <v>1128</v>
      </c>
      <c r="K195" t="s">
        <v>19</v>
      </c>
      <c r="L195" t="s">
        <v>18</v>
      </c>
      <c r="M195" t="s">
        <v>1129</v>
      </c>
      <c r="N195" t="s">
        <v>1123</v>
      </c>
      <c r="O195" t="s">
        <v>1130</v>
      </c>
    </row>
    <row r="196" spans="1:15" ht="15.75">
      <c r="A196" t="s">
        <v>216</v>
      </c>
      <c r="B196" t="s">
        <v>1131</v>
      </c>
      <c r="C196" t="s">
        <v>1257</v>
      </c>
      <c r="D196" t="s">
        <v>16</v>
      </c>
      <c r="E196">
        <v>52</v>
      </c>
      <c r="F196" t="s">
        <v>1132</v>
      </c>
      <c r="G196" t="s">
        <v>1557</v>
      </c>
      <c r="H196" t="s">
        <v>1558</v>
      </c>
      <c r="I196" s="2">
        <v>44282</v>
      </c>
      <c r="J196" t="s">
        <v>1135</v>
      </c>
      <c r="K196" t="s">
        <v>19</v>
      </c>
      <c r="L196" t="s">
        <v>18</v>
      </c>
      <c r="M196" t="s">
        <v>1136</v>
      </c>
      <c r="N196" t="s">
        <v>1123</v>
      </c>
      <c r="O196" t="s">
        <v>1137</v>
      </c>
    </row>
    <row r="197" spans="1:15" ht="15.75">
      <c r="A197" t="s">
        <v>217</v>
      </c>
      <c r="B197" t="s">
        <v>1211</v>
      </c>
      <c r="C197" t="s">
        <v>1257</v>
      </c>
      <c r="D197" t="s">
        <v>21</v>
      </c>
      <c r="E197">
        <v>32</v>
      </c>
      <c r="F197" t="s">
        <v>1118</v>
      </c>
      <c r="G197" t="s">
        <v>1559</v>
      </c>
      <c r="H197" t="s">
        <v>1560</v>
      </c>
      <c r="I197" s="2">
        <v>44679</v>
      </c>
      <c r="J197" t="s">
        <v>1142</v>
      </c>
      <c r="K197" t="s">
        <v>19</v>
      </c>
      <c r="L197" t="s">
        <v>18</v>
      </c>
      <c r="M197" t="s">
        <v>1143</v>
      </c>
      <c r="N197" t="s">
        <v>1123</v>
      </c>
      <c r="O197" t="s">
        <v>1144</v>
      </c>
    </row>
    <row r="198" spans="1:15" ht="15.75">
      <c r="A198" t="s">
        <v>218</v>
      </c>
      <c r="B198" t="s">
        <v>1181</v>
      </c>
      <c r="C198" t="s">
        <v>1257</v>
      </c>
      <c r="D198" t="s">
        <v>21</v>
      </c>
      <c r="E198">
        <v>42</v>
      </c>
      <c r="F198" t="s">
        <v>1139</v>
      </c>
      <c r="G198" t="s">
        <v>1561</v>
      </c>
      <c r="H198" t="s">
        <v>1562</v>
      </c>
      <c r="I198" s="2">
        <v>45047</v>
      </c>
      <c r="J198" t="s">
        <v>1121</v>
      </c>
      <c r="K198" t="s">
        <v>19</v>
      </c>
      <c r="L198" t="s">
        <v>18</v>
      </c>
      <c r="M198" t="s">
        <v>1122</v>
      </c>
      <c r="N198" t="s">
        <v>1123</v>
      </c>
      <c r="O198" t="s">
        <v>1124</v>
      </c>
    </row>
    <row r="199" spans="1:15" ht="15.75">
      <c r="A199" t="s">
        <v>219</v>
      </c>
      <c r="B199" t="s">
        <v>1148</v>
      </c>
      <c r="C199" t="s">
        <v>1257</v>
      </c>
      <c r="D199" t="s">
        <v>21</v>
      </c>
      <c r="E199">
        <v>54</v>
      </c>
      <c r="F199" t="s">
        <v>1132</v>
      </c>
      <c r="G199" t="s">
        <v>1563</v>
      </c>
      <c r="H199" t="s">
        <v>1564</v>
      </c>
      <c r="I199" s="2">
        <v>44349</v>
      </c>
      <c r="J199" t="s">
        <v>1128</v>
      </c>
      <c r="K199" t="s">
        <v>19</v>
      </c>
      <c r="L199" t="s">
        <v>18</v>
      </c>
      <c r="M199" t="s">
        <v>1129</v>
      </c>
      <c r="N199" t="s">
        <v>1123</v>
      </c>
      <c r="O199" t="s">
        <v>1130</v>
      </c>
    </row>
    <row r="200" spans="1:15" ht="15.75">
      <c r="A200" t="s">
        <v>220</v>
      </c>
      <c r="B200" t="s">
        <v>1151</v>
      </c>
      <c r="C200" t="s">
        <v>1257</v>
      </c>
      <c r="D200" t="s">
        <v>16</v>
      </c>
      <c r="E200">
        <v>45</v>
      </c>
      <c r="F200" t="s">
        <v>1139</v>
      </c>
      <c r="G200" t="s">
        <v>1565</v>
      </c>
      <c r="H200" t="s">
        <v>1566</v>
      </c>
      <c r="I200" s="2">
        <v>44745</v>
      </c>
      <c r="J200" t="s">
        <v>1135</v>
      </c>
      <c r="K200" t="s">
        <v>19</v>
      </c>
      <c r="L200" t="s">
        <v>18</v>
      </c>
      <c r="M200" t="s">
        <v>1136</v>
      </c>
      <c r="N200" t="s">
        <v>1123</v>
      </c>
      <c r="O200" t="s">
        <v>1137</v>
      </c>
    </row>
    <row r="201" spans="1:15" ht="15.75">
      <c r="A201" t="s">
        <v>221</v>
      </c>
      <c r="B201" t="s">
        <v>1154</v>
      </c>
      <c r="C201" t="s">
        <v>1257</v>
      </c>
      <c r="D201" t="s">
        <v>16</v>
      </c>
      <c r="E201">
        <v>27</v>
      </c>
      <c r="F201" t="s">
        <v>1118</v>
      </c>
      <c r="G201" t="s">
        <v>1567</v>
      </c>
      <c r="H201" t="s">
        <v>1568</v>
      </c>
      <c r="I201" s="2">
        <v>45142</v>
      </c>
      <c r="J201" t="s">
        <v>1142</v>
      </c>
      <c r="K201" t="s">
        <v>19</v>
      </c>
      <c r="L201" t="s">
        <v>18</v>
      </c>
      <c r="M201" t="s">
        <v>1143</v>
      </c>
      <c r="N201" t="s">
        <v>1123</v>
      </c>
      <c r="O201" t="s">
        <v>1144</v>
      </c>
    </row>
    <row r="202" spans="1:15" ht="15.75">
      <c r="A202" t="s">
        <v>222</v>
      </c>
      <c r="B202" t="s">
        <v>1157</v>
      </c>
      <c r="C202" t="s">
        <v>1257</v>
      </c>
      <c r="D202" t="s">
        <v>16</v>
      </c>
      <c r="E202">
        <v>56</v>
      </c>
      <c r="F202" t="s">
        <v>1132</v>
      </c>
      <c r="G202" t="s">
        <v>1569</v>
      </c>
      <c r="H202" t="s">
        <v>1570</v>
      </c>
      <c r="I202" s="2">
        <v>44444</v>
      </c>
      <c r="J202" t="s">
        <v>1121</v>
      </c>
      <c r="K202" t="s">
        <v>19</v>
      </c>
      <c r="L202" t="s">
        <v>18</v>
      </c>
      <c r="M202" t="s">
        <v>1122</v>
      </c>
      <c r="N202" t="s">
        <v>1123</v>
      </c>
      <c r="O202" t="s">
        <v>1124</v>
      </c>
    </row>
    <row r="203" spans="1:15" ht="15.75">
      <c r="A203" t="s">
        <v>223</v>
      </c>
      <c r="B203" t="s">
        <v>1160</v>
      </c>
      <c r="C203" t="s">
        <v>1257</v>
      </c>
      <c r="D203" t="s">
        <v>21</v>
      </c>
      <c r="E203">
        <v>34</v>
      </c>
      <c r="F203" t="s">
        <v>1118</v>
      </c>
      <c r="G203" t="s">
        <v>1571</v>
      </c>
      <c r="H203" t="s">
        <v>1572</v>
      </c>
      <c r="I203" s="2">
        <v>44840</v>
      </c>
      <c r="J203" t="s">
        <v>1128</v>
      </c>
      <c r="K203" t="s">
        <v>19</v>
      </c>
      <c r="L203" t="s">
        <v>18</v>
      </c>
      <c r="M203" t="s">
        <v>1129</v>
      </c>
      <c r="N203" t="s">
        <v>1123</v>
      </c>
      <c r="O203" t="s">
        <v>1130</v>
      </c>
    </row>
    <row r="204" spans="1:15" ht="15.75">
      <c r="A204" t="s">
        <v>224</v>
      </c>
      <c r="B204" t="s">
        <v>1163</v>
      </c>
      <c r="C204" t="s">
        <v>1257</v>
      </c>
      <c r="D204" t="s">
        <v>16</v>
      </c>
      <c r="E204">
        <v>56</v>
      </c>
      <c r="F204" t="s">
        <v>1132</v>
      </c>
      <c r="G204" t="s">
        <v>1573</v>
      </c>
      <c r="H204" t="s">
        <v>1574</v>
      </c>
      <c r="I204" s="2">
        <v>45237</v>
      </c>
      <c r="J204" t="s">
        <v>1135</v>
      </c>
      <c r="K204" t="s">
        <v>19</v>
      </c>
      <c r="L204" t="s">
        <v>18</v>
      </c>
      <c r="M204" t="s">
        <v>1136</v>
      </c>
      <c r="N204" t="s">
        <v>1123</v>
      </c>
      <c r="O204" t="s">
        <v>1137</v>
      </c>
    </row>
    <row r="205" spans="1:15" ht="15.75">
      <c r="A205" t="s">
        <v>225</v>
      </c>
      <c r="B205" t="s">
        <v>1167</v>
      </c>
      <c r="C205" t="s">
        <v>1257</v>
      </c>
      <c r="D205" t="s">
        <v>16</v>
      </c>
      <c r="E205">
        <v>39</v>
      </c>
      <c r="F205" t="s">
        <v>1139</v>
      </c>
      <c r="G205" t="s">
        <v>1575</v>
      </c>
      <c r="H205" t="s">
        <v>1576</v>
      </c>
      <c r="I205" s="2">
        <v>44538</v>
      </c>
      <c r="J205" t="s">
        <v>1142</v>
      </c>
      <c r="K205" t="s">
        <v>19</v>
      </c>
      <c r="L205" t="s">
        <v>18</v>
      </c>
      <c r="M205" t="s">
        <v>1143</v>
      </c>
      <c r="N205" t="s">
        <v>1123</v>
      </c>
      <c r="O205" t="s">
        <v>1144</v>
      </c>
    </row>
    <row r="206" spans="1:15" ht="15.75">
      <c r="A206" t="s">
        <v>226</v>
      </c>
      <c r="B206" t="s">
        <v>1203</v>
      </c>
      <c r="C206" t="s">
        <v>1282</v>
      </c>
      <c r="D206" t="s">
        <v>21</v>
      </c>
      <c r="E206">
        <v>43</v>
      </c>
      <c r="F206" t="s">
        <v>1139</v>
      </c>
      <c r="G206" t="s">
        <v>1577</v>
      </c>
      <c r="H206" t="s">
        <v>1578</v>
      </c>
      <c r="I206" s="2">
        <v>44570</v>
      </c>
      <c r="J206" t="s">
        <v>1121</v>
      </c>
      <c r="K206" t="s">
        <v>19</v>
      </c>
      <c r="L206" t="s">
        <v>18</v>
      </c>
      <c r="M206" t="s">
        <v>1122</v>
      </c>
      <c r="N206" t="s">
        <v>1123</v>
      </c>
      <c r="O206" t="s">
        <v>1124</v>
      </c>
    </row>
    <row r="207" spans="1:15" ht="15.75">
      <c r="A207" t="s">
        <v>227</v>
      </c>
      <c r="B207" t="s">
        <v>1173</v>
      </c>
      <c r="C207" t="s">
        <v>1282</v>
      </c>
      <c r="D207" t="s">
        <v>16</v>
      </c>
      <c r="E207">
        <v>61</v>
      </c>
      <c r="F207" t="s">
        <v>1132</v>
      </c>
      <c r="G207" t="s">
        <v>1579</v>
      </c>
      <c r="H207" t="s">
        <v>1580</v>
      </c>
      <c r="I207" s="2">
        <v>44967</v>
      </c>
      <c r="J207" t="s">
        <v>1128</v>
      </c>
      <c r="K207" t="s">
        <v>19</v>
      </c>
      <c r="L207" t="s">
        <v>18</v>
      </c>
      <c r="M207" t="s">
        <v>1129</v>
      </c>
      <c r="N207" t="s">
        <v>1123</v>
      </c>
      <c r="O207" t="s">
        <v>1130</v>
      </c>
    </row>
    <row r="208" spans="1:15" ht="15.75">
      <c r="A208" t="s">
        <v>228</v>
      </c>
      <c r="B208" t="s">
        <v>1176</v>
      </c>
      <c r="C208" t="s">
        <v>1282</v>
      </c>
      <c r="D208" t="s">
        <v>21</v>
      </c>
      <c r="E208">
        <v>42</v>
      </c>
      <c r="F208" t="s">
        <v>1139</v>
      </c>
      <c r="G208" t="s">
        <v>1581</v>
      </c>
      <c r="H208" t="s">
        <v>1582</v>
      </c>
      <c r="I208" s="2">
        <v>44266</v>
      </c>
      <c r="J208" t="s">
        <v>1135</v>
      </c>
      <c r="K208" t="s">
        <v>19</v>
      </c>
      <c r="L208" t="s">
        <v>18</v>
      </c>
      <c r="M208" t="s">
        <v>1136</v>
      </c>
      <c r="N208" t="s">
        <v>1123</v>
      </c>
      <c r="O208" t="s">
        <v>1137</v>
      </c>
    </row>
    <row r="209" spans="1:15" ht="15.75">
      <c r="A209" t="s">
        <v>229</v>
      </c>
      <c r="B209" t="s">
        <v>1211</v>
      </c>
      <c r="C209" t="s">
        <v>1282</v>
      </c>
      <c r="D209" t="s">
        <v>21</v>
      </c>
      <c r="E209">
        <v>34</v>
      </c>
      <c r="F209" t="s">
        <v>1118</v>
      </c>
      <c r="G209" t="s">
        <v>1583</v>
      </c>
      <c r="H209" t="s">
        <v>1584</v>
      </c>
      <c r="I209" s="2">
        <v>44663</v>
      </c>
      <c r="J209" t="s">
        <v>1142</v>
      </c>
      <c r="K209" t="s">
        <v>19</v>
      </c>
      <c r="L209" t="s">
        <v>18</v>
      </c>
      <c r="M209" t="s">
        <v>1143</v>
      </c>
      <c r="N209" t="s">
        <v>1123</v>
      </c>
      <c r="O209" t="s">
        <v>1144</v>
      </c>
    </row>
    <row r="210" spans="1:15" ht="15.75">
      <c r="A210" t="s">
        <v>230</v>
      </c>
      <c r="B210" t="s">
        <v>1181</v>
      </c>
      <c r="C210" t="s">
        <v>1282</v>
      </c>
      <c r="D210" t="s">
        <v>21</v>
      </c>
      <c r="E210">
        <v>30</v>
      </c>
      <c r="F210" t="s">
        <v>1118</v>
      </c>
      <c r="G210" t="s">
        <v>1585</v>
      </c>
      <c r="H210" t="s">
        <v>1586</v>
      </c>
      <c r="I210" s="2">
        <v>45059</v>
      </c>
      <c r="J210" t="s">
        <v>1121</v>
      </c>
      <c r="K210" t="s">
        <v>19</v>
      </c>
      <c r="L210" t="s">
        <v>18</v>
      </c>
      <c r="M210" t="s">
        <v>1122</v>
      </c>
      <c r="N210" t="s">
        <v>1123</v>
      </c>
      <c r="O210" t="s">
        <v>1124</v>
      </c>
    </row>
    <row r="211" spans="1:15" ht="15.75">
      <c r="A211" t="s">
        <v>231</v>
      </c>
      <c r="B211" t="s">
        <v>1241</v>
      </c>
      <c r="C211" t="s">
        <v>1282</v>
      </c>
      <c r="D211" t="s">
        <v>16</v>
      </c>
      <c r="E211">
        <v>37</v>
      </c>
      <c r="F211" t="s">
        <v>1139</v>
      </c>
      <c r="G211" t="s">
        <v>1587</v>
      </c>
      <c r="H211" t="s">
        <v>1588</v>
      </c>
      <c r="I211" s="2">
        <v>44361</v>
      </c>
      <c r="J211" t="s">
        <v>1128</v>
      </c>
      <c r="K211" t="s">
        <v>19</v>
      </c>
      <c r="L211" t="s">
        <v>18</v>
      </c>
      <c r="M211" t="s">
        <v>1129</v>
      </c>
      <c r="N211" t="s">
        <v>1123</v>
      </c>
      <c r="O211" t="s">
        <v>1130</v>
      </c>
    </row>
    <row r="212" spans="1:15" ht="15.75">
      <c r="A212" t="s">
        <v>232</v>
      </c>
      <c r="B212" t="s">
        <v>1151</v>
      </c>
      <c r="C212" t="s">
        <v>1282</v>
      </c>
      <c r="D212" t="s">
        <v>16</v>
      </c>
      <c r="E212">
        <v>42</v>
      </c>
      <c r="F212" t="s">
        <v>1139</v>
      </c>
      <c r="G212" t="s">
        <v>1589</v>
      </c>
      <c r="H212" t="s">
        <v>1590</v>
      </c>
      <c r="I212" s="2">
        <v>44757</v>
      </c>
      <c r="J212" t="s">
        <v>1135</v>
      </c>
      <c r="K212" t="s">
        <v>19</v>
      </c>
      <c r="L212" t="s">
        <v>18</v>
      </c>
      <c r="M212" t="s">
        <v>1136</v>
      </c>
      <c r="N212" t="s">
        <v>1123</v>
      </c>
      <c r="O212" t="s">
        <v>1137</v>
      </c>
    </row>
    <row r="213" spans="1:15" ht="15.75">
      <c r="A213" t="s">
        <v>233</v>
      </c>
      <c r="B213" t="s">
        <v>1154</v>
      </c>
      <c r="C213" t="s">
        <v>1282</v>
      </c>
      <c r="D213" t="s">
        <v>16</v>
      </c>
      <c r="E213">
        <v>21</v>
      </c>
      <c r="F213" t="s">
        <v>1164</v>
      </c>
      <c r="G213" t="s">
        <v>1591</v>
      </c>
      <c r="H213" t="s">
        <v>1592</v>
      </c>
      <c r="I213" s="2">
        <v>45154</v>
      </c>
      <c r="J213" t="s">
        <v>1142</v>
      </c>
      <c r="K213" t="s">
        <v>19</v>
      </c>
      <c r="L213" t="s">
        <v>18</v>
      </c>
      <c r="M213" t="s">
        <v>1143</v>
      </c>
      <c r="N213" t="s">
        <v>1123</v>
      </c>
      <c r="O213" t="s">
        <v>1144</v>
      </c>
    </row>
    <row r="214" spans="1:15" ht="15.75">
      <c r="A214" t="s">
        <v>234</v>
      </c>
      <c r="B214" t="s">
        <v>1157</v>
      </c>
      <c r="C214" t="s">
        <v>1282</v>
      </c>
      <c r="D214" t="s">
        <v>16</v>
      </c>
      <c r="E214">
        <v>27</v>
      </c>
      <c r="F214" t="s">
        <v>1118</v>
      </c>
      <c r="G214" t="s">
        <v>1593</v>
      </c>
      <c r="H214" t="s">
        <v>1594</v>
      </c>
      <c r="I214" s="2">
        <v>44456</v>
      </c>
      <c r="J214" t="s">
        <v>1121</v>
      </c>
      <c r="K214" t="s">
        <v>19</v>
      </c>
      <c r="L214" t="s">
        <v>18</v>
      </c>
      <c r="M214" t="s">
        <v>1122</v>
      </c>
      <c r="N214" t="s">
        <v>1123</v>
      </c>
      <c r="O214" t="s">
        <v>1124</v>
      </c>
    </row>
    <row r="215" spans="1:15" ht="15.75">
      <c r="A215" t="s">
        <v>235</v>
      </c>
      <c r="B215" t="s">
        <v>1194</v>
      </c>
      <c r="C215" t="s">
        <v>1282</v>
      </c>
      <c r="D215" t="s">
        <v>16</v>
      </c>
      <c r="E215">
        <v>20</v>
      </c>
      <c r="F215" t="s">
        <v>1164</v>
      </c>
      <c r="G215" t="s">
        <v>1595</v>
      </c>
      <c r="H215" t="s">
        <v>1596</v>
      </c>
      <c r="I215" s="2">
        <v>44852</v>
      </c>
      <c r="J215" t="s">
        <v>1128</v>
      </c>
      <c r="K215" t="s">
        <v>19</v>
      </c>
      <c r="L215" t="s">
        <v>18</v>
      </c>
      <c r="M215" t="s">
        <v>1129</v>
      </c>
      <c r="N215" t="s">
        <v>1123</v>
      </c>
      <c r="O215" t="s">
        <v>1130</v>
      </c>
    </row>
    <row r="216" spans="1:15" ht="15.75">
      <c r="A216" t="s">
        <v>236</v>
      </c>
      <c r="B216" t="s">
        <v>1163</v>
      </c>
      <c r="C216" t="s">
        <v>1282</v>
      </c>
      <c r="D216" t="s">
        <v>16</v>
      </c>
      <c r="E216">
        <v>58</v>
      </c>
      <c r="F216" t="s">
        <v>1132</v>
      </c>
      <c r="G216" t="s">
        <v>1597</v>
      </c>
      <c r="H216" t="s">
        <v>1598</v>
      </c>
      <c r="I216" s="2">
        <v>45249</v>
      </c>
      <c r="J216" t="s">
        <v>1135</v>
      </c>
      <c r="K216" t="s">
        <v>19</v>
      </c>
      <c r="L216" t="s">
        <v>18</v>
      </c>
      <c r="M216" t="s">
        <v>1136</v>
      </c>
      <c r="N216" t="s">
        <v>1123</v>
      </c>
      <c r="O216" t="s">
        <v>1137</v>
      </c>
    </row>
    <row r="217" spans="1:15" ht="15.75">
      <c r="A217" t="s">
        <v>237</v>
      </c>
      <c r="B217" t="s">
        <v>1167</v>
      </c>
      <c r="C217" t="s">
        <v>1282</v>
      </c>
      <c r="D217" t="s">
        <v>16</v>
      </c>
      <c r="E217">
        <v>62</v>
      </c>
      <c r="F217" t="s">
        <v>1132</v>
      </c>
      <c r="G217" t="s">
        <v>1599</v>
      </c>
      <c r="H217" t="s">
        <v>1600</v>
      </c>
      <c r="I217" s="2">
        <v>44550</v>
      </c>
      <c r="J217" t="s">
        <v>1142</v>
      </c>
      <c r="K217" t="s">
        <v>19</v>
      </c>
      <c r="L217" t="s">
        <v>18</v>
      </c>
      <c r="M217" t="s">
        <v>1143</v>
      </c>
      <c r="N217" t="s">
        <v>1123</v>
      </c>
      <c r="O217" t="s">
        <v>1144</v>
      </c>
    </row>
    <row r="218" spans="1:15" ht="15.75">
      <c r="A218" t="s">
        <v>238</v>
      </c>
      <c r="B218" t="s">
        <v>1203</v>
      </c>
      <c r="C218" t="s">
        <v>1307</v>
      </c>
      <c r="D218" t="s">
        <v>21</v>
      </c>
      <c r="E218">
        <v>35</v>
      </c>
      <c r="F218" t="s">
        <v>1118</v>
      </c>
      <c r="G218" t="s">
        <v>1601</v>
      </c>
      <c r="H218" t="s">
        <v>1602</v>
      </c>
      <c r="I218" s="2">
        <v>44582</v>
      </c>
      <c r="J218" t="s">
        <v>1121</v>
      </c>
      <c r="K218" t="s">
        <v>19</v>
      </c>
      <c r="L218" t="s">
        <v>18</v>
      </c>
      <c r="M218" t="s">
        <v>1122</v>
      </c>
      <c r="N218" t="s">
        <v>1123</v>
      </c>
      <c r="O218" t="s">
        <v>1124</v>
      </c>
    </row>
    <row r="219" spans="1:15" ht="15.75">
      <c r="A219" t="s">
        <v>239</v>
      </c>
      <c r="B219" t="s">
        <v>1173</v>
      </c>
      <c r="C219" t="s">
        <v>1307</v>
      </c>
      <c r="D219" t="s">
        <v>16</v>
      </c>
      <c r="E219">
        <v>64</v>
      </c>
      <c r="F219" t="s">
        <v>1132</v>
      </c>
      <c r="G219" t="s">
        <v>1603</v>
      </c>
      <c r="H219" t="s">
        <v>1604</v>
      </c>
      <c r="I219" s="2">
        <v>44979</v>
      </c>
      <c r="J219" t="s">
        <v>1128</v>
      </c>
      <c r="K219" t="s">
        <v>19</v>
      </c>
      <c r="L219" t="s">
        <v>18</v>
      </c>
      <c r="M219" t="s">
        <v>1129</v>
      </c>
      <c r="N219" t="s">
        <v>1123</v>
      </c>
      <c r="O219" t="s">
        <v>1130</v>
      </c>
    </row>
    <row r="220" spans="1:15" ht="15.75">
      <c r="A220" t="s">
        <v>240</v>
      </c>
      <c r="B220" t="s">
        <v>1176</v>
      </c>
      <c r="C220" t="s">
        <v>1307</v>
      </c>
      <c r="D220" t="s">
        <v>21</v>
      </c>
      <c r="E220">
        <v>53</v>
      </c>
      <c r="F220" t="s">
        <v>1132</v>
      </c>
      <c r="G220" t="s">
        <v>1605</v>
      </c>
      <c r="H220" t="s">
        <v>1606</v>
      </c>
      <c r="I220" s="2">
        <v>44278</v>
      </c>
      <c r="J220" t="s">
        <v>1135</v>
      </c>
      <c r="K220" t="s">
        <v>19</v>
      </c>
      <c r="L220" t="s">
        <v>18</v>
      </c>
      <c r="M220" t="s">
        <v>1136</v>
      </c>
      <c r="N220" t="s">
        <v>1123</v>
      </c>
      <c r="O220" t="s">
        <v>1137</v>
      </c>
    </row>
    <row r="221" spans="1:15" ht="15.75">
      <c r="A221" t="s">
        <v>241</v>
      </c>
      <c r="B221" t="s">
        <v>1138</v>
      </c>
      <c r="C221" t="s">
        <v>1307</v>
      </c>
      <c r="D221" t="s">
        <v>16</v>
      </c>
      <c r="E221">
        <v>64</v>
      </c>
      <c r="F221" t="s">
        <v>1132</v>
      </c>
      <c r="G221" t="s">
        <v>1607</v>
      </c>
      <c r="H221" t="s">
        <v>1608</v>
      </c>
      <c r="I221" s="2">
        <v>44675</v>
      </c>
      <c r="J221" t="s">
        <v>1142</v>
      </c>
      <c r="K221" t="s">
        <v>19</v>
      </c>
      <c r="L221" t="s">
        <v>18</v>
      </c>
      <c r="M221" t="s">
        <v>1143</v>
      </c>
      <c r="N221" t="s">
        <v>1123</v>
      </c>
      <c r="O221" t="s">
        <v>1144</v>
      </c>
    </row>
    <row r="222" spans="1:15" ht="15.75">
      <c r="A222" t="s">
        <v>242</v>
      </c>
      <c r="B222" t="s">
        <v>1145</v>
      </c>
      <c r="C222" t="s">
        <v>1307</v>
      </c>
      <c r="D222" t="s">
        <v>16</v>
      </c>
      <c r="E222">
        <v>39</v>
      </c>
      <c r="F222" t="s">
        <v>1139</v>
      </c>
      <c r="G222" t="s">
        <v>1609</v>
      </c>
      <c r="H222" t="s">
        <v>1610</v>
      </c>
      <c r="I222" s="2">
        <v>45071</v>
      </c>
      <c r="J222" t="s">
        <v>1121</v>
      </c>
      <c r="K222" t="s">
        <v>19</v>
      </c>
      <c r="L222" t="s">
        <v>18</v>
      </c>
      <c r="M222" t="s">
        <v>1122</v>
      </c>
      <c r="N222" t="s">
        <v>1123</v>
      </c>
      <c r="O222" t="s">
        <v>1124</v>
      </c>
    </row>
    <row r="223" spans="1:15" ht="15.75">
      <c r="A223" t="s">
        <v>243</v>
      </c>
      <c r="B223" t="s">
        <v>1241</v>
      </c>
      <c r="C223" t="s">
        <v>1307</v>
      </c>
      <c r="D223" t="s">
        <v>16</v>
      </c>
      <c r="E223">
        <v>51</v>
      </c>
      <c r="F223" t="s">
        <v>1132</v>
      </c>
      <c r="G223" t="s">
        <v>1611</v>
      </c>
      <c r="H223" t="s">
        <v>1612</v>
      </c>
      <c r="I223" s="2">
        <v>44373</v>
      </c>
      <c r="J223" t="s">
        <v>1128</v>
      </c>
      <c r="K223" t="s">
        <v>19</v>
      </c>
      <c r="L223" t="s">
        <v>18</v>
      </c>
      <c r="M223" t="s">
        <v>1129</v>
      </c>
      <c r="N223" t="s">
        <v>1123</v>
      </c>
      <c r="O223" t="s">
        <v>1130</v>
      </c>
    </row>
    <row r="224" spans="1:15" ht="15.75">
      <c r="A224" t="s">
        <v>244</v>
      </c>
      <c r="B224" t="s">
        <v>1186</v>
      </c>
      <c r="C224" t="s">
        <v>1307</v>
      </c>
      <c r="D224" t="s">
        <v>21</v>
      </c>
      <c r="E224">
        <v>64</v>
      </c>
      <c r="F224" t="s">
        <v>1132</v>
      </c>
      <c r="G224" t="s">
        <v>1613</v>
      </c>
      <c r="H224" t="s">
        <v>1614</v>
      </c>
      <c r="I224" s="2">
        <v>44769</v>
      </c>
      <c r="J224" t="s">
        <v>1135</v>
      </c>
      <c r="K224" t="s">
        <v>19</v>
      </c>
      <c r="L224" t="s">
        <v>18</v>
      </c>
      <c r="M224" t="s">
        <v>1136</v>
      </c>
      <c r="N224" t="s">
        <v>1123</v>
      </c>
      <c r="O224" t="s">
        <v>1137</v>
      </c>
    </row>
    <row r="225" spans="1:15" ht="15.75">
      <c r="A225" t="s">
        <v>245</v>
      </c>
      <c r="B225" t="s">
        <v>1246</v>
      </c>
      <c r="C225" t="s">
        <v>1307</v>
      </c>
      <c r="D225" t="s">
        <v>21</v>
      </c>
      <c r="E225">
        <v>25</v>
      </c>
      <c r="F225" t="s">
        <v>1164</v>
      </c>
      <c r="G225" t="s">
        <v>1615</v>
      </c>
      <c r="H225" t="s">
        <v>1616</v>
      </c>
      <c r="I225" s="2">
        <v>45166</v>
      </c>
      <c r="J225" t="s">
        <v>1142</v>
      </c>
      <c r="K225" t="s">
        <v>19</v>
      </c>
      <c r="L225" t="s">
        <v>18</v>
      </c>
      <c r="M225" t="s">
        <v>1143</v>
      </c>
      <c r="N225" t="s">
        <v>1123</v>
      </c>
      <c r="O225" t="s">
        <v>1144</v>
      </c>
    </row>
    <row r="226" spans="1:15" ht="15.75">
      <c r="A226" t="s">
        <v>246</v>
      </c>
      <c r="B226" t="s">
        <v>1191</v>
      </c>
      <c r="C226" t="s">
        <v>1307</v>
      </c>
      <c r="D226" t="s">
        <v>21</v>
      </c>
      <c r="E226">
        <v>57</v>
      </c>
      <c r="F226" t="s">
        <v>1132</v>
      </c>
      <c r="G226" t="s">
        <v>1617</v>
      </c>
      <c r="H226" t="s">
        <v>1618</v>
      </c>
      <c r="I226" s="2">
        <v>44440</v>
      </c>
      <c r="J226" t="s">
        <v>1121</v>
      </c>
      <c r="K226" t="s">
        <v>19</v>
      </c>
      <c r="L226" t="s">
        <v>18</v>
      </c>
      <c r="M226" t="s">
        <v>1122</v>
      </c>
      <c r="N226" t="s">
        <v>1123</v>
      </c>
      <c r="O226" t="s">
        <v>1124</v>
      </c>
    </row>
    <row r="227" spans="1:15" ht="15.75">
      <c r="A227" t="s">
        <v>247</v>
      </c>
      <c r="B227" t="s">
        <v>1160</v>
      </c>
      <c r="C227" t="s">
        <v>1307</v>
      </c>
      <c r="D227" t="s">
        <v>21</v>
      </c>
      <c r="E227">
        <v>61</v>
      </c>
      <c r="F227" t="s">
        <v>1132</v>
      </c>
      <c r="G227" t="s">
        <v>1619</v>
      </c>
      <c r="H227" t="s">
        <v>1620</v>
      </c>
      <c r="I227" s="2">
        <v>44836</v>
      </c>
      <c r="J227" t="s">
        <v>1128</v>
      </c>
      <c r="K227" t="s">
        <v>19</v>
      </c>
      <c r="L227" t="s">
        <v>18</v>
      </c>
      <c r="M227" t="s">
        <v>1129</v>
      </c>
      <c r="N227" t="s">
        <v>1123</v>
      </c>
      <c r="O227" t="s">
        <v>1130</v>
      </c>
    </row>
    <row r="228" spans="1:15" ht="15.75">
      <c r="A228" t="s">
        <v>248</v>
      </c>
      <c r="B228" t="s">
        <v>1163</v>
      </c>
      <c r="C228" t="s">
        <v>1307</v>
      </c>
      <c r="D228" t="s">
        <v>16</v>
      </c>
      <c r="E228">
        <v>36</v>
      </c>
      <c r="F228" t="s">
        <v>1139</v>
      </c>
      <c r="G228" t="s">
        <v>1621</v>
      </c>
      <c r="H228" t="s">
        <v>1622</v>
      </c>
      <c r="I228" s="2">
        <v>45233</v>
      </c>
      <c r="J228" t="s">
        <v>1135</v>
      </c>
      <c r="K228" t="s">
        <v>19</v>
      </c>
      <c r="L228" t="s">
        <v>18</v>
      </c>
      <c r="M228" t="s">
        <v>1136</v>
      </c>
      <c r="N228" t="s">
        <v>1123</v>
      </c>
      <c r="O228" t="s">
        <v>1137</v>
      </c>
    </row>
    <row r="229" spans="1:15" ht="15.75">
      <c r="A229" t="s">
        <v>249</v>
      </c>
      <c r="B229" t="s">
        <v>1200</v>
      </c>
      <c r="C229" t="s">
        <v>1307</v>
      </c>
      <c r="D229" t="s">
        <v>21</v>
      </c>
      <c r="E229">
        <v>59</v>
      </c>
      <c r="F229" t="s">
        <v>1132</v>
      </c>
      <c r="G229" t="s">
        <v>1623</v>
      </c>
      <c r="H229" t="s">
        <v>1624</v>
      </c>
      <c r="I229" s="2">
        <v>44534</v>
      </c>
      <c r="J229" t="s">
        <v>1142</v>
      </c>
      <c r="K229" t="s">
        <v>19</v>
      </c>
      <c r="L229" t="s">
        <v>18</v>
      </c>
      <c r="M229" t="s">
        <v>1143</v>
      </c>
      <c r="N229" t="s">
        <v>1123</v>
      </c>
      <c r="O229" t="s">
        <v>1144</v>
      </c>
    </row>
    <row r="230" spans="1:15" ht="15.75">
      <c r="A230" t="s">
        <v>250</v>
      </c>
      <c r="B230" t="s">
        <v>1116</v>
      </c>
      <c r="C230" t="s">
        <v>1332</v>
      </c>
      <c r="D230" t="s">
        <v>16</v>
      </c>
      <c r="E230">
        <v>58</v>
      </c>
      <c r="F230" t="s">
        <v>1132</v>
      </c>
      <c r="G230" t="s">
        <v>1625</v>
      </c>
      <c r="H230" t="s">
        <v>1626</v>
      </c>
      <c r="I230" s="2">
        <v>44566</v>
      </c>
      <c r="J230" t="s">
        <v>1121</v>
      </c>
      <c r="K230" t="s">
        <v>19</v>
      </c>
      <c r="L230" t="s">
        <v>18</v>
      </c>
      <c r="M230" t="s">
        <v>1122</v>
      </c>
      <c r="N230" t="s">
        <v>1123</v>
      </c>
      <c r="O230" t="s">
        <v>1124</v>
      </c>
    </row>
    <row r="231" spans="1:15" ht="15.75">
      <c r="A231" t="s">
        <v>251</v>
      </c>
      <c r="B231" t="s">
        <v>1173</v>
      </c>
      <c r="C231" t="s">
        <v>1332</v>
      </c>
      <c r="D231" t="s">
        <v>16</v>
      </c>
      <c r="E231">
        <v>54</v>
      </c>
      <c r="F231" t="s">
        <v>1132</v>
      </c>
      <c r="G231" t="s">
        <v>1627</v>
      </c>
      <c r="H231" t="s">
        <v>1628</v>
      </c>
      <c r="I231" s="2">
        <v>44963</v>
      </c>
      <c r="J231" t="s">
        <v>1128</v>
      </c>
      <c r="K231" t="s">
        <v>19</v>
      </c>
      <c r="L231" t="s">
        <v>18</v>
      </c>
      <c r="M231" t="s">
        <v>1129</v>
      </c>
      <c r="N231" t="s">
        <v>1123</v>
      </c>
      <c r="O231" t="s">
        <v>1130</v>
      </c>
    </row>
    <row r="232" spans="1:15" ht="15.75">
      <c r="A232" t="s">
        <v>252</v>
      </c>
      <c r="B232" t="s">
        <v>1176</v>
      </c>
      <c r="C232" t="s">
        <v>1332</v>
      </c>
      <c r="D232" t="s">
        <v>21</v>
      </c>
      <c r="E232">
        <v>23</v>
      </c>
      <c r="F232" t="s">
        <v>1164</v>
      </c>
      <c r="G232" t="s">
        <v>1629</v>
      </c>
      <c r="H232" t="s">
        <v>1630</v>
      </c>
      <c r="I232" s="2">
        <v>44262</v>
      </c>
      <c r="J232" t="s">
        <v>1135</v>
      </c>
      <c r="K232" t="s">
        <v>19</v>
      </c>
      <c r="L232" t="s">
        <v>18</v>
      </c>
      <c r="M232" t="s">
        <v>1136</v>
      </c>
      <c r="N232" t="s">
        <v>1123</v>
      </c>
      <c r="O232" t="s">
        <v>1137</v>
      </c>
    </row>
    <row r="233" spans="1:15" ht="15.75">
      <c r="A233" t="s">
        <v>253</v>
      </c>
      <c r="B233" t="s">
        <v>1211</v>
      </c>
      <c r="C233" t="s">
        <v>1332</v>
      </c>
      <c r="D233" t="s">
        <v>21</v>
      </c>
      <c r="E233">
        <v>43</v>
      </c>
      <c r="F233" t="s">
        <v>1139</v>
      </c>
      <c r="G233" t="s">
        <v>1631</v>
      </c>
      <c r="H233" t="s">
        <v>1632</v>
      </c>
      <c r="I233" s="2">
        <v>44659</v>
      </c>
      <c r="J233" t="s">
        <v>1142</v>
      </c>
      <c r="K233" t="s">
        <v>19</v>
      </c>
      <c r="L233" t="s">
        <v>18</v>
      </c>
      <c r="M233" t="s">
        <v>1143</v>
      </c>
      <c r="N233" t="s">
        <v>1123</v>
      </c>
      <c r="O233" t="s">
        <v>1144</v>
      </c>
    </row>
    <row r="234" spans="1:15" ht="15.75">
      <c r="A234" t="s">
        <v>254</v>
      </c>
      <c r="B234" t="s">
        <v>1181</v>
      </c>
      <c r="C234" t="s">
        <v>1332</v>
      </c>
      <c r="D234" t="s">
        <v>21</v>
      </c>
      <c r="E234">
        <v>51</v>
      </c>
      <c r="F234" t="s">
        <v>1132</v>
      </c>
      <c r="G234" t="s">
        <v>1633</v>
      </c>
      <c r="H234" t="s">
        <v>1634</v>
      </c>
      <c r="I234" s="2">
        <v>45055</v>
      </c>
      <c r="J234" t="s">
        <v>1121</v>
      </c>
      <c r="K234" t="s">
        <v>19</v>
      </c>
      <c r="L234" t="s">
        <v>18</v>
      </c>
      <c r="M234" t="s">
        <v>1122</v>
      </c>
      <c r="N234" t="s">
        <v>1123</v>
      </c>
      <c r="O234" t="s">
        <v>1124</v>
      </c>
    </row>
    <row r="235" spans="1:15" ht="15.75">
      <c r="A235" t="s">
        <v>255</v>
      </c>
      <c r="B235" t="s">
        <v>1148</v>
      </c>
      <c r="C235" t="s">
        <v>1332</v>
      </c>
      <c r="D235" t="s">
        <v>21</v>
      </c>
      <c r="E235">
        <v>62</v>
      </c>
      <c r="F235" t="s">
        <v>1132</v>
      </c>
      <c r="G235" t="s">
        <v>1635</v>
      </c>
      <c r="H235" t="s">
        <v>1636</v>
      </c>
      <c r="I235" s="2">
        <v>44357</v>
      </c>
      <c r="J235" t="s">
        <v>1128</v>
      </c>
      <c r="K235" t="s">
        <v>19</v>
      </c>
      <c r="L235" t="s">
        <v>18</v>
      </c>
      <c r="M235" t="s">
        <v>1129</v>
      </c>
      <c r="N235" t="s">
        <v>1123</v>
      </c>
      <c r="O235" t="s">
        <v>1130</v>
      </c>
    </row>
    <row r="236" spans="1:15" ht="15.75">
      <c r="A236" t="s">
        <v>256</v>
      </c>
      <c r="B236" t="s">
        <v>1186</v>
      </c>
      <c r="C236" t="s">
        <v>1332</v>
      </c>
      <c r="D236" t="s">
        <v>21</v>
      </c>
      <c r="E236">
        <v>23</v>
      </c>
      <c r="F236" t="s">
        <v>1164</v>
      </c>
      <c r="G236" t="s">
        <v>1637</v>
      </c>
      <c r="H236" t="s">
        <v>1638</v>
      </c>
      <c r="I236" s="2">
        <v>44753</v>
      </c>
      <c r="J236" t="s">
        <v>1135</v>
      </c>
      <c r="K236" t="s">
        <v>19</v>
      </c>
      <c r="L236" t="s">
        <v>18</v>
      </c>
      <c r="M236" t="s">
        <v>1136</v>
      </c>
      <c r="N236" t="s">
        <v>1123</v>
      </c>
      <c r="O236" t="s">
        <v>1137</v>
      </c>
    </row>
    <row r="237" spans="1:15" ht="15.75">
      <c r="A237" t="s">
        <v>257</v>
      </c>
      <c r="B237" t="s">
        <v>1246</v>
      </c>
      <c r="C237" t="s">
        <v>1332</v>
      </c>
      <c r="D237" t="s">
        <v>21</v>
      </c>
      <c r="E237">
        <v>54</v>
      </c>
      <c r="F237" t="s">
        <v>1132</v>
      </c>
      <c r="G237" t="s">
        <v>1639</v>
      </c>
      <c r="H237" t="s">
        <v>1640</v>
      </c>
      <c r="I237" s="2">
        <v>45150</v>
      </c>
      <c r="J237" t="s">
        <v>1142</v>
      </c>
      <c r="K237" t="s">
        <v>19</v>
      </c>
      <c r="L237" t="s">
        <v>18</v>
      </c>
      <c r="M237" t="s">
        <v>1143</v>
      </c>
      <c r="N237" t="s">
        <v>1123</v>
      </c>
      <c r="O237" t="s">
        <v>1144</v>
      </c>
    </row>
    <row r="238" spans="1:15" ht="15.75">
      <c r="A238" t="s">
        <v>258</v>
      </c>
      <c r="B238" t="s">
        <v>1191</v>
      </c>
      <c r="C238" t="s">
        <v>1332</v>
      </c>
      <c r="D238" t="s">
        <v>21</v>
      </c>
      <c r="E238">
        <v>50</v>
      </c>
      <c r="F238" t="s">
        <v>1132</v>
      </c>
      <c r="G238" t="s">
        <v>1641</v>
      </c>
      <c r="H238" t="s">
        <v>1642</v>
      </c>
      <c r="I238" s="2">
        <v>44452</v>
      </c>
      <c r="J238" t="s">
        <v>1121</v>
      </c>
      <c r="K238" t="s">
        <v>19</v>
      </c>
      <c r="L238" t="s">
        <v>18</v>
      </c>
      <c r="M238" t="s">
        <v>1122</v>
      </c>
      <c r="N238" t="s">
        <v>1123</v>
      </c>
      <c r="O238" t="s">
        <v>1124</v>
      </c>
    </row>
    <row r="239" spans="1:15" ht="15.75">
      <c r="A239" t="s">
        <v>259</v>
      </c>
      <c r="B239" t="s">
        <v>1160</v>
      </c>
      <c r="C239" t="s">
        <v>1332</v>
      </c>
      <c r="D239" t="s">
        <v>21</v>
      </c>
      <c r="E239">
        <v>39</v>
      </c>
      <c r="F239" t="s">
        <v>1139</v>
      </c>
      <c r="G239" t="s">
        <v>1643</v>
      </c>
      <c r="H239" t="s">
        <v>1644</v>
      </c>
      <c r="I239" s="2">
        <v>44848</v>
      </c>
      <c r="J239" t="s">
        <v>1128</v>
      </c>
      <c r="K239" t="s">
        <v>19</v>
      </c>
      <c r="L239" t="s">
        <v>18</v>
      </c>
      <c r="M239" t="s">
        <v>1129</v>
      </c>
      <c r="N239" t="s">
        <v>1123</v>
      </c>
      <c r="O239" t="s">
        <v>1130</v>
      </c>
    </row>
    <row r="240" spans="1:15" ht="15.75">
      <c r="A240" t="s">
        <v>260</v>
      </c>
      <c r="B240" t="s">
        <v>1163</v>
      </c>
      <c r="C240" t="s">
        <v>1332</v>
      </c>
      <c r="D240" t="s">
        <v>16</v>
      </c>
      <c r="E240">
        <v>38</v>
      </c>
      <c r="F240" t="s">
        <v>1139</v>
      </c>
      <c r="G240" t="s">
        <v>1645</v>
      </c>
      <c r="H240" t="s">
        <v>1646</v>
      </c>
      <c r="I240" s="2">
        <v>45245</v>
      </c>
      <c r="J240" t="s">
        <v>1135</v>
      </c>
      <c r="K240" t="s">
        <v>19</v>
      </c>
      <c r="L240" t="s">
        <v>18</v>
      </c>
      <c r="M240" t="s">
        <v>1136</v>
      </c>
      <c r="N240" t="s">
        <v>1123</v>
      </c>
      <c r="O240" t="s">
        <v>1137</v>
      </c>
    </row>
    <row r="241" spans="1:15" ht="15.75">
      <c r="A241" t="s">
        <v>261</v>
      </c>
      <c r="B241" t="s">
        <v>1200</v>
      </c>
      <c r="C241" t="s">
        <v>1332</v>
      </c>
      <c r="D241" t="s">
        <v>21</v>
      </c>
      <c r="E241">
        <v>23</v>
      </c>
      <c r="F241" t="s">
        <v>1164</v>
      </c>
      <c r="G241" t="s">
        <v>1647</v>
      </c>
      <c r="H241" t="s">
        <v>1648</v>
      </c>
      <c r="I241" s="2">
        <v>44546</v>
      </c>
      <c r="J241" t="s">
        <v>1142</v>
      </c>
      <c r="K241" t="s">
        <v>19</v>
      </c>
      <c r="L241" t="s">
        <v>18</v>
      </c>
      <c r="M241" t="s">
        <v>1143</v>
      </c>
      <c r="N241" t="s">
        <v>1123</v>
      </c>
      <c r="O241" t="s">
        <v>1144</v>
      </c>
    </row>
    <row r="242" spans="1:15" ht="15.75">
      <c r="A242" t="s">
        <v>262</v>
      </c>
      <c r="B242" t="s">
        <v>1203</v>
      </c>
      <c r="C242" t="s">
        <v>1357</v>
      </c>
      <c r="D242" t="s">
        <v>21</v>
      </c>
      <c r="E242">
        <v>23</v>
      </c>
      <c r="F242" t="s">
        <v>1164</v>
      </c>
      <c r="G242" t="s">
        <v>1649</v>
      </c>
      <c r="H242" t="s">
        <v>1650</v>
      </c>
      <c r="I242" s="2">
        <v>44578</v>
      </c>
      <c r="J242" t="s">
        <v>1121</v>
      </c>
      <c r="K242" t="s">
        <v>19</v>
      </c>
      <c r="L242" t="s">
        <v>18</v>
      </c>
      <c r="M242" t="s">
        <v>1122</v>
      </c>
      <c r="N242" t="s">
        <v>1123</v>
      </c>
      <c r="O242" t="s">
        <v>1124</v>
      </c>
    </row>
    <row r="243" spans="1:15" ht="15.75">
      <c r="A243" t="s">
        <v>263</v>
      </c>
      <c r="B243" t="s">
        <v>1173</v>
      </c>
      <c r="C243" t="s">
        <v>1357</v>
      </c>
      <c r="D243" t="s">
        <v>16</v>
      </c>
      <c r="E243">
        <v>21</v>
      </c>
      <c r="F243" t="s">
        <v>1164</v>
      </c>
      <c r="G243" t="s">
        <v>1651</v>
      </c>
      <c r="H243" t="s">
        <v>1652</v>
      </c>
      <c r="I243" s="2">
        <v>44975</v>
      </c>
      <c r="J243" t="s">
        <v>1128</v>
      </c>
      <c r="K243" t="s">
        <v>19</v>
      </c>
      <c r="L243" t="s">
        <v>18</v>
      </c>
      <c r="M243" t="s">
        <v>1129</v>
      </c>
      <c r="N243" t="s">
        <v>1123</v>
      </c>
      <c r="O243" t="s">
        <v>1130</v>
      </c>
    </row>
    <row r="244" spans="1:15" ht="15.75">
      <c r="A244" t="s">
        <v>264</v>
      </c>
      <c r="B244" t="s">
        <v>1176</v>
      </c>
      <c r="C244" t="s">
        <v>1357</v>
      </c>
      <c r="D244" t="s">
        <v>21</v>
      </c>
      <c r="E244">
        <v>47</v>
      </c>
      <c r="F244" t="s">
        <v>1132</v>
      </c>
      <c r="G244" t="s">
        <v>1653</v>
      </c>
      <c r="H244" t="s">
        <v>1654</v>
      </c>
      <c r="I244" s="2">
        <v>44274</v>
      </c>
      <c r="J244" t="s">
        <v>1135</v>
      </c>
      <c r="K244" t="s">
        <v>19</v>
      </c>
      <c r="L244" t="s">
        <v>18</v>
      </c>
      <c r="M244" t="s">
        <v>1136</v>
      </c>
      <c r="N244" t="s">
        <v>1123</v>
      </c>
      <c r="O244" t="s">
        <v>1137</v>
      </c>
    </row>
    <row r="245" spans="1:15" ht="15.75">
      <c r="A245" t="s">
        <v>265</v>
      </c>
      <c r="B245" t="s">
        <v>1138</v>
      </c>
      <c r="C245" t="s">
        <v>1357</v>
      </c>
      <c r="D245" t="s">
        <v>16</v>
      </c>
      <c r="E245">
        <v>28</v>
      </c>
      <c r="F245" t="s">
        <v>1118</v>
      </c>
      <c r="G245" t="s">
        <v>1655</v>
      </c>
      <c r="H245" t="s">
        <v>1656</v>
      </c>
      <c r="I245" s="2">
        <v>44671</v>
      </c>
      <c r="J245" t="s">
        <v>1142</v>
      </c>
      <c r="K245" t="s">
        <v>19</v>
      </c>
      <c r="L245" t="s">
        <v>18</v>
      </c>
      <c r="M245" t="s">
        <v>1143</v>
      </c>
      <c r="N245" t="s">
        <v>1123</v>
      </c>
      <c r="O245" t="s">
        <v>1144</v>
      </c>
    </row>
    <row r="246" spans="1:15" ht="15.75">
      <c r="A246" t="s">
        <v>266</v>
      </c>
      <c r="B246" t="s">
        <v>1145</v>
      </c>
      <c r="C246" t="s">
        <v>1357</v>
      </c>
      <c r="D246" t="s">
        <v>16</v>
      </c>
      <c r="E246">
        <v>47</v>
      </c>
      <c r="F246" t="s">
        <v>1132</v>
      </c>
      <c r="G246" t="s">
        <v>1657</v>
      </c>
      <c r="H246" t="s">
        <v>1658</v>
      </c>
      <c r="I246" s="2">
        <v>45067</v>
      </c>
      <c r="J246" t="s">
        <v>1121</v>
      </c>
      <c r="K246" t="s">
        <v>19</v>
      </c>
      <c r="L246" t="s">
        <v>18</v>
      </c>
      <c r="M246" t="s">
        <v>1122</v>
      </c>
      <c r="N246" t="s">
        <v>1123</v>
      </c>
      <c r="O246" t="s">
        <v>1124</v>
      </c>
    </row>
    <row r="247" spans="1:15" ht="15.75">
      <c r="A247" t="s">
        <v>267</v>
      </c>
      <c r="B247" t="s">
        <v>1148</v>
      </c>
      <c r="C247" t="s">
        <v>1357</v>
      </c>
      <c r="D247" t="s">
        <v>21</v>
      </c>
      <c r="E247">
        <v>48</v>
      </c>
      <c r="F247" t="s">
        <v>1132</v>
      </c>
      <c r="G247" t="s">
        <v>1659</v>
      </c>
      <c r="H247" t="s">
        <v>1660</v>
      </c>
      <c r="I247" s="2">
        <v>44369</v>
      </c>
      <c r="J247" t="s">
        <v>1128</v>
      </c>
      <c r="K247" t="s">
        <v>19</v>
      </c>
      <c r="L247" t="s">
        <v>18</v>
      </c>
      <c r="M247" t="s">
        <v>1129</v>
      </c>
      <c r="N247" t="s">
        <v>1123</v>
      </c>
      <c r="O247" t="s">
        <v>1130</v>
      </c>
    </row>
    <row r="248" spans="1:15" ht="15.75">
      <c r="A248" t="s">
        <v>268</v>
      </c>
      <c r="B248" t="s">
        <v>1151</v>
      </c>
      <c r="C248" t="s">
        <v>1357</v>
      </c>
      <c r="D248" t="s">
        <v>16</v>
      </c>
      <c r="E248">
        <v>41</v>
      </c>
      <c r="F248" t="s">
        <v>1139</v>
      </c>
      <c r="G248" t="s">
        <v>1661</v>
      </c>
      <c r="H248" t="s">
        <v>1662</v>
      </c>
      <c r="I248" s="2">
        <v>44765</v>
      </c>
      <c r="J248" t="s">
        <v>1135</v>
      </c>
      <c r="K248" t="s">
        <v>19</v>
      </c>
      <c r="L248" t="s">
        <v>18</v>
      </c>
      <c r="M248" t="s">
        <v>1136</v>
      </c>
      <c r="N248" t="s">
        <v>1123</v>
      </c>
      <c r="O248" t="s">
        <v>1137</v>
      </c>
    </row>
    <row r="249" spans="1:15" ht="15.75">
      <c r="A249" t="s">
        <v>269</v>
      </c>
      <c r="B249" t="s">
        <v>1154</v>
      </c>
      <c r="C249" t="s">
        <v>1357</v>
      </c>
      <c r="D249" t="s">
        <v>16</v>
      </c>
      <c r="E249">
        <v>26</v>
      </c>
      <c r="F249" t="s">
        <v>1118</v>
      </c>
      <c r="G249" t="s">
        <v>1663</v>
      </c>
      <c r="H249" t="s">
        <v>1664</v>
      </c>
      <c r="I249" s="2">
        <v>45162</v>
      </c>
      <c r="J249" t="s">
        <v>1142</v>
      </c>
      <c r="K249" t="s">
        <v>19</v>
      </c>
      <c r="L249" t="s">
        <v>18</v>
      </c>
      <c r="M249" t="s">
        <v>1143</v>
      </c>
      <c r="N249" t="s">
        <v>1123</v>
      </c>
      <c r="O249" t="s">
        <v>1144</v>
      </c>
    </row>
    <row r="250" spans="1:15" ht="15.75">
      <c r="A250" t="s">
        <v>270</v>
      </c>
      <c r="B250" t="s">
        <v>1157</v>
      </c>
      <c r="C250" t="s">
        <v>1357</v>
      </c>
      <c r="D250" t="s">
        <v>16</v>
      </c>
      <c r="E250">
        <v>20</v>
      </c>
      <c r="F250" t="s">
        <v>1164</v>
      </c>
      <c r="G250" t="s">
        <v>1665</v>
      </c>
      <c r="H250" t="s">
        <v>1666</v>
      </c>
      <c r="I250" s="2">
        <v>44464</v>
      </c>
      <c r="J250" t="s">
        <v>1121</v>
      </c>
      <c r="K250" t="s">
        <v>19</v>
      </c>
      <c r="L250" t="s">
        <v>18</v>
      </c>
      <c r="M250" t="s">
        <v>1122</v>
      </c>
      <c r="N250" t="s">
        <v>1123</v>
      </c>
      <c r="O250" t="s">
        <v>1124</v>
      </c>
    </row>
    <row r="251" spans="1:15" ht="15.75">
      <c r="A251" t="s">
        <v>271</v>
      </c>
      <c r="B251" t="s">
        <v>1194</v>
      </c>
      <c r="C251" t="s">
        <v>1357</v>
      </c>
      <c r="D251" t="s">
        <v>16</v>
      </c>
      <c r="E251">
        <v>48</v>
      </c>
      <c r="F251" t="s">
        <v>1132</v>
      </c>
      <c r="G251" t="s">
        <v>1667</v>
      </c>
      <c r="H251" t="s">
        <v>1668</v>
      </c>
      <c r="I251" s="2">
        <v>44860</v>
      </c>
      <c r="J251" t="s">
        <v>1128</v>
      </c>
      <c r="K251" t="s">
        <v>19</v>
      </c>
      <c r="L251" t="s">
        <v>18</v>
      </c>
      <c r="M251" t="s">
        <v>1129</v>
      </c>
      <c r="N251" t="s">
        <v>1123</v>
      </c>
      <c r="O251" t="s">
        <v>1130</v>
      </c>
    </row>
    <row r="252" spans="1:15" ht="15.75">
      <c r="A252" t="s">
        <v>272</v>
      </c>
      <c r="B252" t="s">
        <v>1197</v>
      </c>
      <c r="C252" t="s">
        <v>1357</v>
      </c>
      <c r="D252" t="s">
        <v>21</v>
      </c>
      <c r="E252">
        <v>57</v>
      </c>
      <c r="F252" t="s">
        <v>1132</v>
      </c>
      <c r="G252" t="s">
        <v>1669</v>
      </c>
      <c r="H252" t="s">
        <v>1670</v>
      </c>
      <c r="I252" s="2">
        <v>45257</v>
      </c>
      <c r="J252" t="s">
        <v>1135</v>
      </c>
      <c r="K252" t="s">
        <v>274</v>
      </c>
      <c r="L252" t="s">
        <v>273</v>
      </c>
      <c r="M252" t="s">
        <v>1671</v>
      </c>
      <c r="N252" t="s">
        <v>1672</v>
      </c>
      <c r="O252" t="s">
        <v>1673</v>
      </c>
    </row>
    <row r="253" spans="1:15" ht="15.75">
      <c r="A253" t="s">
        <v>275</v>
      </c>
      <c r="B253" t="s">
        <v>1167</v>
      </c>
      <c r="C253" t="s">
        <v>1357</v>
      </c>
      <c r="D253" t="s">
        <v>16</v>
      </c>
      <c r="E253">
        <v>54</v>
      </c>
      <c r="F253" t="s">
        <v>1132</v>
      </c>
      <c r="G253" t="s">
        <v>1674</v>
      </c>
      <c r="H253" t="s">
        <v>1675</v>
      </c>
      <c r="I253" s="2">
        <v>44558</v>
      </c>
      <c r="J253" t="s">
        <v>1142</v>
      </c>
      <c r="K253" t="s">
        <v>274</v>
      </c>
      <c r="L253" t="s">
        <v>273</v>
      </c>
      <c r="M253" t="s">
        <v>1676</v>
      </c>
      <c r="N253" t="s">
        <v>1672</v>
      </c>
      <c r="O253" t="s">
        <v>1677</v>
      </c>
    </row>
    <row r="254" spans="1:15" ht="15.75">
      <c r="A254" t="s">
        <v>276</v>
      </c>
      <c r="B254" t="s">
        <v>1203</v>
      </c>
      <c r="C254" t="s">
        <v>1382</v>
      </c>
      <c r="D254" t="s">
        <v>21</v>
      </c>
      <c r="E254">
        <v>53</v>
      </c>
      <c r="F254" t="s">
        <v>1132</v>
      </c>
      <c r="G254" t="s">
        <v>1678</v>
      </c>
      <c r="H254" t="s">
        <v>1679</v>
      </c>
      <c r="I254" s="2">
        <v>44562</v>
      </c>
      <c r="J254" t="s">
        <v>1121</v>
      </c>
      <c r="K254" t="s">
        <v>274</v>
      </c>
      <c r="L254" t="s">
        <v>273</v>
      </c>
      <c r="M254" t="s">
        <v>1680</v>
      </c>
      <c r="N254" t="s">
        <v>1672</v>
      </c>
      <c r="O254" t="s">
        <v>1681</v>
      </c>
    </row>
    <row r="255" spans="1:15" ht="15.75">
      <c r="A255" t="s">
        <v>277</v>
      </c>
      <c r="B255" t="s">
        <v>1173</v>
      </c>
      <c r="C255" t="s">
        <v>1382</v>
      </c>
      <c r="D255" t="s">
        <v>16</v>
      </c>
      <c r="E255">
        <v>41</v>
      </c>
      <c r="F255" t="s">
        <v>1139</v>
      </c>
      <c r="G255" t="s">
        <v>1682</v>
      </c>
      <c r="H255" t="s">
        <v>1683</v>
      </c>
      <c r="I255" s="2">
        <v>44959</v>
      </c>
      <c r="J255" t="s">
        <v>1128</v>
      </c>
      <c r="K255" t="s">
        <v>274</v>
      </c>
      <c r="L255" t="s">
        <v>273</v>
      </c>
      <c r="M255" t="s">
        <v>1684</v>
      </c>
      <c r="N255" t="s">
        <v>1672</v>
      </c>
      <c r="O255" t="s">
        <v>1685</v>
      </c>
    </row>
    <row r="256" spans="1:15" ht="15.75">
      <c r="A256" t="s">
        <v>278</v>
      </c>
      <c r="B256" t="s">
        <v>1131</v>
      </c>
      <c r="C256" t="s">
        <v>1382</v>
      </c>
      <c r="D256" t="s">
        <v>16</v>
      </c>
      <c r="E256">
        <v>48</v>
      </c>
      <c r="F256" t="s">
        <v>1132</v>
      </c>
      <c r="G256" t="s">
        <v>1686</v>
      </c>
      <c r="H256" t="s">
        <v>1687</v>
      </c>
      <c r="I256" s="2">
        <v>44258</v>
      </c>
      <c r="J256" t="s">
        <v>1135</v>
      </c>
      <c r="K256" t="s">
        <v>274</v>
      </c>
      <c r="L256" t="s">
        <v>273</v>
      </c>
      <c r="M256" t="s">
        <v>1671</v>
      </c>
      <c r="N256" t="s">
        <v>1672</v>
      </c>
      <c r="O256" t="s">
        <v>1673</v>
      </c>
    </row>
    <row r="257" spans="1:15" ht="15.75">
      <c r="A257" t="s">
        <v>279</v>
      </c>
      <c r="B257" t="s">
        <v>1138</v>
      </c>
      <c r="C257" t="s">
        <v>1382</v>
      </c>
      <c r="D257" t="s">
        <v>16</v>
      </c>
      <c r="E257">
        <v>23</v>
      </c>
      <c r="F257" t="s">
        <v>1164</v>
      </c>
      <c r="G257" t="s">
        <v>1688</v>
      </c>
      <c r="H257" t="s">
        <v>1689</v>
      </c>
      <c r="I257" s="2">
        <v>44655</v>
      </c>
      <c r="J257" t="s">
        <v>1142</v>
      </c>
      <c r="K257" t="s">
        <v>274</v>
      </c>
      <c r="L257" t="s">
        <v>273</v>
      </c>
      <c r="M257" t="s">
        <v>1676</v>
      </c>
      <c r="N257" t="s">
        <v>1672</v>
      </c>
      <c r="O257" t="s">
        <v>1677</v>
      </c>
    </row>
    <row r="258" spans="1:15" ht="15.75">
      <c r="A258" t="s">
        <v>280</v>
      </c>
      <c r="B258" t="s">
        <v>1145</v>
      </c>
      <c r="C258" t="s">
        <v>1382</v>
      </c>
      <c r="D258" t="s">
        <v>16</v>
      </c>
      <c r="E258">
        <v>19</v>
      </c>
      <c r="F258" t="s">
        <v>1164</v>
      </c>
      <c r="G258" t="s">
        <v>1690</v>
      </c>
      <c r="H258" t="s">
        <v>1691</v>
      </c>
      <c r="I258" s="2">
        <v>45051</v>
      </c>
      <c r="J258" t="s">
        <v>1121</v>
      </c>
      <c r="K258" t="s">
        <v>274</v>
      </c>
      <c r="L258" t="s">
        <v>273</v>
      </c>
      <c r="M258" t="s">
        <v>1680</v>
      </c>
      <c r="N258" t="s">
        <v>1672</v>
      </c>
      <c r="O258" t="s">
        <v>1681</v>
      </c>
    </row>
    <row r="259" spans="1:15" ht="15.75">
      <c r="A259" t="s">
        <v>281</v>
      </c>
      <c r="B259" t="s">
        <v>1148</v>
      </c>
      <c r="C259" t="s">
        <v>1382</v>
      </c>
      <c r="D259" t="s">
        <v>21</v>
      </c>
      <c r="E259">
        <v>37</v>
      </c>
      <c r="F259" t="s">
        <v>1139</v>
      </c>
      <c r="G259" t="s">
        <v>1692</v>
      </c>
      <c r="H259" t="s">
        <v>1693</v>
      </c>
      <c r="I259" s="2">
        <v>44353</v>
      </c>
      <c r="J259" t="s">
        <v>1128</v>
      </c>
      <c r="K259" t="s">
        <v>274</v>
      </c>
      <c r="L259" t="s">
        <v>273</v>
      </c>
      <c r="M259" t="s">
        <v>1684</v>
      </c>
      <c r="N259" t="s">
        <v>1672</v>
      </c>
      <c r="O259" t="s">
        <v>1685</v>
      </c>
    </row>
    <row r="260" spans="1:15" ht="15.75">
      <c r="A260" t="s">
        <v>282</v>
      </c>
      <c r="B260" t="s">
        <v>1186</v>
      </c>
      <c r="C260" t="s">
        <v>1382</v>
      </c>
      <c r="D260" t="s">
        <v>21</v>
      </c>
      <c r="E260">
        <v>45</v>
      </c>
      <c r="F260" t="s">
        <v>1139</v>
      </c>
      <c r="G260" t="s">
        <v>1694</v>
      </c>
      <c r="H260" t="s">
        <v>1695</v>
      </c>
      <c r="I260" s="2">
        <v>44749</v>
      </c>
      <c r="J260" t="s">
        <v>1135</v>
      </c>
      <c r="K260" t="s">
        <v>274</v>
      </c>
      <c r="L260" t="s">
        <v>273</v>
      </c>
      <c r="M260" t="s">
        <v>1671</v>
      </c>
      <c r="N260" t="s">
        <v>1672</v>
      </c>
      <c r="O260" t="s">
        <v>1673</v>
      </c>
    </row>
    <row r="261" spans="1:15" ht="15.75">
      <c r="A261" t="s">
        <v>283</v>
      </c>
      <c r="B261" t="s">
        <v>1154</v>
      </c>
      <c r="C261" t="s">
        <v>1382</v>
      </c>
      <c r="D261" t="s">
        <v>16</v>
      </c>
      <c r="E261">
        <v>28</v>
      </c>
      <c r="F261" t="s">
        <v>1118</v>
      </c>
      <c r="G261" t="s">
        <v>1696</v>
      </c>
      <c r="H261" t="s">
        <v>1697</v>
      </c>
      <c r="I261" s="2">
        <v>45146</v>
      </c>
      <c r="J261" t="s">
        <v>1142</v>
      </c>
      <c r="K261" t="s">
        <v>274</v>
      </c>
      <c r="L261" t="s">
        <v>273</v>
      </c>
      <c r="M261" t="s">
        <v>1676</v>
      </c>
      <c r="N261" t="s">
        <v>1672</v>
      </c>
      <c r="O261" t="s">
        <v>1677</v>
      </c>
    </row>
    <row r="262" spans="1:15" ht="15.75">
      <c r="A262" t="s">
        <v>284</v>
      </c>
      <c r="B262" t="s">
        <v>1157</v>
      </c>
      <c r="C262" t="s">
        <v>1382</v>
      </c>
      <c r="D262" t="s">
        <v>16</v>
      </c>
      <c r="E262">
        <v>21</v>
      </c>
      <c r="F262" t="s">
        <v>1164</v>
      </c>
      <c r="G262" t="s">
        <v>1698</v>
      </c>
      <c r="H262" t="s">
        <v>1699</v>
      </c>
      <c r="I262" s="2">
        <v>44448</v>
      </c>
      <c r="J262" t="s">
        <v>1121</v>
      </c>
      <c r="K262" t="s">
        <v>274</v>
      </c>
      <c r="L262" t="s">
        <v>273</v>
      </c>
      <c r="M262" t="s">
        <v>1680</v>
      </c>
      <c r="N262" t="s">
        <v>1672</v>
      </c>
      <c r="O262" t="s">
        <v>1681</v>
      </c>
    </row>
    <row r="263" spans="1:15" ht="15.75">
      <c r="A263" t="s">
        <v>285</v>
      </c>
      <c r="B263" t="s">
        <v>1160</v>
      </c>
      <c r="C263" t="s">
        <v>1382</v>
      </c>
      <c r="D263" t="s">
        <v>21</v>
      </c>
      <c r="E263">
        <v>32</v>
      </c>
      <c r="F263" t="s">
        <v>1118</v>
      </c>
      <c r="G263" t="s">
        <v>1700</v>
      </c>
      <c r="H263" t="s">
        <v>1701</v>
      </c>
      <c r="I263" s="2">
        <v>44844</v>
      </c>
      <c r="J263" t="s">
        <v>1128</v>
      </c>
      <c r="K263" t="s">
        <v>274</v>
      </c>
      <c r="L263" t="s">
        <v>273</v>
      </c>
      <c r="M263" t="s">
        <v>1684</v>
      </c>
      <c r="N263" t="s">
        <v>1672</v>
      </c>
      <c r="O263" t="s">
        <v>1685</v>
      </c>
    </row>
    <row r="264" spans="1:15" ht="15.75">
      <c r="A264" t="s">
        <v>286</v>
      </c>
      <c r="B264" t="s">
        <v>1163</v>
      </c>
      <c r="C264" t="s">
        <v>1382</v>
      </c>
      <c r="D264" t="s">
        <v>16</v>
      </c>
      <c r="E264">
        <v>23</v>
      </c>
      <c r="F264" t="s">
        <v>1164</v>
      </c>
      <c r="G264" t="s">
        <v>1702</v>
      </c>
      <c r="H264" t="s">
        <v>1703</v>
      </c>
      <c r="I264" s="2">
        <v>45241</v>
      </c>
      <c r="J264" t="s">
        <v>1135</v>
      </c>
      <c r="K264" t="s">
        <v>274</v>
      </c>
      <c r="L264" t="s">
        <v>273</v>
      </c>
      <c r="M264" t="s">
        <v>1671</v>
      </c>
      <c r="N264" t="s">
        <v>1672</v>
      </c>
      <c r="O264" t="s">
        <v>1673</v>
      </c>
    </row>
    <row r="265" spans="1:15" ht="15.75">
      <c r="A265" t="s">
        <v>287</v>
      </c>
      <c r="B265" t="s">
        <v>1167</v>
      </c>
      <c r="C265" t="s">
        <v>1382</v>
      </c>
      <c r="D265" t="s">
        <v>16</v>
      </c>
      <c r="E265">
        <v>47</v>
      </c>
      <c r="F265" t="s">
        <v>1132</v>
      </c>
      <c r="G265" t="s">
        <v>1704</v>
      </c>
      <c r="H265" t="s">
        <v>1705</v>
      </c>
      <c r="I265" s="2">
        <v>44542</v>
      </c>
      <c r="J265" t="s">
        <v>1142</v>
      </c>
      <c r="K265" t="s">
        <v>274</v>
      </c>
      <c r="L265" t="s">
        <v>273</v>
      </c>
      <c r="M265" t="s">
        <v>1676</v>
      </c>
      <c r="N265" t="s">
        <v>1672</v>
      </c>
      <c r="O265" t="s">
        <v>1677</v>
      </c>
    </row>
    <row r="266" spans="1:15" ht="15.75">
      <c r="A266" t="s">
        <v>288</v>
      </c>
      <c r="B266" t="s">
        <v>1116</v>
      </c>
      <c r="C266" t="s">
        <v>1407</v>
      </c>
      <c r="D266" t="s">
        <v>16</v>
      </c>
      <c r="E266">
        <v>55</v>
      </c>
      <c r="F266" t="s">
        <v>1132</v>
      </c>
      <c r="G266" t="s">
        <v>1706</v>
      </c>
      <c r="H266" t="s">
        <v>1707</v>
      </c>
      <c r="I266" s="2">
        <v>44574</v>
      </c>
      <c r="J266" t="s">
        <v>1121</v>
      </c>
      <c r="K266" t="s">
        <v>274</v>
      </c>
      <c r="L266" t="s">
        <v>273</v>
      </c>
      <c r="M266" t="s">
        <v>1680</v>
      </c>
      <c r="N266" t="s">
        <v>1672</v>
      </c>
      <c r="O266" t="s">
        <v>1681</v>
      </c>
    </row>
    <row r="267" spans="1:15" ht="15.75">
      <c r="A267" t="s">
        <v>289</v>
      </c>
      <c r="B267" t="s">
        <v>1125</v>
      </c>
      <c r="C267" t="s">
        <v>1407</v>
      </c>
      <c r="D267" t="s">
        <v>21</v>
      </c>
      <c r="E267">
        <v>19</v>
      </c>
      <c r="F267" t="s">
        <v>1164</v>
      </c>
      <c r="G267" t="s">
        <v>1708</v>
      </c>
      <c r="H267" t="s">
        <v>1709</v>
      </c>
      <c r="I267" s="2">
        <v>44971</v>
      </c>
      <c r="J267" t="s">
        <v>1128</v>
      </c>
      <c r="K267" t="s">
        <v>274</v>
      </c>
      <c r="L267" t="s">
        <v>273</v>
      </c>
      <c r="M267" t="s">
        <v>1684</v>
      </c>
      <c r="N267" t="s">
        <v>1672</v>
      </c>
      <c r="O267" t="s">
        <v>1685</v>
      </c>
    </row>
    <row r="268" spans="1:15" ht="15.75">
      <c r="A268" t="s">
        <v>290</v>
      </c>
      <c r="B268" t="s">
        <v>1176</v>
      </c>
      <c r="C268" t="s">
        <v>1407</v>
      </c>
      <c r="D268" t="s">
        <v>21</v>
      </c>
      <c r="E268">
        <v>32</v>
      </c>
      <c r="F268" t="s">
        <v>1118</v>
      </c>
      <c r="G268" t="s">
        <v>1710</v>
      </c>
      <c r="H268" t="s">
        <v>1711</v>
      </c>
      <c r="I268" s="2">
        <v>44270</v>
      </c>
      <c r="J268" t="s">
        <v>1135</v>
      </c>
      <c r="K268" t="s">
        <v>274</v>
      </c>
      <c r="L268" t="s">
        <v>273</v>
      </c>
      <c r="M268" t="s">
        <v>1671</v>
      </c>
      <c r="N268" t="s">
        <v>1672</v>
      </c>
      <c r="O268" t="s">
        <v>1673</v>
      </c>
    </row>
    <row r="269" spans="1:15" ht="15.75">
      <c r="A269" t="s">
        <v>291</v>
      </c>
      <c r="B269" t="s">
        <v>1211</v>
      </c>
      <c r="C269" t="s">
        <v>1407</v>
      </c>
      <c r="D269" t="s">
        <v>21</v>
      </c>
      <c r="E269">
        <v>28</v>
      </c>
      <c r="F269" t="s">
        <v>1118</v>
      </c>
      <c r="G269" t="s">
        <v>1712</v>
      </c>
      <c r="H269" t="s">
        <v>1713</v>
      </c>
      <c r="I269" s="2">
        <v>44667</v>
      </c>
      <c r="J269" t="s">
        <v>1142</v>
      </c>
      <c r="K269" t="s">
        <v>274</v>
      </c>
      <c r="L269" t="s">
        <v>273</v>
      </c>
      <c r="M269" t="s">
        <v>1676</v>
      </c>
      <c r="N269" t="s">
        <v>1672</v>
      </c>
      <c r="O269" t="s">
        <v>1677</v>
      </c>
    </row>
    <row r="270" spans="1:15" ht="15.75">
      <c r="A270" t="s">
        <v>292</v>
      </c>
      <c r="B270" t="s">
        <v>1145</v>
      </c>
      <c r="C270" t="s">
        <v>1407</v>
      </c>
      <c r="D270" t="s">
        <v>16</v>
      </c>
      <c r="E270">
        <v>25</v>
      </c>
      <c r="F270" t="s">
        <v>1164</v>
      </c>
      <c r="G270" t="s">
        <v>1714</v>
      </c>
      <c r="H270" t="s">
        <v>1715</v>
      </c>
      <c r="I270" s="2">
        <v>45063</v>
      </c>
      <c r="J270" t="s">
        <v>1121</v>
      </c>
      <c r="K270" t="s">
        <v>274</v>
      </c>
      <c r="L270" t="s">
        <v>273</v>
      </c>
      <c r="M270" t="s">
        <v>1680</v>
      </c>
      <c r="N270" t="s">
        <v>1672</v>
      </c>
      <c r="O270" t="s">
        <v>1681</v>
      </c>
    </row>
    <row r="271" spans="1:15" ht="15.75">
      <c r="A271" t="s">
        <v>293</v>
      </c>
      <c r="B271" t="s">
        <v>1241</v>
      </c>
      <c r="C271" t="s">
        <v>1407</v>
      </c>
      <c r="D271" t="s">
        <v>16</v>
      </c>
      <c r="E271">
        <v>43</v>
      </c>
      <c r="F271" t="s">
        <v>1139</v>
      </c>
      <c r="G271" t="s">
        <v>1716</v>
      </c>
      <c r="H271" t="s">
        <v>1717</v>
      </c>
      <c r="I271" s="2">
        <v>44365</v>
      </c>
      <c r="J271" t="s">
        <v>1128</v>
      </c>
      <c r="K271" t="s">
        <v>274</v>
      </c>
      <c r="L271" t="s">
        <v>273</v>
      </c>
      <c r="M271" t="s">
        <v>1684</v>
      </c>
      <c r="N271" t="s">
        <v>1672</v>
      </c>
      <c r="O271" t="s">
        <v>1685</v>
      </c>
    </row>
    <row r="272" spans="1:15" ht="15.75">
      <c r="A272" t="s">
        <v>294</v>
      </c>
      <c r="B272" t="s">
        <v>1186</v>
      </c>
      <c r="C272" t="s">
        <v>1407</v>
      </c>
      <c r="D272" t="s">
        <v>21</v>
      </c>
      <c r="E272">
        <v>62</v>
      </c>
      <c r="F272" t="s">
        <v>1132</v>
      </c>
      <c r="G272" t="s">
        <v>1718</v>
      </c>
      <c r="H272" t="s">
        <v>1719</v>
      </c>
      <c r="I272" s="2">
        <v>44761</v>
      </c>
      <c r="J272" t="s">
        <v>1135</v>
      </c>
      <c r="K272" t="s">
        <v>274</v>
      </c>
      <c r="L272" t="s">
        <v>273</v>
      </c>
      <c r="M272" t="s">
        <v>1671</v>
      </c>
      <c r="N272" t="s">
        <v>1672</v>
      </c>
      <c r="O272" t="s">
        <v>1673</v>
      </c>
    </row>
    <row r="273" spans="1:15" ht="15.75">
      <c r="A273" t="s">
        <v>295</v>
      </c>
      <c r="B273" t="s">
        <v>1246</v>
      </c>
      <c r="C273" t="s">
        <v>1407</v>
      </c>
      <c r="D273" t="s">
        <v>21</v>
      </c>
      <c r="E273">
        <v>61</v>
      </c>
      <c r="F273" t="s">
        <v>1132</v>
      </c>
      <c r="G273" t="s">
        <v>1720</v>
      </c>
      <c r="H273" t="s">
        <v>1721</v>
      </c>
      <c r="I273" s="2">
        <v>45158</v>
      </c>
      <c r="J273" t="s">
        <v>1142</v>
      </c>
      <c r="K273" t="s">
        <v>274</v>
      </c>
      <c r="L273" t="s">
        <v>273</v>
      </c>
      <c r="M273" t="s">
        <v>1676</v>
      </c>
      <c r="N273" t="s">
        <v>1672</v>
      </c>
      <c r="O273" t="s">
        <v>1677</v>
      </c>
    </row>
    <row r="274" spans="1:15" ht="15.75">
      <c r="A274" t="s">
        <v>296</v>
      </c>
      <c r="B274" t="s">
        <v>1191</v>
      </c>
      <c r="C274" t="s">
        <v>1407</v>
      </c>
      <c r="D274" t="s">
        <v>21</v>
      </c>
      <c r="E274">
        <v>22</v>
      </c>
      <c r="F274" t="s">
        <v>1164</v>
      </c>
      <c r="G274" t="s">
        <v>1722</v>
      </c>
      <c r="H274" t="s">
        <v>1723</v>
      </c>
      <c r="I274" s="2">
        <v>44460</v>
      </c>
      <c r="J274" t="s">
        <v>1121</v>
      </c>
      <c r="K274" t="s">
        <v>274</v>
      </c>
      <c r="L274" t="s">
        <v>273</v>
      </c>
      <c r="M274" t="s">
        <v>1680</v>
      </c>
      <c r="N274" t="s">
        <v>1672</v>
      </c>
      <c r="O274" t="s">
        <v>1681</v>
      </c>
    </row>
    <row r="275" spans="1:15" ht="15.75">
      <c r="A275" t="s">
        <v>297</v>
      </c>
      <c r="B275" t="s">
        <v>1160</v>
      </c>
      <c r="C275" t="s">
        <v>1407</v>
      </c>
      <c r="D275" t="s">
        <v>21</v>
      </c>
      <c r="E275">
        <v>23</v>
      </c>
      <c r="F275" t="s">
        <v>1164</v>
      </c>
      <c r="G275" t="s">
        <v>1724</v>
      </c>
      <c r="H275" t="s">
        <v>1725</v>
      </c>
      <c r="I275" s="2">
        <v>44856</v>
      </c>
      <c r="J275" t="s">
        <v>1128</v>
      </c>
      <c r="K275" t="s">
        <v>274</v>
      </c>
      <c r="L275" t="s">
        <v>273</v>
      </c>
      <c r="M275" t="s">
        <v>1684</v>
      </c>
      <c r="N275" t="s">
        <v>1672</v>
      </c>
      <c r="O275" t="s">
        <v>1685</v>
      </c>
    </row>
    <row r="276" spans="1:15" ht="15.75">
      <c r="A276" t="s">
        <v>298</v>
      </c>
      <c r="B276" t="s">
        <v>1163</v>
      </c>
      <c r="C276" t="s">
        <v>1407</v>
      </c>
      <c r="D276" t="s">
        <v>16</v>
      </c>
      <c r="E276">
        <v>43</v>
      </c>
      <c r="F276" t="s">
        <v>1139</v>
      </c>
      <c r="G276" t="s">
        <v>1726</v>
      </c>
      <c r="H276" t="s">
        <v>1727</v>
      </c>
      <c r="I276" s="2">
        <v>45253</v>
      </c>
      <c r="J276" t="s">
        <v>1135</v>
      </c>
      <c r="K276" t="s">
        <v>274</v>
      </c>
      <c r="L276" t="s">
        <v>273</v>
      </c>
      <c r="M276" t="s">
        <v>1671</v>
      </c>
      <c r="N276" t="s">
        <v>1672</v>
      </c>
      <c r="O276" t="s">
        <v>1673</v>
      </c>
    </row>
    <row r="277" spans="1:15" ht="15.75">
      <c r="A277" t="s">
        <v>299</v>
      </c>
      <c r="B277" t="s">
        <v>1200</v>
      </c>
      <c r="C277" t="s">
        <v>1407</v>
      </c>
      <c r="D277" t="s">
        <v>21</v>
      </c>
      <c r="E277">
        <v>21</v>
      </c>
      <c r="F277" t="s">
        <v>1164</v>
      </c>
      <c r="G277" t="s">
        <v>1728</v>
      </c>
      <c r="H277" t="s">
        <v>1729</v>
      </c>
      <c r="I277" s="2">
        <v>44554</v>
      </c>
      <c r="J277" t="s">
        <v>1142</v>
      </c>
      <c r="K277" t="s">
        <v>274</v>
      </c>
      <c r="L277" t="s">
        <v>273</v>
      </c>
      <c r="M277" t="s">
        <v>1676</v>
      </c>
      <c r="N277" t="s">
        <v>1672</v>
      </c>
      <c r="O277" t="s">
        <v>1677</v>
      </c>
    </row>
    <row r="278" spans="1:15" ht="15.75">
      <c r="A278" t="s">
        <v>300</v>
      </c>
      <c r="B278" t="s">
        <v>1116</v>
      </c>
      <c r="C278" t="s">
        <v>1432</v>
      </c>
      <c r="D278" t="s">
        <v>16</v>
      </c>
      <c r="E278">
        <v>36</v>
      </c>
      <c r="F278" t="s">
        <v>1139</v>
      </c>
      <c r="G278" t="s">
        <v>1730</v>
      </c>
      <c r="H278" t="s">
        <v>1731</v>
      </c>
      <c r="I278" s="2">
        <v>44586</v>
      </c>
      <c r="J278" t="s">
        <v>1121</v>
      </c>
      <c r="K278" t="s">
        <v>274</v>
      </c>
      <c r="L278" t="s">
        <v>273</v>
      </c>
      <c r="M278" t="s">
        <v>1680</v>
      </c>
      <c r="N278" t="s">
        <v>1672</v>
      </c>
      <c r="O278" t="s">
        <v>1681</v>
      </c>
    </row>
    <row r="279" spans="1:15" ht="15.75">
      <c r="A279" t="s">
        <v>301</v>
      </c>
      <c r="B279" t="s">
        <v>1125</v>
      </c>
      <c r="C279" t="s">
        <v>1432</v>
      </c>
      <c r="D279" t="s">
        <v>21</v>
      </c>
      <c r="E279">
        <v>37</v>
      </c>
      <c r="F279" t="s">
        <v>1139</v>
      </c>
      <c r="G279" t="s">
        <v>1732</v>
      </c>
      <c r="H279" t="s">
        <v>1733</v>
      </c>
      <c r="I279" s="2">
        <v>44983</v>
      </c>
      <c r="J279" t="s">
        <v>1128</v>
      </c>
      <c r="K279" t="s">
        <v>274</v>
      </c>
      <c r="L279" t="s">
        <v>273</v>
      </c>
      <c r="M279" t="s">
        <v>1684</v>
      </c>
      <c r="N279" t="s">
        <v>1672</v>
      </c>
      <c r="O279" t="s">
        <v>1685</v>
      </c>
    </row>
    <row r="280" spans="1:15" ht="15.75">
      <c r="A280" t="s">
        <v>302</v>
      </c>
      <c r="B280" t="s">
        <v>1131</v>
      </c>
      <c r="C280" t="s">
        <v>1432</v>
      </c>
      <c r="D280" t="s">
        <v>16</v>
      </c>
      <c r="E280">
        <v>50</v>
      </c>
      <c r="F280" t="s">
        <v>1132</v>
      </c>
      <c r="G280" t="s">
        <v>1734</v>
      </c>
      <c r="H280" t="s">
        <v>1735</v>
      </c>
      <c r="I280" s="2">
        <v>44282</v>
      </c>
      <c r="J280" t="s">
        <v>1135</v>
      </c>
      <c r="K280" t="s">
        <v>274</v>
      </c>
      <c r="L280" t="s">
        <v>273</v>
      </c>
      <c r="M280" t="s">
        <v>1671</v>
      </c>
      <c r="N280" t="s">
        <v>1672</v>
      </c>
      <c r="O280" t="s">
        <v>1673</v>
      </c>
    </row>
    <row r="281" spans="1:15" ht="15.75">
      <c r="A281" t="s">
        <v>303</v>
      </c>
      <c r="B281" t="s">
        <v>1211</v>
      </c>
      <c r="C281" t="s">
        <v>1432</v>
      </c>
      <c r="D281" t="s">
        <v>21</v>
      </c>
      <c r="E281">
        <v>37</v>
      </c>
      <c r="F281" t="s">
        <v>1139</v>
      </c>
      <c r="G281" t="s">
        <v>1736</v>
      </c>
      <c r="H281" t="s">
        <v>1737</v>
      </c>
      <c r="I281" s="2">
        <v>44679</v>
      </c>
      <c r="J281" t="s">
        <v>1142</v>
      </c>
      <c r="K281" t="s">
        <v>274</v>
      </c>
      <c r="L281" t="s">
        <v>273</v>
      </c>
      <c r="M281" t="s">
        <v>1676</v>
      </c>
      <c r="N281" t="s">
        <v>1672</v>
      </c>
      <c r="O281" t="s">
        <v>1677</v>
      </c>
    </row>
    <row r="282" spans="1:15" ht="15.75">
      <c r="A282" t="s">
        <v>304</v>
      </c>
      <c r="B282" t="s">
        <v>1181</v>
      </c>
      <c r="C282" t="s">
        <v>1432</v>
      </c>
      <c r="D282" t="s">
        <v>21</v>
      </c>
      <c r="E282">
        <v>29</v>
      </c>
      <c r="F282" t="s">
        <v>1118</v>
      </c>
      <c r="G282" t="s">
        <v>1738</v>
      </c>
      <c r="H282" t="s">
        <v>1739</v>
      </c>
      <c r="I282" s="2">
        <v>45047</v>
      </c>
      <c r="J282" t="s">
        <v>1121</v>
      </c>
      <c r="K282" t="s">
        <v>274</v>
      </c>
      <c r="L282" t="s">
        <v>273</v>
      </c>
      <c r="M282" t="s">
        <v>1680</v>
      </c>
      <c r="N282" t="s">
        <v>1672</v>
      </c>
      <c r="O282" t="s">
        <v>1681</v>
      </c>
    </row>
    <row r="283" spans="1:15" ht="15.75">
      <c r="A283" t="s">
        <v>305</v>
      </c>
      <c r="B283" t="s">
        <v>1148</v>
      </c>
      <c r="C283" t="s">
        <v>1432</v>
      </c>
      <c r="D283" t="s">
        <v>21</v>
      </c>
      <c r="E283">
        <v>64</v>
      </c>
      <c r="F283" t="s">
        <v>1132</v>
      </c>
      <c r="G283" t="s">
        <v>1740</v>
      </c>
      <c r="H283" t="s">
        <v>1741</v>
      </c>
      <c r="I283" s="2">
        <v>44349</v>
      </c>
      <c r="J283" t="s">
        <v>1128</v>
      </c>
      <c r="K283" t="s">
        <v>274</v>
      </c>
      <c r="L283" t="s">
        <v>273</v>
      </c>
      <c r="M283" t="s">
        <v>1684</v>
      </c>
      <c r="N283" t="s">
        <v>1672</v>
      </c>
      <c r="O283" t="s">
        <v>1685</v>
      </c>
    </row>
    <row r="284" spans="1:15" ht="15.75">
      <c r="A284" t="s">
        <v>306</v>
      </c>
      <c r="B284" t="s">
        <v>1186</v>
      </c>
      <c r="C284" t="s">
        <v>1432</v>
      </c>
      <c r="D284" t="s">
        <v>21</v>
      </c>
      <c r="E284">
        <v>18</v>
      </c>
      <c r="F284" t="s">
        <v>1164</v>
      </c>
      <c r="G284" t="s">
        <v>1742</v>
      </c>
      <c r="H284" t="s">
        <v>1743</v>
      </c>
      <c r="I284" s="2">
        <v>44745</v>
      </c>
      <c r="J284" t="s">
        <v>1135</v>
      </c>
      <c r="K284" t="s">
        <v>274</v>
      </c>
      <c r="L284" t="s">
        <v>273</v>
      </c>
      <c r="M284" t="s">
        <v>1671</v>
      </c>
      <c r="N284" t="s">
        <v>1672</v>
      </c>
      <c r="O284" t="s">
        <v>1673</v>
      </c>
    </row>
    <row r="285" spans="1:15" ht="15.75">
      <c r="A285" t="s">
        <v>307</v>
      </c>
      <c r="B285" t="s">
        <v>1154</v>
      </c>
      <c r="C285" t="s">
        <v>1432</v>
      </c>
      <c r="D285" t="s">
        <v>16</v>
      </c>
      <c r="E285">
        <v>43</v>
      </c>
      <c r="F285" t="s">
        <v>1139</v>
      </c>
      <c r="G285" t="s">
        <v>1744</v>
      </c>
      <c r="H285" t="s">
        <v>1745</v>
      </c>
      <c r="I285" s="2">
        <v>45142</v>
      </c>
      <c r="J285" t="s">
        <v>1142</v>
      </c>
      <c r="K285" t="s">
        <v>274</v>
      </c>
      <c r="L285" t="s">
        <v>273</v>
      </c>
      <c r="M285" t="s">
        <v>1676</v>
      </c>
      <c r="N285" t="s">
        <v>1672</v>
      </c>
      <c r="O285" t="s">
        <v>1677</v>
      </c>
    </row>
    <row r="286" spans="1:15" ht="15.75">
      <c r="A286" t="s">
        <v>308</v>
      </c>
      <c r="B286" t="s">
        <v>1191</v>
      </c>
      <c r="C286" t="s">
        <v>1432</v>
      </c>
      <c r="D286" t="s">
        <v>21</v>
      </c>
      <c r="E286">
        <v>31</v>
      </c>
      <c r="F286" t="s">
        <v>1118</v>
      </c>
      <c r="G286" t="s">
        <v>1746</v>
      </c>
      <c r="H286" t="s">
        <v>1747</v>
      </c>
      <c r="I286" s="2">
        <v>44444</v>
      </c>
      <c r="J286" t="s">
        <v>1121</v>
      </c>
      <c r="K286" t="s">
        <v>274</v>
      </c>
      <c r="L286" t="s">
        <v>273</v>
      </c>
      <c r="M286" t="s">
        <v>1680</v>
      </c>
      <c r="N286" t="s">
        <v>1672</v>
      </c>
      <c r="O286" t="s">
        <v>1681</v>
      </c>
    </row>
    <row r="287" spans="1:15" ht="15.75">
      <c r="A287" t="s">
        <v>309</v>
      </c>
      <c r="B287" t="s">
        <v>1194</v>
      </c>
      <c r="C287" t="s">
        <v>1432</v>
      </c>
      <c r="D287" t="s">
        <v>16</v>
      </c>
      <c r="E287">
        <v>55</v>
      </c>
      <c r="F287" t="s">
        <v>1132</v>
      </c>
      <c r="G287" t="s">
        <v>1748</v>
      </c>
      <c r="H287" t="s">
        <v>1749</v>
      </c>
      <c r="I287" s="2">
        <v>44840</v>
      </c>
      <c r="J287" t="s">
        <v>1128</v>
      </c>
      <c r="K287" t="s">
        <v>274</v>
      </c>
      <c r="L287" t="s">
        <v>273</v>
      </c>
      <c r="M287" t="s">
        <v>1684</v>
      </c>
      <c r="N287" t="s">
        <v>1672</v>
      </c>
      <c r="O287" t="s">
        <v>1685</v>
      </c>
    </row>
    <row r="288" spans="1:15" ht="15.75">
      <c r="A288" t="s">
        <v>310</v>
      </c>
      <c r="B288" t="s">
        <v>1163</v>
      </c>
      <c r="C288" t="s">
        <v>1432</v>
      </c>
      <c r="D288" t="s">
        <v>16</v>
      </c>
      <c r="E288">
        <v>54</v>
      </c>
      <c r="F288" t="s">
        <v>1132</v>
      </c>
      <c r="G288" t="s">
        <v>1750</v>
      </c>
      <c r="H288" t="s">
        <v>1751</v>
      </c>
      <c r="I288" s="2">
        <v>45237</v>
      </c>
      <c r="J288" t="s">
        <v>1135</v>
      </c>
      <c r="K288" t="s">
        <v>274</v>
      </c>
      <c r="L288" t="s">
        <v>273</v>
      </c>
      <c r="M288" t="s">
        <v>1671</v>
      </c>
      <c r="N288" t="s">
        <v>1672</v>
      </c>
      <c r="O288" t="s">
        <v>1673</v>
      </c>
    </row>
    <row r="289" spans="1:15" ht="15.75">
      <c r="A289" t="s">
        <v>311</v>
      </c>
      <c r="B289" t="s">
        <v>1167</v>
      </c>
      <c r="C289" t="s">
        <v>1432</v>
      </c>
      <c r="D289" t="s">
        <v>16</v>
      </c>
      <c r="E289">
        <v>28</v>
      </c>
      <c r="F289" t="s">
        <v>1118</v>
      </c>
      <c r="G289" t="s">
        <v>1752</v>
      </c>
      <c r="H289" t="s">
        <v>1753</v>
      </c>
      <c r="I289" s="2">
        <v>44538</v>
      </c>
      <c r="J289" t="s">
        <v>1142</v>
      </c>
      <c r="K289" t="s">
        <v>274</v>
      </c>
      <c r="L289" t="s">
        <v>273</v>
      </c>
      <c r="M289" t="s">
        <v>1676</v>
      </c>
      <c r="N289" t="s">
        <v>1672</v>
      </c>
      <c r="O289" t="s">
        <v>1677</v>
      </c>
    </row>
    <row r="290" spans="1:15" ht="15.75">
      <c r="A290" t="s">
        <v>312</v>
      </c>
      <c r="B290" t="s">
        <v>1116</v>
      </c>
      <c r="C290" t="s">
        <v>1117</v>
      </c>
      <c r="D290" t="s">
        <v>16</v>
      </c>
      <c r="E290">
        <v>53</v>
      </c>
      <c r="F290" t="s">
        <v>1132</v>
      </c>
      <c r="G290" t="s">
        <v>1754</v>
      </c>
      <c r="H290" t="s">
        <v>1755</v>
      </c>
      <c r="I290" s="2">
        <v>44570</v>
      </c>
      <c r="J290" t="s">
        <v>1121</v>
      </c>
      <c r="K290" t="s">
        <v>274</v>
      </c>
      <c r="L290" t="s">
        <v>273</v>
      </c>
      <c r="M290" t="s">
        <v>1680</v>
      </c>
      <c r="N290" t="s">
        <v>1672</v>
      </c>
      <c r="O290" t="s">
        <v>1681</v>
      </c>
    </row>
    <row r="291" spans="1:15" ht="15.75">
      <c r="A291" t="s">
        <v>313</v>
      </c>
      <c r="B291" t="s">
        <v>1125</v>
      </c>
      <c r="C291" t="s">
        <v>1117</v>
      </c>
      <c r="D291" t="s">
        <v>21</v>
      </c>
      <c r="E291">
        <v>30</v>
      </c>
      <c r="F291" t="s">
        <v>1118</v>
      </c>
      <c r="G291" t="s">
        <v>1756</v>
      </c>
      <c r="H291" t="s">
        <v>1757</v>
      </c>
      <c r="I291" s="2">
        <v>44967</v>
      </c>
      <c r="J291" t="s">
        <v>1128</v>
      </c>
      <c r="K291" t="s">
        <v>274</v>
      </c>
      <c r="L291" t="s">
        <v>273</v>
      </c>
      <c r="M291" t="s">
        <v>1684</v>
      </c>
      <c r="N291" t="s">
        <v>1672</v>
      </c>
      <c r="O291" t="s">
        <v>1685</v>
      </c>
    </row>
    <row r="292" spans="1:15" ht="15.75">
      <c r="A292" t="s">
        <v>314</v>
      </c>
      <c r="B292" t="s">
        <v>1131</v>
      </c>
      <c r="C292" t="s">
        <v>1117</v>
      </c>
      <c r="D292" t="s">
        <v>16</v>
      </c>
      <c r="E292">
        <v>60</v>
      </c>
      <c r="F292" t="s">
        <v>1132</v>
      </c>
      <c r="G292" t="s">
        <v>1758</v>
      </c>
      <c r="H292" t="s">
        <v>1759</v>
      </c>
      <c r="I292" s="2">
        <v>44266</v>
      </c>
      <c r="J292" t="s">
        <v>1135</v>
      </c>
      <c r="K292" t="s">
        <v>274</v>
      </c>
      <c r="L292" t="s">
        <v>273</v>
      </c>
      <c r="M292" t="s">
        <v>1671</v>
      </c>
      <c r="N292" t="s">
        <v>1672</v>
      </c>
      <c r="O292" t="s">
        <v>1673</v>
      </c>
    </row>
    <row r="293" spans="1:15" ht="15.75">
      <c r="A293" t="s">
        <v>315</v>
      </c>
      <c r="B293" t="s">
        <v>1138</v>
      </c>
      <c r="C293" t="s">
        <v>1117</v>
      </c>
      <c r="D293" t="s">
        <v>16</v>
      </c>
      <c r="E293">
        <v>20</v>
      </c>
      <c r="F293" t="s">
        <v>1164</v>
      </c>
      <c r="G293" t="s">
        <v>1760</v>
      </c>
      <c r="H293" t="s">
        <v>1761</v>
      </c>
      <c r="I293" s="2">
        <v>44663</v>
      </c>
      <c r="J293" t="s">
        <v>1142</v>
      </c>
      <c r="K293" t="s">
        <v>274</v>
      </c>
      <c r="L293" t="s">
        <v>273</v>
      </c>
      <c r="M293" t="s">
        <v>1676</v>
      </c>
      <c r="N293" t="s">
        <v>1672</v>
      </c>
      <c r="O293" t="s">
        <v>1677</v>
      </c>
    </row>
    <row r="294" spans="1:15" ht="15.75">
      <c r="A294" t="s">
        <v>316</v>
      </c>
      <c r="B294" t="s">
        <v>1145</v>
      </c>
      <c r="C294" t="s">
        <v>1117</v>
      </c>
      <c r="D294" t="s">
        <v>16</v>
      </c>
      <c r="E294">
        <v>50</v>
      </c>
      <c r="F294" t="s">
        <v>1132</v>
      </c>
      <c r="G294" t="s">
        <v>1762</v>
      </c>
      <c r="H294" t="s">
        <v>1763</v>
      </c>
      <c r="I294" s="2">
        <v>45059</v>
      </c>
      <c r="J294" t="s">
        <v>1121</v>
      </c>
      <c r="K294" t="s">
        <v>274</v>
      </c>
      <c r="L294" t="s">
        <v>273</v>
      </c>
      <c r="M294" t="s">
        <v>1680</v>
      </c>
      <c r="N294" t="s">
        <v>1672</v>
      </c>
      <c r="O294" t="s">
        <v>1681</v>
      </c>
    </row>
    <row r="295" spans="1:15" ht="15.75">
      <c r="A295" t="s">
        <v>317</v>
      </c>
      <c r="B295" t="s">
        <v>1148</v>
      </c>
      <c r="C295" t="s">
        <v>1117</v>
      </c>
      <c r="D295" t="s">
        <v>21</v>
      </c>
      <c r="E295">
        <v>23</v>
      </c>
      <c r="F295" t="s">
        <v>1164</v>
      </c>
      <c r="G295" t="s">
        <v>1764</v>
      </c>
      <c r="H295" t="s">
        <v>1765</v>
      </c>
      <c r="I295" s="2">
        <v>44361</v>
      </c>
      <c r="J295" t="s">
        <v>1128</v>
      </c>
      <c r="K295" t="s">
        <v>274</v>
      </c>
      <c r="L295" t="s">
        <v>273</v>
      </c>
      <c r="M295" t="s">
        <v>1684</v>
      </c>
      <c r="N295" t="s">
        <v>1672</v>
      </c>
      <c r="O295" t="s">
        <v>1685</v>
      </c>
    </row>
    <row r="296" spans="1:15" ht="15.75">
      <c r="A296" t="s">
        <v>318</v>
      </c>
      <c r="B296" t="s">
        <v>1186</v>
      </c>
      <c r="C296" t="s">
        <v>1117</v>
      </c>
      <c r="D296" t="s">
        <v>21</v>
      </c>
      <c r="E296">
        <v>27</v>
      </c>
      <c r="F296" t="s">
        <v>1118</v>
      </c>
      <c r="G296" t="s">
        <v>1766</v>
      </c>
      <c r="H296" t="s">
        <v>1767</v>
      </c>
      <c r="I296" s="2">
        <v>44757</v>
      </c>
      <c r="J296" t="s">
        <v>1135</v>
      </c>
      <c r="K296" t="s">
        <v>274</v>
      </c>
      <c r="L296" t="s">
        <v>273</v>
      </c>
      <c r="M296" t="s">
        <v>1671</v>
      </c>
      <c r="N296" t="s">
        <v>1672</v>
      </c>
      <c r="O296" t="s">
        <v>1673</v>
      </c>
    </row>
    <row r="297" spans="1:15" ht="15.75">
      <c r="A297" t="s">
        <v>319</v>
      </c>
      <c r="B297" t="s">
        <v>1246</v>
      </c>
      <c r="C297" t="s">
        <v>1117</v>
      </c>
      <c r="D297" t="s">
        <v>21</v>
      </c>
      <c r="E297">
        <v>22</v>
      </c>
      <c r="F297" t="s">
        <v>1164</v>
      </c>
      <c r="G297" t="s">
        <v>1768</v>
      </c>
      <c r="H297" t="s">
        <v>1769</v>
      </c>
      <c r="I297" s="2">
        <v>45154</v>
      </c>
      <c r="J297" t="s">
        <v>1142</v>
      </c>
      <c r="K297" t="s">
        <v>274</v>
      </c>
      <c r="L297" t="s">
        <v>273</v>
      </c>
      <c r="M297" t="s">
        <v>1676</v>
      </c>
      <c r="N297" t="s">
        <v>1672</v>
      </c>
      <c r="O297" t="s">
        <v>1677</v>
      </c>
    </row>
    <row r="298" spans="1:15" ht="15.75">
      <c r="A298" t="s">
        <v>320</v>
      </c>
      <c r="B298" t="s">
        <v>1191</v>
      </c>
      <c r="C298" t="s">
        <v>1117</v>
      </c>
      <c r="D298" t="s">
        <v>21</v>
      </c>
      <c r="E298">
        <v>40</v>
      </c>
      <c r="F298" t="s">
        <v>1139</v>
      </c>
      <c r="G298" t="s">
        <v>1770</v>
      </c>
      <c r="H298" t="s">
        <v>1771</v>
      </c>
      <c r="I298" s="2">
        <v>44456</v>
      </c>
      <c r="J298" t="s">
        <v>1121</v>
      </c>
      <c r="K298" t="s">
        <v>274</v>
      </c>
      <c r="L298" t="s">
        <v>273</v>
      </c>
      <c r="M298" t="s">
        <v>1680</v>
      </c>
      <c r="N298" t="s">
        <v>1672</v>
      </c>
      <c r="O298" t="s">
        <v>1681</v>
      </c>
    </row>
    <row r="299" spans="1:15" ht="15.75">
      <c r="A299" t="s">
        <v>321</v>
      </c>
      <c r="B299" t="s">
        <v>1194</v>
      </c>
      <c r="C299" t="s">
        <v>1117</v>
      </c>
      <c r="D299" t="s">
        <v>16</v>
      </c>
      <c r="E299">
        <v>27</v>
      </c>
      <c r="F299" t="s">
        <v>1118</v>
      </c>
      <c r="G299" t="s">
        <v>1772</v>
      </c>
      <c r="H299" t="s">
        <v>1773</v>
      </c>
      <c r="I299" s="2">
        <v>44852</v>
      </c>
      <c r="J299" t="s">
        <v>1128</v>
      </c>
      <c r="K299" t="s">
        <v>274</v>
      </c>
      <c r="L299" t="s">
        <v>273</v>
      </c>
      <c r="M299" t="s">
        <v>1684</v>
      </c>
      <c r="N299" t="s">
        <v>1672</v>
      </c>
      <c r="O299" t="s">
        <v>1685</v>
      </c>
    </row>
    <row r="300" spans="1:15" ht="15.75">
      <c r="A300" t="s">
        <v>322</v>
      </c>
      <c r="B300" t="s">
        <v>1163</v>
      </c>
      <c r="C300" t="s">
        <v>1117</v>
      </c>
      <c r="D300" t="s">
        <v>16</v>
      </c>
      <c r="E300">
        <v>61</v>
      </c>
      <c r="F300" t="s">
        <v>1132</v>
      </c>
      <c r="G300" t="s">
        <v>1774</v>
      </c>
      <c r="H300" t="s">
        <v>1775</v>
      </c>
      <c r="I300" s="2">
        <v>45249</v>
      </c>
      <c r="J300" t="s">
        <v>1135</v>
      </c>
      <c r="K300" t="s">
        <v>274</v>
      </c>
      <c r="L300" t="s">
        <v>273</v>
      </c>
      <c r="M300" t="s">
        <v>1671</v>
      </c>
      <c r="N300" t="s">
        <v>1672</v>
      </c>
      <c r="O300" t="s">
        <v>1673</v>
      </c>
    </row>
    <row r="301" spans="1:15" ht="15.75">
      <c r="A301" t="s">
        <v>323</v>
      </c>
      <c r="B301" t="s">
        <v>1200</v>
      </c>
      <c r="C301" t="s">
        <v>1117</v>
      </c>
      <c r="D301" t="s">
        <v>21</v>
      </c>
      <c r="E301">
        <v>19</v>
      </c>
      <c r="F301" t="s">
        <v>1164</v>
      </c>
      <c r="G301" t="s">
        <v>1776</v>
      </c>
      <c r="H301" t="s">
        <v>1777</v>
      </c>
      <c r="I301" s="2">
        <v>44550</v>
      </c>
      <c r="J301" t="s">
        <v>1142</v>
      </c>
      <c r="K301" t="s">
        <v>274</v>
      </c>
      <c r="L301" t="s">
        <v>273</v>
      </c>
      <c r="M301" t="s">
        <v>1676</v>
      </c>
      <c r="N301" t="s">
        <v>1672</v>
      </c>
      <c r="O301" t="s">
        <v>1677</v>
      </c>
    </row>
    <row r="302" spans="1:15" ht="15.75">
      <c r="A302" t="s">
        <v>324</v>
      </c>
      <c r="B302" t="s">
        <v>1116</v>
      </c>
      <c r="C302" t="s">
        <v>1170</v>
      </c>
      <c r="D302" t="s">
        <v>16</v>
      </c>
      <c r="E302">
        <v>30</v>
      </c>
      <c r="F302" t="s">
        <v>1118</v>
      </c>
      <c r="G302" t="s">
        <v>1778</v>
      </c>
      <c r="H302" t="s">
        <v>1779</v>
      </c>
      <c r="I302" s="2">
        <v>44582</v>
      </c>
      <c r="J302" t="s">
        <v>1121</v>
      </c>
      <c r="K302" t="s">
        <v>274</v>
      </c>
      <c r="L302" t="s">
        <v>273</v>
      </c>
      <c r="M302" t="s">
        <v>1680</v>
      </c>
      <c r="N302" t="s">
        <v>1672</v>
      </c>
      <c r="O302" t="s">
        <v>1681</v>
      </c>
    </row>
    <row r="303" spans="1:15" ht="15.75">
      <c r="A303" t="s">
        <v>325</v>
      </c>
      <c r="B303" t="s">
        <v>1173</v>
      </c>
      <c r="C303" t="s">
        <v>1170</v>
      </c>
      <c r="D303" t="s">
        <v>16</v>
      </c>
      <c r="E303">
        <v>57</v>
      </c>
      <c r="F303" t="s">
        <v>1132</v>
      </c>
      <c r="G303" t="s">
        <v>1780</v>
      </c>
      <c r="H303" t="s">
        <v>1781</v>
      </c>
      <c r="I303" s="2">
        <v>44979</v>
      </c>
      <c r="J303" t="s">
        <v>1128</v>
      </c>
      <c r="K303" t="s">
        <v>274</v>
      </c>
      <c r="L303" t="s">
        <v>273</v>
      </c>
      <c r="M303" t="s">
        <v>1684</v>
      </c>
      <c r="N303" t="s">
        <v>1672</v>
      </c>
      <c r="O303" t="s">
        <v>1685</v>
      </c>
    </row>
    <row r="304" spans="1:15" ht="15.75">
      <c r="A304" t="s">
        <v>326</v>
      </c>
      <c r="B304" t="s">
        <v>1131</v>
      </c>
      <c r="C304" t="s">
        <v>1170</v>
      </c>
      <c r="D304" t="s">
        <v>16</v>
      </c>
      <c r="E304">
        <v>19</v>
      </c>
      <c r="F304" t="s">
        <v>1164</v>
      </c>
      <c r="G304" t="s">
        <v>1782</v>
      </c>
      <c r="H304" t="s">
        <v>1783</v>
      </c>
      <c r="I304" s="2">
        <v>44278</v>
      </c>
      <c r="J304" t="s">
        <v>1135</v>
      </c>
      <c r="K304" t="s">
        <v>274</v>
      </c>
      <c r="L304" t="s">
        <v>273</v>
      </c>
      <c r="M304" t="s">
        <v>1671</v>
      </c>
      <c r="N304" t="s">
        <v>1672</v>
      </c>
      <c r="O304" t="s">
        <v>1673</v>
      </c>
    </row>
    <row r="305" spans="1:15" ht="15.75">
      <c r="A305" t="s">
        <v>327</v>
      </c>
      <c r="B305" t="s">
        <v>1211</v>
      </c>
      <c r="C305" t="s">
        <v>1170</v>
      </c>
      <c r="D305" t="s">
        <v>21</v>
      </c>
      <c r="E305">
        <v>37</v>
      </c>
      <c r="F305" t="s">
        <v>1139</v>
      </c>
      <c r="G305" t="s">
        <v>1784</v>
      </c>
      <c r="H305" t="s">
        <v>1785</v>
      </c>
      <c r="I305" s="2">
        <v>44675</v>
      </c>
      <c r="J305" t="s">
        <v>1142</v>
      </c>
      <c r="K305" t="s">
        <v>274</v>
      </c>
      <c r="L305" t="s">
        <v>273</v>
      </c>
      <c r="M305" t="s">
        <v>1676</v>
      </c>
      <c r="N305" t="s">
        <v>1672</v>
      </c>
      <c r="O305" t="s">
        <v>1677</v>
      </c>
    </row>
    <row r="306" spans="1:15" ht="15.75">
      <c r="A306" t="s">
        <v>328</v>
      </c>
      <c r="B306" t="s">
        <v>1181</v>
      </c>
      <c r="C306" t="s">
        <v>1170</v>
      </c>
      <c r="D306" t="s">
        <v>21</v>
      </c>
      <c r="E306">
        <v>18</v>
      </c>
      <c r="F306" t="s">
        <v>1164</v>
      </c>
      <c r="G306" t="s">
        <v>1786</v>
      </c>
      <c r="H306" t="s">
        <v>1787</v>
      </c>
      <c r="I306" s="2">
        <v>45071</v>
      </c>
      <c r="J306" t="s">
        <v>1121</v>
      </c>
      <c r="K306" t="s">
        <v>274</v>
      </c>
      <c r="L306" t="s">
        <v>273</v>
      </c>
      <c r="M306" t="s">
        <v>1680</v>
      </c>
      <c r="N306" t="s">
        <v>1672</v>
      </c>
      <c r="O306" t="s">
        <v>1681</v>
      </c>
    </row>
    <row r="307" spans="1:15" ht="15.75">
      <c r="A307" t="s">
        <v>329</v>
      </c>
      <c r="B307" t="s">
        <v>1241</v>
      </c>
      <c r="C307" t="s">
        <v>1170</v>
      </c>
      <c r="D307" t="s">
        <v>16</v>
      </c>
      <c r="E307">
        <v>54</v>
      </c>
      <c r="F307" t="s">
        <v>1132</v>
      </c>
      <c r="G307" t="s">
        <v>1788</v>
      </c>
      <c r="H307" t="s">
        <v>1789</v>
      </c>
      <c r="I307" s="2">
        <v>44373</v>
      </c>
      <c r="J307" t="s">
        <v>1128</v>
      </c>
      <c r="K307" t="s">
        <v>274</v>
      </c>
      <c r="L307" t="s">
        <v>273</v>
      </c>
      <c r="M307" t="s">
        <v>1684</v>
      </c>
      <c r="N307" t="s">
        <v>1672</v>
      </c>
      <c r="O307" t="s">
        <v>1685</v>
      </c>
    </row>
    <row r="308" spans="1:15" ht="15.75">
      <c r="A308" t="s">
        <v>330</v>
      </c>
      <c r="B308" t="s">
        <v>1186</v>
      </c>
      <c r="C308" t="s">
        <v>1170</v>
      </c>
      <c r="D308" t="s">
        <v>21</v>
      </c>
      <c r="E308">
        <v>26</v>
      </c>
      <c r="F308" t="s">
        <v>1118</v>
      </c>
      <c r="G308" t="s">
        <v>1790</v>
      </c>
      <c r="H308" t="s">
        <v>1791</v>
      </c>
      <c r="I308" s="2">
        <v>44769</v>
      </c>
      <c r="J308" t="s">
        <v>1135</v>
      </c>
      <c r="K308" t="s">
        <v>274</v>
      </c>
      <c r="L308" t="s">
        <v>273</v>
      </c>
      <c r="M308" t="s">
        <v>1671</v>
      </c>
      <c r="N308" t="s">
        <v>1672</v>
      </c>
      <c r="O308" t="s">
        <v>1673</v>
      </c>
    </row>
    <row r="309" spans="1:15" ht="15.75">
      <c r="A309" t="s">
        <v>331</v>
      </c>
      <c r="B309" t="s">
        <v>1246</v>
      </c>
      <c r="C309" t="s">
        <v>1170</v>
      </c>
      <c r="D309" t="s">
        <v>21</v>
      </c>
      <c r="E309">
        <v>34</v>
      </c>
      <c r="F309" t="s">
        <v>1118</v>
      </c>
      <c r="G309" t="s">
        <v>1792</v>
      </c>
      <c r="H309" t="s">
        <v>1793</v>
      </c>
      <c r="I309" s="2">
        <v>45166</v>
      </c>
      <c r="J309" t="s">
        <v>1142</v>
      </c>
      <c r="K309" t="s">
        <v>274</v>
      </c>
      <c r="L309" t="s">
        <v>273</v>
      </c>
      <c r="M309" t="s">
        <v>1676</v>
      </c>
      <c r="N309" t="s">
        <v>1672</v>
      </c>
      <c r="O309" t="s">
        <v>1677</v>
      </c>
    </row>
    <row r="310" spans="1:15" ht="15.75">
      <c r="A310" t="s">
        <v>332</v>
      </c>
      <c r="B310" t="s">
        <v>1191</v>
      </c>
      <c r="C310" t="s">
        <v>1170</v>
      </c>
      <c r="D310" t="s">
        <v>21</v>
      </c>
      <c r="E310">
        <v>26</v>
      </c>
      <c r="F310" t="s">
        <v>1118</v>
      </c>
      <c r="G310" t="s">
        <v>1794</v>
      </c>
      <c r="H310" t="s">
        <v>1795</v>
      </c>
      <c r="I310" s="2">
        <v>44440</v>
      </c>
      <c r="J310" t="s">
        <v>1121</v>
      </c>
      <c r="K310" t="s">
        <v>274</v>
      </c>
      <c r="L310" t="s">
        <v>273</v>
      </c>
      <c r="M310" t="s">
        <v>1680</v>
      </c>
      <c r="N310" t="s">
        <v>1672</v>
      </c>
      <c r="O310" t="s">
        <v>1681</v>
      </c>
    </row>
    <row r="311" spans="1:15" ht="15.75">
      <c r="A311" t="s">
        <v>333</v>
      </c>
      <c r="B311" t="s">
        <v>1160</v>
      </c>
      <c r="C311" t="s">
        <v>1170</v>
      </c>
      <c r="D311" t="s">
        <v>21</v>
      </c>
      <c r="E311">
        <v>28</v>
      </c>
      <c r="F311" t="s">
        <v>1118</v>
      </c>
      <c r="G311" t="s">
        <v>1796</v>
      </c>
      <c r="H311" t="s">
        <v>1797</v>
      </c>
      <c r="I311" s="2">
        <v>44836</v>
      </c>
      <c r="J311" t="s">
        <v>1128</v>
      </c>
      <c r="K311" t="s">
        <v>274</v>
      </c>
      <c r="L311" t="s">
        <v>273</v>
      </c>
      <c r="M311" t="s">
        <v>1684</v>
      </c>
      <c r="N311" t="s">
        <v>1672</v>
      </c>
      <c r="O311" t="s">
        <v>1685</v>
      </c>
    </row>
    <row r="312" spans="1:15" ht="15.75">
      <c r="A312" t="s">
        <v>334</v>
      </c>
      <c r="B312" t="s">
        <v>1197</v>
      </c>
      <c r="C312" t="s">
        <v>1170</v>
      </c>
      <c r="D312" t="s">
        <v>21</v>
      </c>
      <c r="E312">
        <v>32</v>
      </c>
      <c r="F312" t="s">
        <v>1118</v>
      </c>
      <c r="G312" t="s">
        <v>1798</v>
      </c>
      <c r="H312" t="s">
        <v>1799</v>
      </c>
      <c r="I312" s="2">
        <v>45233</v>
      </c>
      <c r="J312" t="s">
        <v>1135</v>
      </c>
      <c r="K312" t="s">
        <v>274</v>
      </c>
      <c r="L312" t="s">
        <v>273</v>
      </c>
      <c r="M312" t="s">
        <v>1671</v>
      </c>
      <c r="N312" t="s">
        <v>1672</v>
      </c>
      <c r="O312" t="s">
        <v>1673</v>
      </c>
    </row>
    <row r="313" spans="1:15" ht="15.75">
      <c r="A313" t="s">
        <v>335</v>
      </c>
      <c r="B313" t="s">
        <v>1167</v>
      </c>
      <c r="C313" t="s">
        <v>1170</v>
      </c>
      <c r="D313" t="s">
        <v>16</v>
      </c>
      <c r="E313">
        <v>41</v>
      </c>
      <c r="F313" t="s">
        <v>1139</v>
      </c>
      <c r="G313" t="s">
        <v>1800</v>
      </c>
      <c r="H313" t="s">
        <v>1801</v>
      </c>
      <c r="I313" s="2">
        <v>44534</v>
      </c>
      <c r="J313" t="s">
        <v>1142</v>
      </c>
      <c r="K313" t="s">
        <v>274</v>
      </c>
      <c r="L313" t="s">
        <v>273</v>
      </c>
      <c r="M313" t="s">
        <v>1676</v>
      </c>
      <c r="N313" t="s">
        <v>1672</v>
      </c>
      <c r="O313" t="s">
        <v>1677</v>
      </c>
    </row>
    <row r="314" spans="1:15" ht="15.75">
      <c r="A314" t="s">
        <v>336</v>
      </c>
      <c r="B314" t="s">
        <v>1203</v>
      </c>
      <c r="C314" t="s">
        <v>1204</v>
      </c>
      <c r="D314" t="s">
        <v>21</v>
      </c>
      <c r="E314">
        <v>55</v>
      </c>
      <c r="F314" t="s">
        <v>1132</v>
      </c>
      <c r="G314" t="s">
        <v>1802</v>
      </c>
      <c r="H314" t="s">
        <v>1803</v>
      </c>
      <c r="I314" s="2">
        <v>44566</v>
      </c>
      <c r="J314" t="s">
        <v>1121</v>
      </c>
      <c r="K314" t="s">
        <v>274</v>
      </c>
      <c r="L314" t="s">
        <v>273</v>
      </c>
      <c r="M314" t="s">
        <v>1680</v>
      </c>
      <c r="N314" t="s">
        <v>1672</v>
      </c>
      <c r="O314" t="s">
        <v>1681</v>
      </c>
    </row>
    <row r="315" spans="1:15" ht="15.75">
      <c r="A315" t="s">
        <v>337</v>
      </c>
      <c r="B315" t="s">
        <v>1173</v>
      </c>
      <c r="C315" t="s">
        <v>1204</v>
      </c>
      <c r="D315" t="s">
        <v>16</v>
      </c>
      <c r="E315">
        <v>52</v>
      </c>
      <c r="F315" t="s">
        <v>1132</v>
      </c>
      <c r="G315" t="s">
        <v>1804</v>
      </c>
      <c r="H315" t="s">
        <v>1805</v>
      </c>
      <c r="I315" s="2">
        <v>44963</v>
      </c>
      <c r="J315" t="s">
        <v>1128</v>
      </c>
      <c r="K315" t="s">
        <v>274</v>
      </c>
      <c r="L315" t="s">
        <v>273</v>
      </c>
      <c r="M315" t="s">
        <v>1684</v>
      </c>
      <c r="N315" t="s">
        <v>1672</v>
      </c>
      <c r="O315" t="s">
        <v>1685</v>
      </c>
    </row>
    <row r="316" spans="1:15" ht="15.75">
      <c r="A316" t="s">
        <v>338</v>
      </c>
      <c r="B316" t="s">
        <v>1131</v>
      </c>
      <c r="C316" t="s">
        <v>1204</v>
      </c>
      <c r="D316" t="s">
        <v>16</v>
      </c>
      <c r="E316">
        <v>47</v>
      </c>
      <c r="F316" t="s">
        <v>1132</v>
      </c>
      <c r="G316" t="s">
        <v>1806</v>
      </c>
      <c r="H316" t="s">
        <v>1807</v>
      </c>
      <c r="I316" s="2">
        <v>44262</v>
      </c>
      <c r="J316" t="s">
        <v>1135</v>
      </c>
      <c r="K316" t="s">
        <v>274</v>
      </c>
      <c r="L316" t="s">
        <v>273</v>
      </c>
      <c r="M316" t="s">
        <v>1671</v>
      </c>
      <c r="N316" t="s">
        <v>1672</v>
      </c>
      <c r="O316" t="s">
        <v>1673</v>
      </c>
    </row>
    <row r="317" spans="1:15" ht="15.75">
      <c r="A317" t="s">
        <v>339</v>
      </c>
      <c r="B317" t="s">
        <v>1211</v>
      </c>
      <c r="C317" t="s">
        <v>1204</v>
      </c>
      <c r="D317" t="s">
        <v>21</v>
      </c>
      <c r="E317">
        <v>48</v>
      </c>
      <c r="F317" t="s">
        <v>1132</v>
      </c>
      <c r="G317" t="s">
        <v>1808</v>
      </c>
      <c r="H317" t="s">
        <v>1809</v>
      </c>
      <c r="I317" s="2">
        <v>44659</v>
      </c>
      <c r="J317" t="s">
        <v>1142</v>
      </c>
      <c r="K317" t="s">
        <v>274</v>
      </c>
      <c r="L317" t="s">
        <v>273</v>
      </c>
      <c r="M317" t="s">
        <v>1676</v>
      </c>
      <c r="N317" t="s">
        <v>1672</v>
      </c>
      <c r="O317" t="s">
        <v>1677</v>
      </c>
    </row>
    <row r="318" spans="1:15" ht="15.75">
      <c r="A318" t="s">
        <v>340</v>
      </c>
      <c r="B318" t="s">
        <v>1145</v>
      </c>
      <c r="C318" t="s">
        <v>1204</v>
      </c>
      <c r="D318" t="s">
        <v>16</v>
      </c>
      <c r="E318">
        <v>22</v>
      </c>
      <c r="F318" t="s">
        <v>1164</v>
      </c>
      <c r="G318" t="s">
        <v>1810</v>
      </c>
      <c r="H318" t="s">
        <v>1811</v>
      </c>
      <c r="I318" s="2">
        <v>45055</v>
      </c>
      <c r="J318" t="s">
        <v>1121</v>
      </c>
      <c r="K318" t="s">
        <v>274</v>
      </c>
      <c r="L318" t="s">
        <v>273</v>
      </c>
      <c r="M318" t="s">
        <v>1680</v>
      </c>
      <c r="N318" t="s">
        <v>1672</v>
      </c>
      <c r="O318" t="s">
        <v>1681</v>
      </c>
    </row>
    <row r="319" spans="1:15" ht="15.75">
      <c r="A319" t="s">
        <v>341</v>
      </c>
      <c r="B319" t="s">
        <v>1241</v>
      </c>
      <c r="C319" t="s">
        <v>1204</v>
      </c>
      <c r="D319" t="s">
        <v>16</v>
      </c>
      <c r="E319">
        <v>61</v>
      </c>
      <c r="F319" t="s">
        <v>1132</v>
      </c>
      <c r="G319" t="s">
        <v>1812</v>
      </c>
      <c r="H319" t="s">
        <v>1813</v>
      </c>
      <c r="I319" s="2">
        <v>44357</v>
      </c>
      <c r="J319" t="s">
        <v>1128</v>
      </c>
      <c r="K319" t="s">
        <v>274</v>
      </c>
      <c r="L319" t="s">
        <v>273</v>
      </c>
      <c r="M319" t="s">
        <v>1684</v>
      </c>
      <c r="N319" t="s">
        <v>1672</v>
      </c>
      <c r="O319" t="s">
        <v>1685</v>
      </c>
    </row>
    <row r="320" spans="1:15" ht="15.75">
      <c r="A320" t="s">
        <v>342</v>
      </c>
      <c r="B320" t="s">
        <v>1151</v>
      </c>
      <c r="C320" t="s">
        <v>1204</v>
      </c>
      <c r="D320" t="s">
        <v>16</v>
      </c>
      <c r="E320">
        <v>31</v>
      </c>
      <c r="F320" t="s">
        <v>1118</v>
      </c>
      <c r="G320" t="s">
        <v>1814</v>
      </c>
      <c r="H320" t="s">
        <v>1815</v>
      </c>
      <c r="I320" s="2">
        <v>44753</v>
      </c>
      <c r="J320" t="s">
        <v>1135</v>
      </c>
      <c r="K320" t="s">
        <v>274</v>
      </c>
      <c r="L320" t="s">
        <v>273</v>
      </c>
      <c r="M320" t="s">
        <v>1671</v>
      </c>
      <c r="N320" t="s">
        <v>1672</v>
      </c>
      <c r="O320" t="s">
        <v>1673</v>
      </c>
    </row>
    <row r="321" spans="1:15" ht="15.75">
      <c r="A321" t="s">
        <v>343</v>
      </c>
      <c r="B321" t="s">
        <v>1246</v>
      </c>
      <c r="C321" t="s">
        <v>1204</v>
      </c>
      <c r="D321" t="s">
        <v>21</v>
      </c>
      <c r="E321">
        <v>28</v>
      </c>
      <c r="F321" t="s">
        <v>1118</v>
      </c>
      <c r="G321" t="s">
        <v>1816</v>
      </c>
      <c r="H321" t="s">
        <v>1817</v>
      </c>
      <c r="I321" s="2">
        <v>45150</v>
      </c>
      <c r="J321" t="s">
        <v>1142</v>
      </c>
      <c r="K321" t="s">
        <v>274</v>
      </c>
      <c r="L321" t="s">
        <v>273</v>
      </c>
      <c r="M321" t="s">
        <v>1676</v>
      </c>
      <c r="N321" t="s">
        <v>1672</v>
      </c>
      <c r="O321" t="s">
        <v>1677</v>
      </c>
    </row>
    <row r="322" spans="1:15" ht="15.75">
      <c r="A322" t="s">
        <v>344</v>
      </c>
      <c r="B322" t="s">
        <v>1191</v>
      </c>
      <c r="C322" t="s">
        <v>1204</v>
      </c>
      <c r="D322" t="s">
        <v>21</v>
      </c>
      <c r="E322">
        <v>26</v>
      </c>
      <c r="F322" t="s">
        <v>1118</v>
      </c>
      <c r="G322" t="s">
        <v>1818</v>
      </c>
      <c r="H322" t="s">
        <v>1819</v>
      </c>
      <c r="I322" s="2">
        <v>44452</v>
      </c>
      <c r="J322" t="s">
        <v>1121</v>
      </c>
      <c r="K322" t="s">
        <v>274</v>
      </c>
      <c r="L322" t="s">
        <v>273</v>
      </c>
      <c r="M322" t="s">
        <v>1680</v>
      </c>
      <c r="N322" t="s">
        <v>1672</v>
      </c>
      <c r="O322" t="s">
        <v>1681</v>
      </c>
    </row>
    <row r="323" spans="1:15" ht="15.75">
      <c r="A323" t="s">
        <v>345</v>
      </c>
      <c r="B323" t="s">
        <v>1194</v>
      </c>
      <c r="C323" t="s">
        <v>1204</v>
      </c>
      <c r="D323" t="s">
        <v>16</v>
      </c>
      <c r="E323">
        <v>51</v>
      </c>
      <c r="F323" t="s">
        <v>1132</v>
      </c>
      <c r="G323" t="s">
        <v>1820</v>
      </c>
      <c r="H323" t="s">
        <v>1821</v>
      </c>
      <c r="I323" s="2">
        <v>44848</v>
      </c>
      <c r="J323" t="s">
        <v>1128</v>
      </c>
      <c r="K323" t="s">
        <v>274</v>
      </c>
      <c r="L323" t="s">
        <v>273</v>
      </c>
      <c r="M323" t="s">
        <v>1684</v>
      </c>
      <c r="N323" t="s">
        <v>1672</v>
      </c>
      <c r="O323" t="s">
        <v>1685</v>
      </c>
    </row>
    <row r="324" spans="1:15" ht="15.75">
      <c r="A324" t="s">
        <v>346</v>
      </c>
      <c r="B324" t="s">
        <v>1197</v>
      </c>
      <c r="C324" t="s">
        <v>1204</v>
      </c>
      <c r="D324" t="s">
        <v>21</v>
      </c>
      <c r="E324">
        <v>29</v>
      </c>
      <c r="F324" t="s">
        <v>1118</v>
      </c>
      <c r="G324" t="s">
        <v>1822</v>
      </c>
      <c r="H324" t="s">
        <v>1823</v>
      </c>
      <c r="I324" s="2">
        <v>45245</v>
      </c>
      <c r="J324" t="s">
        <v>1135</v>
      </c>
      <c r="K324" t="s">
        <v>274</v>
      </c>
      <c r="L324" t="s">
        <v>273</v>
      </c>
      <c r="M324" t="s">
        <v>1671</v>
      </c>
      <c r="N324" t="s">
        <v>1672</v>
      </c>
      <c r="O324" t="s">
        <v>1673</v>
      </c>
    </row>
    <row r="325" spans="1:15" ht="15.75">
      <c r="A325" t="s">
        <v>347</v>
      </c>
      <c r="B325" t="s">
        <v>1200</v>
      </c>
      <c r="C325" t="s">
        <v>1204</v>
      </c>
      <c r="D325" t="s">
        <v>21</v>
      </c>
      <c r="E325">
        <v>52</v>
      </c>
      <c r="F325" t="s">
        <v>1132</v>
      </c>
      <c r="G325" t="s">
        <v>1824</v>
      </c>
      <c r="H325" t="s">
        <v>1825</v>
      </c>
      <c r="I325" s="2">
        <v>44546</v>
      </c>
      <c r="J325" t="s">
        <v>1142</v>
      </c>
      <c r="K325" t="s">
        <v>274</v>
      </c>
      <c r="L325" t="s">
        <v>273</v>
      </c>
      <c r="M325" t="s">
        <v>1676</v>
      </c>
      <c r="N325" t="s">
        <v>1672</v>
      </c>
      <c r="O325" t="s">
        <v>1677</v>
      </c>
    </row>
    <row r="326" spans="1:15" ht="15.75">
      <c r="A326" t="s">
        <v>348</v>
      </c>
      <c r="B326" t="s">
        <v>1203</v>
      </c>
      <c r="C326" t="s">
        <v>1230</v>
      </c>
      <c r="D326" t="s">
        <v>21</v>
      </c>
      <c r="E326">
        <v>52</v>
      </c>
      <c r="F326" t="s">
        <v>1132</v>
      </c>
      <c r="G326" t="s">
        <v>1826</v>
      </c>
      <c r="H326" t="s">
        <v>1827</v>
      </c>
      <c r="I326" s="2">
        <v>44578</v>
      </c>
      <c r="J326" t="s">
        <v>1121</v>
      </c>
      <c r="K326" t="s">
        <v>274</v>
      </c>
      <c r="L326" t="s">
        <v>273</v>
      </c>
      <c r="M326" t="s">
        <v>1680</v>
      </c>
      <c r="N326" t="s">
        <v>1672</v>
      </c>
      <c r="O326" t="s">
        <v>1681</v>
      </c>
    </row>
    <row r="327" spans="1:15" ht="15.75">
      <c r="A327" t="s">
        <v>349</v>
      </c>
      <c r="B327" t="s">
        <v>1125</v>
      </c>
      <c r="C327" t="s">
        <v>1230</v>
      </c>
      <c r="D327" t="s">
        <v>21</v>
      </c>
      <c r="E327">
        <v>18</v>
      </c>
      <c r="F327" t="s">
        <v>1164</v>
      </c>
      <c r="G327" t="s">
        <v>1828</v>
      </c>
      <c r="H327" t="s">
        <v>1829</v>
      </c>
      <c r="I327" s="2">
        <v>44975</v>
      </c>
      <c r="J327" t="s">
        <v>1128</v>
      </c>
      <c r="K327" t="s">
        <v>274</v>
      </c>
      <c r="L327" t="s">
        <v>273</v>
      </c>
      <c r="M327" t="s">
        <v>1684</v>
      </c>
      <c r="N327" t="s">
        <v>1672</v>
      </c>
      <c r="O327" t="s">
        <v>1685</v>
      </c>
    </row>
    <row r="328" spans="1:15" ht="15.75">
      <c r="A328" t="s">
        <v>350</v>
      </c>
      <c r="B328" t="s">
        <v>1131</v>
      </c>
      <c r="C328" t="s">
        <v>1230</v>
      </c>
      <c r="D328" t="s">
        <v>16</v>
      </c>
      <c r="E328">
        <v>57</v>
      </c>
      <c r="F328" t="s">
        <v>1132</v>
      </c>
      <c r="G328" t="s">
        <v>1830</v>
      </c>
      <c r="H328" t="s">
        <v>1831</v>
      </c>
      <c r="I328" s="2">
        <v>44274</v>
      </c>
      <c r="J328" t="s">
        <v>1135</v>
      </c>
      <c r="K328" t="s">
        <v>274</v>
      </c>
      <c r="L328" t="s">
        <v>273</v>
      </c>
      <c r="M328" t="s">
        <v>1671</v>
      </c>
      <c r="N328" t="s">
        <v>1672</v>
      </c>
      <c r="O328" t="s">
        <v>1673</v>
      </c>
    </row>
    <row r="329" spans="1:15" ht="15.75">
      <c r="A329" t="s">
        <v>351</v>
      </c>
      <c r="B329" t="s">
        <v>1138</v>
      </c>
      <c r="C329" t="s">
        <v>1230</v>
      </c>
      <c r="D329" t="s">
        <v>16</v>
      </c>
      <c r="E329">
        <v>39</v>
      </c>
      <c r="F329" t="s">
        <v>1139</v>
      </c>
      <c r="G329" t="s">
        <v>1832</v>
      </c>
      <c r="H329" t="s">
        <v>1833</v>
      </c>
      <c r="I329" s="2">
        <v>44671</v>
      </c>
      <c r="J329" t="s">
        <v>1142</v>
      </c>
      <c r="K329" t="s">
        <v>274</v>
      </c>
      <c r="L329" t="s">
        <v>273</v>
      </c>
      <c r="M329" t="s">
        <v>1676</v>
      </c>
      <c r="N329" t="s">
        <v>1672</v>
      </c>
      <c r="O329" t="s">
        <v>1677</v>
      </c>
    </row>
    <row r="330" spans="1:15" ht="15.75">
      <c r="A330" t="s">
        <v>352</v>
      </c>
      <c r="B330" t="s">
        <v>1181</v>
      </c>
      <c r="C330" t="s">
        <v>1230</v>
      </c>
      <c r="D330" t="s">
        <v>21</v>
      </c>
      <c r="E330">
        <v>46</v>
      </c>
      <c r="F330" t="s">
        <v>1132</v>
      </c>
      <c r="G330" t="s">
        <v>1834</v>
      </c>
      <c r="H330" t="s">
        <v>1835</v>
      </c>
      <c r="I330" s="2">
        <v>45067</v>
      </c>
      <c r="J330" t="s">
        <v>1121</v>
      </c>
      <c r="K330" t="s">
        <v>274</v>
      </c>
      <c r="L330" t="s">
        <v>273</v>
      </c>
      <c r="M330" t="s">
        <v>1680</v>
      </c>
      <c r="N330" t="s">
        <v>1672</v>
      </c>
      <c r="O330" t="s">
        <v>1681</v>
      </c>
    </row>
    <row r="331" spans="1:15" ht="15.75">
      <c r="A331" t="s">
        <v>353</v>
      </c>
      <c r="B331" t="s">
        <v>1148</v>
      </c>
      <c r="C331" t="s">
        <v>1230</v>
      </c>
      <c r="D331" t="s">
        <v>21</v>
      </c>
      <c r="E331">
        <v>25</v>
      </c>
      <c r="F331" t="s">
        <v>1164</v>
      </c>
      <c r="G331" t="s">
        <v>1836</v>
      </c>
      <c r="H331" t="s">
        <v>1837</v>
      </c>
      <c r="I331" s="2">
        <v>44369</v>
      </c>
      <c r="J331" t="s">
        <v>1128</v>
      </c>
      <c r="K331" t="s">
        <v>274</v>
      </c>
      <c r="L331" t="s">
        <v>273</v>
      </c>
      <c r="M331" t="s">
        <v>1684</v>
      </c>
      <c r="N331" t="s">
        <v>1672</v>
      </c>
      <c r="O331" t="s">
        <v>1685</v>
      </c>
    </row>
    <row r="332" spans="1:15" ht="15.75">
      <c r="A332" t="s">
        <v>354</v>
      </c>
      <c r="B332" t="s">
        <v>1151</v>
      </c>
      <c r="C332" t="s">
        <v>1230</v>
      </c>
      <c r="D332" t="s">
        <v>16</v>
      </c>
      <c r="E332">
        <v>28</v>
      </c>
      <c r="F332" t="s">
        <v>1118</v>
      </c>
      <c r="G332" t="s">
        <v>1838</v>
      </c>
      <c r="H332" t="s">
        <v>1839</v>
      </c>
      <c r="I332" s="2">
        <v>44765</v>
      </c>
      <c r="J332" t="s">
        <v>1135</v>
      </c>
      <c r="K332" t="s">
        <v>274</v>
      </c>
      <c r="L332" t="s">
        <v>273</v>
      </c>
      <c r="M332" t="s">
        <v>1671</v>
      </c>
      <c r="N332" t="s">
        <v>1672</v>
      </c>
      <c r="O332" t="s">
        <v>1673</v>
      </c>
    </row>
    <row r="333" spans="1:15" ht="15.75">
      <c r="A333" t="s">
        <v>355</v>
      </c>
      <c r="B333" t="s">
        <v>1154</v>
      </c>
      <c r="C333" t="s">
        <v>1230</v>
      </c>
      <c r="D333" t="s">
        <v>16</v>
      </c>
      <c r="E333">
        <v>58</v>
      </c>
      <c r="F333" t="s">
        <v>1132</v>
      </c>
      <c r="G333" t="s">
        <v>1840</v>
      </c>
      <c r="H333" t="s">
        <v>1841</v>
      </c>
      <c r="I333" s="2">
        <v>45162</v>
      </c>
      <c r="J333" t="s">
        <v>1142</v>
      </c>
      <c r="K333" t="s">
        <v>274</v>
      </c>
      <c r="L333" t="s">
        <v>273</v>
      </c>
      <c r="M333" t="s">
        <v>1676</v>
      </c>
      <c r="N333" t="s">
        <v>1672</v>
      </c>
      <c r="O333" t="s">
        <v>1677</v>
      </c>
    </row>
    <row r="334" spans="1:15" ht="15.75">
      <c r="A334" t="s">
        <v>356</v>
      </c>
      <c r="B334" t="s">
        <v>1191</v>
      </c>
      <c r="C334" t="s">
        <v>1230</v>
      </c>
      <c r="D334" t="s">
        <v>21</v>
      </c>
      <c r="E334">
        <v>54</v>
      </c>
      <c r="F334" t="s">
        <v>1132</v>
      </c>
      <c r="G334" t="s">
        <v>1842</v>
      </c>
      <c r="H334" t="s">
        <v>1843</v>
      </c>
      <c r="I334" s="2">
        <v>44464</v>
      </c>
      <c r="J334" t="s">
        <v>1121</v>
      </c>
      <c r="K334" t="s">
        <v>274</v>
      </c>
      <c r="L334" t="s">
        <v>273</v>
      </c>
      <c r="M334" t="s">
        <v>1680</v>
      </c>
      <c r="N334" t="s">
        <v>1672</v>
      </c>
      <c r="O334" t="s">
        <v>1681</v>
      </c>
    </row>
    <row r="335" spans="1:15" ht="15.75">
      <c r="A335" t="s">
        <v>357</v>
      </c>
      <c r="B335" t="s">
        <v>1194</v>
      </c>
      <c r="C335" t="s">
        <v>1230</v>
      </c>
      <c r="D335" t="s">
        <v>16</v>
      </c>
      <c r="E335">
        <v>31</v>
      </c>
      <c r="F335" t="s">
        <v>1118</v>
      </c>
      <c r="G335" t="s">
        <v>1844</v>
      </c>
      <c r="H335" t="s">
        <v>1845</v>
      </c>
      <c r="I335" s="2">
        <v>44860</v>
      </c>
      <c r="J335" t="s">
        <v>1128</v>
      </c>
      <c r="K335" t="s">
        <v>274</v>
      </c>
      <c r="L335" t="s">
        <v>273</v>
      </c>
      <c r="M335" t="s">
        <v>1684</v>
      </c>
      <c r="N335" t="s">
        <v>1672</v>
      </c>
      <c r="O335" t="s">
        <v>1685</v>
      </c>
    </row>
    <row r="336" spans="1:15" ht="15.75">
      <c r="A336" t="s">
        <v>358</v>
      </c>
      <c r="B336" t="s">
        <v>1197</v>
      </c>
      <c r="C336" t="s">
        <v>1230</v>
      </c>
      <c r="D336" t="s">
        <v>21</v>
      </c>
      <c r="E336">
        <v>47</v>
      </c>
      <c r="F336" t="s">
        <v>1132</v>
      </c>
      <c r="G336" t="s">
        <v>1846</v>
      </c>
      <c r="H336" t="s">
        <v>1847</v>
      </c>
      <c r="I336" s="2">
        <v>45257</v>
      </c>
      <c r="J336" t="s">
        <v>1135</v>
      </c>
      <c r="K336" t="s">
        <v>274</v>
      </c>
      <c r="L336" t="s">
        <v>273</v>
      </c>
      <c r="M336" t="s">
        <v>1671</v>
      </c>
      <c r="N336" t="s">
        <v>1672</v>
      </c>
      <c r="O336" t="s">
        <v>1673</v>
      </c>
    </row>
    <row r="337" spans="1:15" ht="15.75">
      <c r="A337" t="s">
        <v>359</v>
      </c>
      <c r="B337" t="s">
        <v>1200</v>
      </c>
      <c r="C337" t="s">
        <v>1230</v>
      </c>
      <c r="D337" t="s">
        <v>21</v>
      </c>
      <c r="E337">
        <v>52</v>
      </c>
      <c r="F337" t="s">
        <v>1132</v>
      </c>
      <c r="G337" t="s">
        <v>1848</v>
      </c>
      <c r="H337" t="s">
        <v>1849</v>
      </c>
      <c r="I337" s="2">
        <v>44558</v>
      </c>
      <c r="J337" t="s">
        <v>1142</v>
      </c>
      <c r="K337" t="s">
        <v>274</v>
      </c>
      <c r="L337" t="s">
        <v>273</v>
      </c>
      <c r="M337" t="s">
        <v>1676</v>
      </c>
      <c r="N337" t="s">
        <v>1672</v>
      </c>
      <c r="O337" t="s">
        <v>1677</v>
      </c>
    </row>
    <row r="338" spans="1:15" ht="15.75">
      <c r="A338" t="s">
        <v>360</v>
      </c>
      <c r="B338" t="s">
        <v>1116</v>
      </c>
      <c r="C338" t="s">
        <v>1257</v>
      </c>
      <c r="D338" t="s">
        <v>16</v>
      </c>
      <c r="E338">
        <v>38</v>
      </c>
      <c r="F338" t="s">
        <v>1139</v>
      </c>
      <c r="G338" t="s">
        <v>1850</v>
      </c>
      <c r="H338" t="s">
        <v>1851</v>
      </c>
      <c r="I338" s="2">
        <v>44562</v>
      </c>
      <c r="J338" t="s">
        <v>1121</v>
      </c>
      <c r="K338" t="s">
        <v>274</v>
      </c>
      <c r="L338" t="s">
        <v>273</v>
      </c>
      <c r="M338" t="s">
        <v>1680</v>
      </c>
      <c r="N338" t="s">
        <v>1672</v>
      </c>
      <c r="O338" t="s">
        <v>1681</v>
      </c>
    </row>
    <row r="339" spans="1:15" ht="15.75">
      <c r="A339" t="s">
        <v>361</v>
      </c>
      <c r="B339" t="s">
        <v>1173</v>
      </c>
      <c r="C339" t="s">
        <v>1257</v>
      </c>
      <c r="D339" t="s">
        <v>16</v>
      </c>
      <c r="E339">
        <v>54</v>
      </c>
      <c r="F339" t="s">
        <v>1132</v>
      </c>
      <c r="G339" t="s">
        <v>1852</v>
      </c>
      <c r="H339" t="s">
        <v>1853</v>
      </c>
      <c r="I339" s="2">
        <v>44959</v>
      </c>
      <c r="J339" t="s">
        <v>1128</v>
      </c>
      <c r="K339" t="s">
        <v>274</v>
      </c>
      <c r="L339" t="s">
        <v>273</v>
      </c>
      <c r="M339" t="s">
        <v>1684</v>
      </c>
      <c r="N339" t="s">
        <v>1672</v>
      </c>
      <c r="O339" t="s">
        <v>1685</v>
      </c>
    </row>
    <row r="340" spans="1:15" ht="15.75">
      <c r="A340" t="s">
        <v>362</v>
      </c>
      <c r="B340" t="s">
        <v>1176</v>
      </c>
      <c r="C340" t="s">
        <v>1257</v>
      </c>
      <c r="D340" t="s">
        <v>21</v>
      </c>
      <c r="E340">
        <v>22</v>
      </c>
      <c r="F340" t="s">
        <v>1164</v>
      </c>
      <c r="G340" t="s">
        <v>1854</v>
      </c>
      <c r="H340" t="s">
        <v>1855</v>
      </c>
      <c r="I340" s="2">
        <v>44258</v>
      </c>
      <c r="J340" t="s">
        <v>1135</v>
      </c>
      <c r="K340" t="s">
        <v>274</v>
      </c>
      <c r="L340" t="s">
        <v>273</v>
      </c>
      <c r="M340" t="s">
        <v>1671</v>
      </c>
      <c r="N340" t="s">
        <v>1672</v>
      </c>
      <c r="O340" t="s">
        <v>1673</v>
      </c>
    </row>
    <row r="341" spans="1:15" ht="15.75">
      <c r="A341" t="s">
        <v>363</v>
      </c>
      <c r="B341" t="s">
        <v>1211</v>
      </c>
      <c r="C341" t="s">
        <v>1257</v>
      </c>
      <c r="D341" t="s">
        <v>21</v>
      </c>
      <c r="E341">
        <v>36</v>
      </c>
      <c r="F341" t="s">
        <v>1139</v>
      </c>
      <c r="G341" t="s">
        <v>1856</v>
      </c>
      <c r="H341" t="s">
        <v>1857</v>
      </c>
      <c r="I341" s="2">
        <v>44655</v>
      </c>
      <c r="J341" t="s">
        <v>1142</v>
      </c>
      <c r="K341" t="s">
        <v>274</v>
      </c>
      <c r="L341" t="s">
        <v>273</v>
      </c>
      <c r="M341" t="s">
        <v>1676</v>
      </c>
      <c r="N341" t="s">
        <v>1672</v>
      </c>
      <c r="O341" t="s">
        <v>1677</v>
      </c>
    </row>
    <row r="342" spans="1:15" ht="15.75">
      <c r="A342" t="s">
        <v>364</v>
      </c>
      <c r="B342" t="s">
        <v>1145</v>
      </c>
      <c r="C342" t="s">
        <v>1257</v>
      </c>
      <c r="D342" t="s">
        <v>16</v>
      </c>
      <c r="E342">
        <v>31</v>
      </c>
      <c r="F342" t="s">
        <v>1118</v>
      </c>
      <c r="G342" t="s">
        <v>1858</v>
      </c>
      <c r="H342" t="s">
        <v>1859</v>
      </c>
      <c r="I342" s="2">
        <v>45051</v>
      </c>
      <c r="J342" t="s">
        <v>1121</v>
      </c>
      <c r="K342" t="s">
        <v>274</v>
      </c>
      <c r="L342" t="s">
        <v>273</v>
      </c>
      <c r="M342" t="s">
        <v>1680</v>
      </c>
      <c r="N342" t="s">
        <v>1672</v>
      </c>
      <c r="O342" t="s">
        <v>1681</v>
      </c>
    </row>
    <row r="343" spans="1:15" ht="15.75">
      <c r="A343" t="s">
        <v>365</v>
      </c>
      <c r="B343" t="s">
        <v>1148</v>
      </c>
      <c r="C343" t="s">
        <v>1257</v>
      </c>
      <c r="D343" t="s">
        <v>21</v>
      </c>
      <c r="E343">
        <v>43</v>
      </c>
      <c r="F343" t="s">
        <v>1139</v>
      </c>
      <c r="G343" t="s">
        <v>1860</v>
      </c>
      <c r="H343" t="s">
        <v>1861</v>
      </c>
      <c r="I343" s="2">
        <v>44353</v>
      </c>
      <c r="J343" t="s">
        <v>1128</v>
      </c>
      <c r="K343" t="s">
        <v>274</v>
      </c>
      <c r="L343" t="s">
        <v>273</v>
      </c>
      <c r="M343" t="s">
        <v>1684</v>
      </c>
      <c r="N343" t="s">
        <v>1672</v>
      </c>
      <c r="O343" t="s">
        <v>1685</v>
      </c>
    </row>
    <row r="344" spans="1:15" ht="15.75">
      <c r="A344" t="s">
        <v>366</v>
      </c>
      <c r="B344" t="s">
        <v>1151</v>
      </c>
      <c r="C344" t="s">
        <v>1257</v>
      </c>
      <c r="D344" t="s">
        <v>16</v>
      </c>
      <c r="E344">
        <v>21</v>
      </c>
      <c r="F344" t="s">
        <v>1164</v>
      </c>
      <c r="G344" t="s">
        <v>1862</v>
      </c>
      <c r="H344" t="s">
        <v>1863</v>
      </c>
      <c r="I344" s="2">
        <v>44749</v>
      </c>
      <c r="J344" t="s">
        <v>1135</v>
      </c>
      <c r="K344" t="s">
        <v>274</v>
      </c>
      <c r="L344" t="s">
        <v>273</v>
      </c>
      <c r="M344" t="s">
        <v>1671</v>
      </c>
      <c r="N344" t="s">
        <v>1672</v>
      </c>
      <c r="O344" t="s">
        <v>1673</v>
      </c>
    </row>
    <row r="345" spans="1:15" ht="15.75">
      <c r="A345" t="s">
        <v>367</v>
      </c>
      <c r="B345" t="s">
        <v>1246</v>
      </c>
      <c r="C345" t="s">
        <v>1257</v>
      </c>
      <c r="D345" t="s">
        <v>21</v>
      </c>
      <c r="E345">
        <v>42</v>
      </c>
      <c r="F345" t="s">
        <v>1139</v>
      </c>
      <c r="G345" t="s">
        <v>1864</v>
      </c>
      <c r="H345" t="s">
        <v>1865</v>
      </c>
      <c r="I345" s="2">
        <v>45146</v>
      </c>
      <c r="J345" t="s">
        <v>1142</v>
      </c>
      <c r="K345" t="s">
        <v>274</v>
      </c>
      <c r="L345" t="s">
        <v>273</v>
      </c>
      <c r="M345" t="s">
        <v>1676</v>
      </c>
      <c r="N345" t="s">
        <v>1672</v>
      </c>
      <c r="O345" t="s">
        <v>1677</v>
      </c>
    </row>
    <row r="346" spans="1:15" ht="15.75">
      <c r="A346" t="s">
        <v>368</v>
      </c>
      <c r="B346" t="s">
        <v>1157</v>
      </c>
      <c r="C346" t="s">
        <v>1257</v>
      </c>
      <c r="D346" t="s">
        <v>16</v>
      </c>
      <c r="E346">
        <v>62</v>
      </c>
      <c r="F346" t="s">
        <v>1132</v>
      </c>
      <c r="G346" t="s">
        <v>1866</v>
      </c>
      <c r="H346" t="s">
        <v>1867</v>
      </c>
      <c r="I346" s="2">
        <v>44448</v>
      </c>
      <c r="J346" t="s">
        <v>1121</v>
      </c>
      <c r="K346" t="s">
        <v>274</v>
      </c>
      <c r="L346" t="s">
        <v>273</v>
      </c>
      <c r="M346" t="s">
        <v>1680</v>
      </c>
      <c r="N346" t="s">
        <v>1672</v>
      </c>
      <c r="O346" t="s">
        <v>1681</v>
      </c>
    </row>
    <row r="347" spans="1:15" ht="15.75">
      <c r="A347" t="s">
        <v>369</v>
      </c>
      <c r="B347" t="s">
        <v>1194</v>
      </c>
      <c r="C347" t="s">
        <v>1257</v>
      </c>
      <c r="D347" t="s">
        <v>16</v>
      </c>
      <c r="E347">
        <v>59</v>
      </c>
      <c r="F347" t="s">
        <v>1132</v>
      </c>
      <c r="G347" t="s">
        <v>1868</v>
      </c>
      <c r="H347" t="s">
        <v>1869</v>
      </c>
      <c r="I347" s="2">
        <v>44844</v>
      </c>
      <c r="J347" t="s">
        <v>1128</v>
      </c>
      <c r="K347" t="s">
        <v>274</v>
      </c>
      <c r="L347" t="s">
        <v>273</v>
      </c>
      <c r="M347" t="s">
        <v>1684</v>
      </c>
      <c r="N347" t="s">
        <v>1672</v>
      </c>
      <c r="O347" t="s">
        <v>1685</v>
      </c>
    </row>
    <row r="348" spans="1:15" ht="15.75">
      <c r="A348" t="s">
        <v>370</v>
      </c>
      <c r="B348" t="s">
        <v>1163</v>
      </c>
      <c r="C348" t="s">
        <v>1257</v>
      </c>
      <c r="D348" t="s">
        <v>16</v>
      </c>
      <c r="E348">
        <v>42</v>
      </c>
      <c r="F348" t="s">
        <v>1139</v>
      </c>
      <c r="G348" t="s">
        <v>1870</v>
      </c>
      <c r="H348" t="s">
        <v>1871</v>
      </c>
      <c r="I348" s="2">
        <v>45241</v>
      </c>
      <c r="J348" t="s">
        <v>1135</v>
      </c>
      <c r="K348" t="s">
        <v>274</v>
      </c>
      <c r="L348" t="s">
        <v>273</v>
      </c>
      <c r="M348" t="s">
        <v>1671</v>
      </c>
      <c r="N348" t="s">
        <v>1672</v>
      </c>
      <c r="O348" t="s">
        <v>1673</v>
      </c>
    </row>
    <row r="349" spans="1:15" ht="15.75">
      <c r="A349" t="s">
        <v>371</v>
      </c>
      <c r="B349" t="s">
        <v>1200</v>
      </c>
      <c r="C349" t="s">
        <v>1257</v>
      </c>
      <c r="D349" t="s">
        <v>21</v>
      </c>
      <c r="E349">
        <v>35</v>
      </c>
      <c r="F349" t="s">
        <v>1118</v>
      </c>
      <c r="G349" t="s">
        <v>1872</v>
      </c>
      <c r="H349" t="s">
        <v>1873</v>
      </c>
      <c r="I349" s="2">
        <v>44542</v>
      </c>
      <c r="J349" t="s">
        <v>1142</v>
      </c>
      <c r="K349" t="s">
        <v>274</v>
      </c>
      <c r="L349" t="s">
        <v>273</v>
      </c>
      <c r="M349" t="s">
        <v>1676</v>
      </c>
      <c r="N349" t="s">
        <v>1672</v>
      </c>
      <c r="O349" t="s">
        <v>1677</v>
      </c>
    </row>
    <row r="350" spans="1:15" ht="15.75">
      <c r="A350" t="s">
        <v>372</v>
      </c>
      <c r="B350" t="s">
        <v>1203</v>
      </c>
      <c r="C350" t="s">
        <v>1282</v>
      </c>
      <c r="D350" t="s">
        <v>21</v>
      </c>
      <c r="E350">
        <v>57</v>
      </c>
      <c r="F350" t="s">
        <v>1132</v>
      </c>
      <c r="G350" t="s">
        <v>1874</v>
      </c>
      <c r="H350" t="s">
        <v>1875</v>
      </c>
      <c r="I350" s="2">
        <v>44574</v>
      </c>
      <c r="J350" t="s">
        <v>1121</v>
      </c>
      <c r="K350" t="s">
        <v>274</v>
      </c>
      <c r="L350" t="s">
        <v>273</v>
      </c>
      <c r="M350" t="s">
        <v>1680</v>
      </c>
      <c r="N350" t="s">
        <v>1672</v>
      </c>
      <c r="O350" t="s">
        <v>1681</v>
      </c>
    </row>
    <row r="351" spans="1:15" ht="15.75">
      <c r="A351" t="s">
        <v>373</v>
      </c>
      <c r="B351" t="s">
        <v>1173</v>
      </c>
      <c r="C351" t="s">
        <v>1282</v>
      </c>
      <c r="D351" t="s">
        <v>16</v>
      </c>
      <c r="E351">
        <v>25</v>
      </c>
      <c r="F351" t="s">
        <v>1164</v>
      </c>
      <c r="G351" t="s">
        <v>1876</v>
      </c>
      <c r="H351" t="s">
        <v>1877</v>
      </c>
      <c r="I351" s="2">
        <v>44971</v>
      </c>
      <c r="J351" t="s">
        <v>1128</v>
      </c>
      <c r="K351" t="s">
        <v>274</v>
      </c>
      <c r="L351" t="s">
        <v>273</v>
      </c>
      <c r="M351" t="s">
        <v>1684</v>
      </c>
      <c r="N351" t="s">
        <v>1672</v>
      </c>
      <c r="O351" t="s">
        <v>1685</v>
      </c>
    </row>
    <row r="352" spans="1:15" ht="15.75">
      <c r="A352" t="s">
        <v>374</v>
      </c>
      <c r="B352" t="s">
        <v>1176</v>
      </c>
      <c r="C352" t="s">
        <v>1282</v>
      </c>
      <c r="D352" t="s">
        <v>21</v>
      </c>
      <c r="E352">
        <v>56</v>
      </c>
      <c r="F352" t="s">
        <v>1132</v>
      </c>
      <c r="G352" t="s">
        <v>1878</v>
      </c>
      <c r="H352" t="s">
        <v>1879</v>
      </c>
      <c r="I352" s="2">
        <v>44270</v>
      </c>
      <c r="J352" t="s">
        <v>1135</v>
      </c>
      <c r="K352" t="s">
        <v>274</v>
      </c>
      <c r="L352" t="s">
        <v>273</v>
      </c>
      <c r="M352" t="s">
        <v>1671</v>
      </c>
      <c r="N352" t="s">
        <v>1672</v>
      </c>
      <c r="O352" t="s">
        <v>1673</v>
      </c>
    </row>
    <row r="353" spans="1:15" ht="15.75">
      <c r="A353" t="s">
        <v>375</v>
      </c>
      <c r="B353" t="s">
        <v>1138</v>
      </c>
      <c r="C353" t="s">
        <v>1282</v>
      </c>
      <c r="D353" t="s">
        <v>16</v>
      </c>
      <c r="E353">
        <v>57</v>
      </c>
      <c r="F353" t="s">
        <v>1132</v>
      </c>
      <c r="G353" t="s">
        <v>1880</v>
      </c>
      <c r="H353" t="s">
        <v>1881</v>
      </c>
      <c r="I353" s="2">
        <v>44667</v>
      </c>
      <c r="J353" t="s">
        <v>1142</v>
      </c>
      <c r="K353" t="s">
        <v>274</v>
      </c>
      <c r="L353" t="s">
        <v>273</v>
      </c>
      <c r="M353" t="s">
        <v>1676</v>
      </c>
      <c r="N353" t="s">
        <v>1672</v>
      </c>
      <c r="O353" t="s">
        <v>1677</v>
      </c>
    </row>
    <row r="354" spans="1:15" ht="15.75">
      <c r="A354" t="s">
        <v>376</v>
      </c>
      <c r="B354" t="s">
        <v>1145</v>
      </c>
      <c r="C354" t="s">
        <v>1282</v>
      </c>
      <c r="D354" t="s">
        <v>16</v>
      </c>
      <c r="E354">
        <v>31</v>
      </c>
      <c r="F354" t="s">
        <v>1118</v>
      </c>
      <c r="G354" t="s">
        <v>1882</v>
      </c>
      <c r="H354" t="s">
        <v>1883</v>
      </c>
      <c r="I354" s="2">
        <v>45063</v>
      </c>
      <c r="J354" t="s">
        <v>1121</v>
      </c>
      <c r="K354" t="s">
        <v>274</v>
      </c>
      <c r="L354" t="s">
        <v>273</v>
      </c>
      <c r="M354" t="s">
        <v>1680</v>
      </c>
      <c r="N354" t="s">
        <v>1672</v>
      </c>
      <c r="O354" t="s">
        <v>1681</v>
      </c>
    </row>
    <row r="355" spans="1:15" ht="15.75">
      <c r="A355" t="s">
        <v>377</v>
      </c>
      <c r="B355" t="s">
        <v>1148</v>
      </c>
      <c r="C355" t="s">
        <v>1282</v>
      </c>
      <c r="D355" t="s">
        <v>21</v>
      </c>
      <c r="E355">
        <v>49</v>
      </c>
      <c r="F355" t="s">
        <v>1132</v>
      </c>
      <c r="G355" t="s">
        <v>1884</v>
      </c>
      <c r="H355" t="s">
        <v>1885</v>
      </c>
      <c r="I355" s="2">
        <v>44365</v>
      </c>
      <c r="J355" t="s">
        <v>1128</v>
      </c>
      <c r="K355" t="s">
        <v>274</v>
      </c>
      <c r="L355" t="s">
        <v>273</v>
      </c>
      <c r="M355" t="s">
        <v>1684</v>
      </c>
      <c r="N355" t="s">
        <v>1672</v>
      </c>
      <c r="O355" t="s">
        <v>1685</v>
      </c>
    </row>
    <row r="356" spans="1:15" ht="15.75">
      <c r="A356" t="s">
        <v>378</v>
      </c>
      <c r="B356" t="s">
        <v>1186</v>
      </c>
      <c r="C356" t="s">
        <v>1282</v>
      </c>
      <c r="D356" t="s">
        <v>21</v>
      </c>
      <c r="E356">
        <v>55</v>
      </c>
      <c r="F356" t="s">
        <v>1132</v>
      </c>
      <c r="G356" t="s">
        <v>1886</v>
      </c>
      <c r="H356" t="s">
        <v>1887</v>
      </c>
      <c r="I356" s="2">
        <v>44761</v>
      </c>
      <c r="J356" t="s">
        <v>1135</v>
      </c>
      <c r="K356" t="s">
        <v>274</v>
      </c>
      <c r="L356" t="s">
        <v>273</v>
      </c>
      <c r="M356" t="s">
        <v>1671</v>
      </c>
      <c r="N356" t="s">
        <v>1672</v>
      </c>
      <c r="O356" t="s">
        <v>1673</v>
      </c>
    </row>
    <row r="357" spans="1:15" ht="15.75">
      <c r="A357" t="s">
        <v>379</v>
      </c>
      <c r="B357" t="s">
        <v>1154</v>
      </c>
      <c r="C357" t="s">
        <v>1282</v>
      </c>
      <c r="D357" t="s">
        <v>16</v>
      </c>
      <c r="E357">
        <v>50</v>
      </c>
      <c r="F357" t="s">
        <v>1132</v>
      </c>
      <c r="G357" t="s">
        <v>1888</v>
      </c>
      <c r="H357" t="s">
        <v>1889</v>
      </c>
      <c r="I357" s="2">
        <v>45158</v>
      </c>
      <c r="J357" t="s">
        <v>1142</v>
      </c>
      <c r="K357" t="s">
        <v>274</v>
      </c>
      <c r="L357" t="s">
        <v>273</v>
      </c>
      <c r="M357" t="s">
        <v>1676</v>
      </c>
      <c r="N357" t="s">
        <v>1672</v>
      </c>
      <c r="O357" t="s">
        <v>1677</v>
      </c>
    </row>
    <row r="358" spans="1:15" ht="15.75">
      <c r="A358" t="s">
        <v>380</v>
      </c>
      <c r="B358" t="s">
        <v>1191</v>
      </c>
      <c r="C358" t="s">
        <v>1282</v>
      </c>
      <c r="D358" t="s">
        <v>21</v>
      </c>
      <c r="E358">
        <v>40</v>
      </c>
      <c r="F358" t="s">
        <v>1139</v>
      </c>
      <c r="G358" t="s">
        <v>1890</v>
      </c>
      <c r="H358" t="s">
        <v>1891</v>
      </c>
      <c r="I358" s="2">
        <v>44460</v>
      </c>
      <c r="J358" t="s">
        <v>1121</v>
      </c>
      <c r="K358" t="s">
        <v>274</v>
      </c>
      <c r="L358" t="s">
        <v>273</v>
      </c>
      <c r="M358" t="s">
        <v>1680</v>
      </c>
      <c r="N358" t="s">
        <v>1672</v>
      </c>
      <c r="O358" t="s">
        <v>1681</v>
      </c>
    </row>
    <row r="359" spans="1:15" ht="15.75">
      <c r="A359" t="s">
        <v>381</v>
      </c>
      <c r="B359" t="s">
        <v>1160</v>
      </c>
      <c r="C359" t="s">
        <v>1282</v>
      </c>
      <c r="D359" t="s">
        <v>21</v>
      </c>
      <c r="E359">
        <v>32</v>
      </c>
      <c r="F359" t="s">
        <v>1118</v>
      </c>
      <c r="G359" t="s">
        <v>1892</v>
      </c>
      <c r="H359" t="s">
        <v>1893</v>
      </c>
      <c r="I359" s="2">
        <v>44856</v>
      </c>
      <c r="J359" t="s">
        <v>1128</v>
      </c>
      <c r="K359" t="s">
        <v>274</v>
      </c>
      <c r="L359" t="s">
        <v>273</v>
      </c>
      <c r="M359" t="s">
        <v>1684</v>
      </c>
      <c r="N359" t="s">
        <v>1672</v>
      </c>
      <c r="O359" t="s">
        <v>1685</v>
      </c>
    </row>
    <row r="360" spans="1:15" ht="15.75">
      <c r="A360" t="s">
        <v>382</v>
      </c>
      <c r="B360" t="s">
        <v>1163</v>
      </c>
      <c r="C360" t="s">
        <v>1282</v>
      </c>
      <c r="D360" t="s">
        <v>16</v>
      </c>
      <c r="E360">
        <v>50</v>
      </c>
      <c r="F360" t="s">
        <v>1132</v>
      </c>
      <c r="G360" t="s">
        <v>1894</v>
      </c>
      <c r="H360" t="s">
        <v>1895</v>
      </c>
      <c r="I360" s="2">
        <v>45253</v>
      </c>
      <c r="J360" t="s">
        <v>1135</v>
      </c>
      <c r="K360" t="s">
        <v>274</v>
      </c>
      <c r="L360" t="s">
        <v>273</v>
      </c>
      <c r="M360" t="s">
        <v>1671</v>
      </c>
      <c r="N360" t="s">
        <v>1672</v>
      </c>
      <c r="O360" t="s">
        <v>1673</v>
      </c>
    </row>
    <row r="361" spans="1:15" ht="15.75">
      <c r="A361" t="s">
        <v>383</v>
      </c>
      <c r="B361" t="s">
        <v>1167</v>
      </c>
      <c r="C361" t="s">
        <v>1282</v>
      </c>
      <c r="D361" t="s">
        <v>16</v>
      </c>
      <c r="E361">
        <v>42</v>
      </c>
      <c r="F361" t="s">
        <v>1139</v>
      </c>
      <c r="G361" t="s">
        <v>1896</v>
      </c>
      <c r="H361" t="s">
        <v>1897</v>
      </c>
      <c r="I361" s="2">
        <v>44554</v>
      </c>
      <c r="J361" t="s">
        <v>1142</v>
      </c>
      <c r="K361" t="s">
        <v>274</v>
      </c>
      <c r="L361" t="s">
        <v>273</v>
      </c>
      <c r="M361" t="s">
        <v>1676</v>
      </c>
      <c r="N361" t="s">
        <v>1672</v>
      </c>
      <c r="O361" t="s">
        <v>1677</v>
      </c>
    </row>
    <row r="362" spans="1:15" ht="15.75">
      <c r="A362" t="s">
        <v>384</v>
      </c>
      <c r="B362" t="s">
        <v>1203</v>
      </c>
      <c r="C362" t="s">
        <v>1307</v>
      </c>
      <c r="D362" t="s">
        <v>21</v>
      </c>
      <c r="E362">
        <v>34</v>
      </c>
      <c r="F362" t="s">
        <v>1118</v>
      </c>
      <c r="G362" t="s">
        <v>1898</v>
      </c>
      <c r="H362" t="s">
        <v>1899</v>
      </c>
      <c r="I362" s="2">
        <v>44586</v>
      </c>
      <c r="J362" t="s">
        <v>1121</v>
      </c>
      <c r="K362" t="s">
        <v>274</v>
      </c>
      <c r="L362" t="s">
        <v>273</v>
      </c>
      <c r="M362" t="s">
        <v>1680</v>
      </c>
      <c r="N362" t="s">
        <v>1672</v>
      </c>
      <c r="O362" t="s">
        <v>1681</v>
      </c>
    </row>
    <row r="363" spans="1:15" ht="15.75">
      <c r="A363" t="s">
        <v>385</v>
      </c>
      <c r="B363" t="s">
        <v>1173</v>
      </c>
      <c r="C363" t="s">
        <v>1307</v>
      </c>
      <c r="D363" t="s">
        <v>16</v>
      </c>
      <c r="E363">
        <v>50</v>
      </c>
      <c r="F363" t="s">
        <v>1132</v>
      </c>
      <c r="G363" t="s">
        <v>1900</v>
      </c>
      <c r="H363" t="s">
        <v>1901</v>
      </c>
      <c r="I363" s="2">
        <v>44983</v>
      </c>
      <c r="J363" t="s">
        <v>1128</v>
      </c>
      <c r="K363" t="s">
        <v>274</v>
      </c>
      <c r="L363" t="s">
        <v>273</v>
      </c>
      <c r="M363" t="s">
        <v>1684</v>
      </c>
      <c r="N363" t="s">
        <v>1672</v>
      </c>
      <c r="O363" t="s">
        <v>1685</v>
      </c>
    </row>
    <row r="364" spans="1:15" ht="15.75">
      <c r="A364" t="s">
        <v>386</v>
      </c>
      <c r="B364" t="s">
        <v>1131</v>
      </c>
      <c r="C364" t="s">
        <v>1307</v>
      </c>
      <c r="D364" t="s">
        <v>16</v>
      </c>
      <c r="E364">
        <v>64</v>
      </c>
      <c r="F364" t="s">
        <v>1132</v>
      </c>
      <c r="G364" t="s">
        <v>1902</v>
      </c>
      <c r="H364" t="s">
        <v>1903</v>
      </c>
      <c r="I364" s="2">
        <v>44282</v>
      </c>
      <c r="J364" t="s">
        <v>1135</v>
      </c>
      <c r="K364" t="s">
        <v>274</v>
      </c>
      <c r="L364" t="s">
        <v>273</v>
      </c>
      <c r="M364" t="s">
        <v>1671</v>
      </c>
      <c r="N364" t="s">
        <v>1672</v>
      </c>
      <c r="O364" t="s">
        <v>1673</v>
      </c>
    </row>
    <row r="365" spans="1:15" ht="15.75">
      <c r="A365" t="s">
        <v>387</v>
      </c>
      <c r="B365" t="s">
        <v>1211</v>
      </c>
      <c r="C365" t="s">
        <v>1307</v>
      </c>
      <c r="D365" t="s">
        <v>21</v>
      </c>
      <c r="E365">
        <v>19</v>
      </c>
      <c r="F365" t="s">
        <v>1164</v>
      </c>
      <c r="G365" t="s">
        <v>1904</v>
      </c>
      <c r="H365" t="s">
        <v>1905</v>
      </c>
      <c r="I365" s="2">
        <v>44679</v>
      </c>
      <c r="J365" t="s">
        <v>1142</v>
      </c>
      <c r="K365" t="s">
        <v>274</v>
      </c>
      <c r="L365" t="s">
        <v>273</v>
      </c>
      <c r="M365" t="s">
        <v>1676</v>
      </c>
      <c r="N365" t="s">
        <v>1672</v>
      </c>
      <c r="O365" t="s">
        <v>1677</v>
      </c>
    </row>
    <row r="366" spans="1:15" ht="15.75">
      <c r="A366" t="s">
        <v>388</v>
      </c>
      <c r="B366" t="s">
        <v>1145</v>
      </c>
      <c r="C366" t="s">
        <v>1307</v>
      </c>
      <c r="D366" t="s">
        <v>16</v>
      </c>
      <c r="E366">
        <v>31</v>
      </c>
      <c r="F366" t="s">
        <v>1118</v>
      </c>
      <c r="G366" t="s">
        <v>1906</v>
      </c>
      <c r="H366" t="s">
        <v>1907</v>
      </c>
      <c r="I366" s="2">
        <v>45047</v>
      </c>
      <c r="J366" t="s">
        <v>1121</v>
      </c>
      <c r="K366" t="s">
        <v>274</v>
      </c>
      <c r="L366" t="s">
        <v>273</v>
      </c>
      <c r="M366" t="s">
        <v>1680</v>
      </c>
      <c r="N366" t="s">
        <v>1672</v>
      </c>
      <c r="O366" t="s">
        <v>1681</v>
      </c>
    </row>
    <row r="367" spans="1:15" ht="15.75">
      <c r="A367" t="s">
        <v>389</v>
      </c>
      <c r="B367" t="s">
        <v>1241</v>
      </c>
      <c r="C367" t="s">
        <v>1307</v>
      </c>
      <c r="D367" t="s">
        <v>16</v>
      </c>
      <c r="E367">
        <v>57</v>
      </c>
      <c r="F367" t="s">
        <v>1132</v>
      </c>
      <c r="G367" t="s">
        <v>1908</v>
      </c>
      <c r="H367" t="s">
        <v>1909</v>
      </c>
      <c r="I367" s="2">
        <v>44349</v>
      </c>
      <c r="J367" t="s">
        <v>1128</v>
      </c>
      <c r="K367" t="s">
        <v>274</v>
      </c>
      <c r="L367" t="s">
        <v>273</v>
      </c>
      <c r="M367" t="s">
        <v>1684</v>
      </c>
      <c r="N367" t="s">
        <v>1672</v>
      </c>
      <c r="O367" t="s">
        <v>1685</v>
      </c>
    </row>
    <row r="368" spans="1:15" ht="15.75">
      <c r="A368" t="s">
        <v>390</v>
      </c>
      <c r="B368" t="s">
        <v>1186</v>
      </c>
      <c r="C368" t="s">
        <v>1307</v>
      </c>
      <c r="D368" t="s">
        <v>21</v>
      </c>
      <c r="E368">
        <v>57</v>
      </c>
      <c r="F368" t="s">
        <v>1132</v>
      </c>
      <c r="G368" t="s">
        <v>1910</v>
      </c>
      <c r="H368" t="s">
        <v>1911</v>
      </c>
      <c r="I368" s="2">
        <v>44745</v>
      </c>
      <c r="J368" t="s">
        <v>1135</v>
      </c>
      <c r="K368" t="s">
        <v>274</v>
      </c>
      <c r="L368" t="s">
        <v>273</v>
      </c>
      <c r="M368" t="s">
        <v>1671</v>
      </c>
      <c r="N368" t="s">
        <v>1672</v>
      </c>
      <c r="O368" t="s">
        <v>1673</v>
      </c>
    </row>
    <row r="369" spans="1:15" ht="15.75">
      <c r="A369" t="s">
        <v>391</v>
      </c>
      <c r="B369" t="s">
        <v>1246</v>
      </c>
      <c r="C369" t="s">
        <v>1307</v>
      </c>
      <c r="D369" t="s">
        <v>21</v>
      </c>
      <c r="E369">
        <v>56</v>
      </c>
      <c r="F369" t="s">
        <v>1132</v>
      </c>
      <c r="G369" t="s">
        <v>1912</v>
      </c>
      <c r="H369" t="s">
        <v>1913</v>
      </c>
      <c r="I369" s="2">
        <v>45142</v>
      </c>
      <c r="J369" t="s">
        <v>1142</v>
      </c>
      <c r="K369" t="s">
        <v>274</v>
      </c>
      <c r="L369" t="s">
        <v>273</v>
      </c>
      <c r="M369" t="s">
        <v>1676</v>
      </c>
      <c r="N369" t="s">
        <v>1672</v>
      </c>
      <c r="O369" t="s">
        <v>1677</v>
      </c>
    </row>
    <row r="370" spans="1:15" ht="15.75">
      <c r="A370" t="s">
        <v>392</v>
      </c>
      <c r="B370" t="s">
        <v>1157</v>
      </c>
      <c r="C370" t="s">
        <v>1307</v>
      </c>
      <c r="D370" t="s">
        <v>16</v>
      </c>
      <c r="E370">
        <v>23</v>
      </c>
      <c r="F370" t="s">
        <v>1164</v>
      </c>
      <c r="G370" t="s">
        <v>1914</v>
      </c>
      <c r="H370" t="s">
        <v>1915</v>
      </c>
      <c r="I370" s="2">
        <v>44444</v>
      </c>
      <c r="J370" t="s">
        <v>1121</v>
      </c>
      <c r="K370" t="s">
        <v>274</v>
      </c>
      <c r="L370" t="s">
        <v>273</v>
      </c>
      <c r="M370" t="s">
        <v>1680</v>
      </c>
      <c r="N370" t="s">
        <v>1672</v>
      </c>
      <c r="O370" t="s">
        <v>1681</v>
      </c>
    </row>
    <row r="371" spans="1:15" ht="15.75">
      <c r="A371" t="s">
        <v>393</v>
      </c>
      <c r="B371" t="s">
        <v>1194</v>
      </c>
      <c r="C371" t="s">
        <v>1307</v>
      </c>
      <c r="D371" t="s">
        <v>16</v>
      </c>
      <c r="E371">
        <v>23</v>
      </c>
      <c r="F371" t="s">
        <v>1164</v>
      </c>
      <c r="G371" t="s">
        <v>1916</v>
      </c>
      <c r="H371" t="s">
        <v>1917</v>
      </c>
      <c r="I371" s="2">
        <v>44840</v>
      </c>
      <c r="J371" t="s">
        <v>1128</v>
      </c>
      <c r="K371" t="s">
        <v>274</v>
      </c>
      <c r="L371" t="s">
        <v>273</v>
      </c>
      <c r="M371" t="s">
        <v>1684</v>
      </c>
      <c r="N371" t="s">
        <v>1672</v>
      </c>
      <c r="O371" t="s">
        <v>1685</v>
      </c>
    </row>
    <row r="372" spans="1:15" ht="15.75">
      <c r="A372" t="s">
        <v>394</v>
      </c>
      <c r="B372" t="s">
        <v>1197</v>
      </c>
      <c r="C372" t="s">
        <v>1307</v>
      </c>
      <c r="D372" t="s">
        <v>21</v>
      </c>
      <c r="E372">
        <v>20</v>
      </c>
      <c r="F372" t="s">
        <v>1164</v>
      </c>
      <c r="G372" t="s">
        <v>1918</v>
      </c>
      <c r="H372" t="s">
        <v>1919</v>
      </c>
      <c r="I372" s="2">
        <v>45237</v>
      </c>
      <c r="J372" t="s">
        <v>1135</v>
      </c>
      <c r="K372" t="s">
        <v>274</v>
      </c>
      <c r="L372" t="s">
        <v>273</v>
      </c>
      <c r="M372" t="s">
        <v>1671</v>
      </c>
      <c r="N372" t="s">
        <v>1672</v>
      </c>
      <c r="O372" t="s">
        <v>1673</v>
      </c>
    </row>
    <row r="373" spans="1:15" ht="15.75">
      <c r="A373" t="s">
        <v>395</v>
      </c>
      <c r="B373" t="s">
        <v>1200</v>
      </c>
      <c r="C373" t="s">
        <v>1307</v>
      </c>
      <c r="D373" t="s">
        <v>21</v>
      </c>
      <c r="E373">
        <v>24</v>
      </c>
      <c r="F373" t="s">
        <v>1164</v>
      </c>
      <c r="G373" t="s">
        <v>1920</v>
      </c>
      <c r="H373" t="s">
        <v>1921</v>
      </c>
      <c r="I373" s="2">
        <v>44538</v>
      </c>
      <c r="J373" t="s">
        <v>1142</v>
      </c>
      <c r="K373" t="s">
        <v>274</v>
      </c>
      <c r="L373" t="s">
        <v>273</v>
      </c>
      <c r="M373" t="s">
        <v>1676</v>
      </c>
      <c r="N373" t="s">
        <v>1672</v>
      </c>
      <c r="O373" t="s">
        <v>1677</v>
      </c>
    </row>
    <row r="374" spans="1:15" ht="15.75">
      <c r="A374" t="s">
        <v>396</v>
      </c>
      <c r="B374" t="s">
        <v>1203</v>
      </c>
      <c r="C374" t="s">
        <v>1332</v>
      </c>
      <c r="D374" t="s">
        <v>21</v>
      </c>
      <c r="E374">
        <v>25</v>
      </c>
      <c r="F374" t="s">
        <v>1164</v>
      </c>
      <c r="G374" t="s">
        <v>1922</v>
      </c>
      <c r="H374" t="s">
        <v>1923</v>
      </c>
      <c r="I374" s="2">
        <v>44570</v>
      </c>
      <c r="J374" t="s">
        <v>1121</v>
      </c>
      <c r="K374" t="s">
        <v>274</v>
      </c>
      <c r="L374" t="s">
        <v>273</v>
      </c>
      <c r="M374" t="s">
        <v>1680</v>
      </c>
      <c r="N374" t="s">
        <v>1672</v>
      </c>
      <c r="O374" t="s">
        <v>1681</v>
      </c>
    </row>
    <row r="375" spans="1:15" ht="15.75">
      <c r="A375" t="s">
        <v>397</v>
      </c>
      <c r="B375" t="s">
        <v>1125</v>
      </c>
      <c r="C375" t="s">
        <v>1332</v>
      </c>
      <c r="D375" t="s">
        <v>21</v>
      </c>
      <c r="E375">
        <v>59</v>
      </c>
      <c r="F375" t="s">
        <v>1132</v>
      </c>
      <c r="G375" t="s">
        <v>1924</v>
      </c>
      <c r="H375" t="s">
        <v>1925</v>
      </c>
      <c r="I375" s="2">
        <v>44967</v>
      </c>
      <c r="J375" t="s">
        <v>1128</v>
      </c>
      <c r="K375" t="s">
        <v>274</v>
      </c>
      <c r="L375" t="s">
        <v>273</v>
      </c>
      <c r="M375" t="s">
        <v>1684</v>
      </c>
      <c r="N375" t="s">
        <v>1672</v>
      </c>
      <c r="O375" t="s">
        <v>1685</v>
      </c>
    </row>
    <row r="376" spans="1:15" ht="15.75">
      <c r="A376" t="s">
        <v>398</v>
      </c>
      <c r="B376" t="s">
        <v>1131</v>
      </c>
      <c r="C376" t="s">
        <v>1332</v>
      </c>
      <c r="D376" t="s">
        <v>16</v>
      </c>
      <c r="E376">
        <v>32</v>
      </c>
      <c r="F376" t="s">
        <v>1118</v>
      </c>
      <c r="G376" t="s">
        <v>1926</v>
      </c>
      <c r="H376" t="s">
        <v>1927</v>
      </c>
      <c r="I376" s="2">
        <v>44266</v>
      </c>
      <c r="J376" t="s">
        <v>1135</v>
      </c>
      <c r="K376" t="s">
        <v>274</v>
      </c>
      <c r="L376" t="s">
        <v>273</v>
      </c>
      <c r="M376" t="s">
        <v>1671</v>
      </c>
      <c r="N376" t="s">
        <v>1672</v>
      </c>
      <c r="O376" t="s">
        <v>1673</v>
      </c>
    </row>
    <row r="377" spans="1:15" ht="15.75">
      <c r="A377" t="s">
        <v>399</v>
      </c>
      <c r="B377" t="s">
        <v>1211</v>
      </c>
      <c r="C377" t="s">
        <v>1332</v>
      </c>
      <c r="D377" t="s">
        <v>21</v>
      </c>
      <c r="E377">
        <v>64</v>
      </c>
      <c r="F377" t="s">
        <v>1132</v>
      </c>
      <c r="G377" t="s">
        <v>1928</v>
      </c>
      <c r="H377" t="s">
        <v>1929</v>
      </c>
      <c r="I377" s="2">
        <v>44663</v>
      </c>
      <c r="J377" t="s">
        <v>1142</v>
      </c>
      <c r="K377" t="s">
        <v>274</v>
      </c>
      <c r="L377" t="s">
        <v>273</v>
      </c>
      <c r="M377" t="s">
        <v>1676</v>
      </c>
      <c r="N377" t="s">
        <v>1672</v>
      </c>
      <c r="O377" t="s">
        <v>1677</v>
      </c>
    </row>
    <row r="378" spans="1:15" ht="15.75">
      <c r="A378" t="s">
        <v>400</v>
      </c>
      <c r="B378" t="s">
        <v>1181</v>
      </c>
      <c r="C378" t="s">
        <v>1332</v>
      </c>
      <c r="D378" t="s">
        <v>21</v>
      </c>
      <c r="E378">
        <v>46</v>
      </c>
      <c r="F378" t="s">
        <v>1132</v>
      </c>
      <c r="G378" t="s">
        <v>1930</v>
      </c>
      <c r="H378" t="s">
        <v>1931</v>
      </c>
      <c r="I378" s="2">
        <v>45059</v>
      </c>
      <c r="J378" t="s">
        <v>1121</v>
      </c>
      <c r="K378" t="s">
        <v>274</v>
      </c>
      <c r="L378" t="s">
        <v>273</v>
      </c>
      <c r="M378" t="s">
        <v>1680</v>
      </c>
      <c r="N378" t="s">
        <v>1672</v>
      </c>
      <c r="O378" t="s">
        <v>1681</v>
      </c>
    </row>
    <row r="379" spans="1:15" ht="15.75">
      <c r="A379" t="s">
        <v>401</v>
      </c>
      <c r="B379" t="s">
        <v>1241</v>
      </c>
      <c r="C379" t="s">
        <v>1332</v>
      </c>
      <c r="D379" t="s">
        <v>16</v>
      </c>
      <c r="E379">
        <v>50</v>
      </c>
      <c r="F379" t="s">
        <v>1132</v>
      </c>
      <c r="G379" t="s">
        <v>1932</v>
      </c>
      <c r="H379" t="s">
        <v>1933</v>
      </c>
      <c r="I379" s="2">
        <v>44361</v>
      </c>
      <c r="J379" t="s">
        <v>1128</v>
      </c>
      <c r="K379" t="s">
        <v>274</v>
      </c>
      <c r="L379" t="s">
        <v>273</v>
      </c>
      <c r="M379" t="s">
        <v>1684</v>
      </c>
      <c r="N379" t="s">
        <v>1672</v>
      </c>
      <c r="O379" t="s">
        <v>1685</v>
      </c>
    </row>
    <row r="380" spans="1:15" ht="15.75">
      <c r="A380" t="s">
        <v>402</v>
      </c>
      <c r="B380" t="s">
        <v>1186</v>
      </c>
      <c r="C380" t="s">
        <v>1332</v>
      </c>
      <c r="D380" t="s">
        <v>21</v>
      </c>
      <c r="E380">
        <v>47</v>
      </c>
      <c r="F380" t="s">
        <v>1132</v>
      </c>
      <c r="G380" t="s">
        <v>1934</v>
      </c>
      <c r="H380" t="s">
        <v>1935</v>
      </c>
      <c r="I380" s="2">
        <v>44757</v>
      </c>
      <c r="J380" t="s">
        <v>1135</v>
      </c>
      <c r="K380" t="s">
        <v>274</v>
      </c>
      <c r="L380" t="s">
        <v>273</v>
      </c>
      <c r="M380" t="s">
        <v>1671</v>
      </c>
      <c r="N380" t="s">
        <v>1672</v>
      </c>
      <c r="O380" t="s">
        <v>1673</v>
      </c>
    </row>
    <row r="381" spans="1:15" ht="15.75">
      <c r="A381" t="s">
        <v>403</v>
      </c>
      <c r="B381" t="s">
        <v>1154</v>
      </c>
      <c r="C381" t="s">
        <v>1332</v>
      </c>
      <c r="D381" t="s">
        <v>16</v>
      </c>
      <c r="E381">
        <v>56</v>
      </c>
      <c r="F381" t="s">
        <v>1132</v>
      </c>
      <c r="G381" t="s">
        <v>1936</v>
      </c>
      <c r="H381" t="s">
        <v>1937</v>
      </c>
      <c r="I381" s="2">
        <v>45154</v>
      </c>
      <c r="J381" t="s">
        <v>1142</v>
      </c>
      <c r="K381" t="s">
        <v>274</v>
      </c>
      <c r="L381" t="s">
        <v>273</v>
      </c>
      <c r="M381" t="s">
        <v>1676</v>
      </c>
      <c r="N381" t="s">
        <v>1672</v>
      </c>
      <c r="O381" t="s">
        <v>1677</v>
      </c>
    </row>
    <row r="382" spans="1:15" ht="15.75">
      <c r="A382" t="s">
        <v>404</v>
      </c>
      <c r="B382" t="s">
        <v>1191</v>
      </c>
      <c r="C382" t="s">
        <v>1332</v>
      </c>
      <c r="D382" t="s">
        <v>21</v>
      </c>
      <c r="E382">
        <v>44</v>
      </c>
      <c r="F382" t="s">
        <v>1139</v>
      </c>
      <c r="G382" t="s">
        <v>1938</v>
      </c>
      <c r="H382" t="s">
        <v>1939</v>
      </c>
      <c r="I382" s="2">
        <v>44456</v>
      </c>
      <c r="J382" t="s">
        <v>1121</v>
      </c>
      <c r="K382" t="s">
        <v>274</v>
      </c>
      <c r="L382" t="s">
        <v>273</v>
      </c>
      <c r="M382" t="s">
        <v>1680</v>
      </c>
      <c r="N382" t="s">
        <v>1672</v>
      </c>
      <c r="O382" t="s">
        <v>1681</v>
      </c>
    </row>
    <row r="383" spans="1:15" ht="15.75">
      <c r="A383" t="s">
        <v>405</v>
      </c>
      <c r="B383" t="s">
        <v>1160</v>
      </c>
      <c r="C383" t="s">
        <v>1332</v>
      </c>
      <c r="D383" t="s">
        <v>21</v>
      </c>
      <c r="E383">
        <v>53</v>
      </c>
      <c r="F383" t="s">
        <v>1132</v>
      </c>
      <c r="G383" t="s">
        <v>1940</v>
      </c>
      <c r="H383" t="s">
        <v>1941</v>
      </c>
      <c r="I383" s="2">
        <v>44852</v>
      </c>
      <c r="J383" t="s">
        <v>1128</v>
      </c>
      <c r="K383" t="s">
        <v>274</v>
      </c>
      <c r="L383" t="s">
        <v>273</v>
      </c>
      <c r="M383" t="s">
        <v>1684</v>
      </c>
      <c r="N383" t="s">
        <v>1672</v>
      </c>
      <c r="O383" t="s">
        <v>1685</v>
      </c>
    </row>
    <row r="384" spans="1:15" ht="15.75">
      <c r="A384" t="s">
        <v>406</v>
      </c>
      <c r="B384" t="s">
        <v>1197</v>
      </c>
      <c r="C384" t="s">
        <v>1332</v>
      </c>
      <c r="D384" t="s">
        <v>21</v>
      </c>
      <c r="E384">
        <v>46</v>
      </c>
      <c r="F384" t="s">
        <v>1132</v>
      </c>
      <c r="G384" t="s">
        <v>1942</v>
      </c>
      <c r="H384" t="s">
        <v>1943</v>
      </c>
      <c r="I384" s="2">
        <v>45249</v>
      </c>
      <c r="J384" t="s">
        <v>1135</v>
      </c>
      <c r="K384" t="s">
        <v>274</v>
      </c>
      <c r="L384" t="s">
        <v>273</v>
      </c>
      <c r="M384" t="s">
        <v>1671</v>
      </c>
      <c r="N384" t="s">
        <v>1672</v>
      </c>
      <c r="O384" t="s">
        <v>1673</v>
      </c>
    </row>
    <row r="385" spans="1:15" ht="15.75">
      <c r="A385" t="s">
        <v>407</v>
      </c>
      <c r="B385" t="s">
        <v>1167</v>
      </c>
      <c r="C385" t="s">
        <v>1332</v>
      </c>
      <c r="D385" t="s">
        <v>16</v>
      </c>
      <c r="E385">
        <v>55</v>
      </c>
      <c r="F385" t="s">
        <v>1132</v>
      </c>
      <c r="G385" t="s">
        <v>1944</v>
      </c>
      <c r="H385" t="s">
        <v>1945</v>
      </c>
      <c r="I385" s="2">
        <v>44550</v>
      </c>
      <c r="J385" t="s">
        <v>1142</v>
      </c>
      <c r="K385" t="s">
        <v>274</v>
      </c>
      <c r="L385" t="s">
        <v>273</v>
      </c>
      <c r="M385" t="s">
        <v>1676</v>
      </c>
      <c r="N385" t="s">
        <v>1672</v>
      </c>
      <c r="O385" t="s">
        <v>1677</v>
      </c>
    </row>
    <row r="386" spans="1:15" ht="15.75">
      <c r="A386" t="s">
        <v>408</v>
      </c>
      <c r="B386" t="s">
        <v>1116</v>
      </c>
      <c r="C386" t="s">
        <v>1357</v>
      </c>
      <c r="D386" t="s">
        <v>16</v>
      </c>
      <c r="E386">
        <v>50</v>
      </c>
      <c r="F386" t="s">
        <v>1132</v>
      </c>
      <c r="G386" t="s">
        <v>1946</v>
      </c>
      <c r="H386" t="s">
        <v>1947</v>
      </c>
      <c r="I386" s="2">
        <v>44582</v>
      </c>
      <c r="J386" t="s">
        <v>1121</v>
      </c>
      <c r="K386" t="s">
        <v>274</v>
      </c>
      <c r="L386" t="s">
        <v>273</v>
      </c>
      <c r="M386" t="s">
        <v>1680</v>
      </c>
      <c r="N386" t="s">
        <v>1672</v>
      </c>
      <c r="O386" t="s">
        <v>1681</v>
      </c>
    </row>
    <row r="387" spans="1:15" ht="15.75">
      <c r="A387" t="s">
        <v>409</v>
      </c>
      <c r="B387" t="s">
        <v>1125</v>
      </c>
      <c r="C387" t="s">
        <v>1357</v>
      </c>
      <c r="D387" t="s">
        <v>21</v>
      </c>
      <c r="E387">
        <v>54</v>
      </c>
      <c r="F387" t="s">
        <v>1132</v>
      </c>
      <c r="G387" t="s">
        <v>1948</v>
      </c>
      <c r="H387" t="s">
        <v>1949</v>
      </c>
      <c r="I387" s="2">
        <v>44979</v>
      </c>
      <c r="J387" t="s">
        <v>1128</v>
      </c>
      <c r="K387" t="s">
        <v>274</v>
      </c>
      <c r="L387" t="s">
        <v>273</v>
      </c>
      <c r="M387" t="s">
        <v>1684</v>
      </c>
      <c r="N387" t="s">
        <v>1672</v>
      </c>
      <c r="O387" t="s">
        <v>1685</v>
      </c>
    </row>
    <row r="388" spans="1:15" ht="15.75">
      <c r="A388" t="s">
        <v>410</v>
      </c>
      <c r="B388" t="s">
        <v>1131</v>
      </c>
      <c r="C388" t="s">
        <v>1357</v>
      </c>
      <c r="D388" t="s">
        <v>16</v>
      </c>
      <c r="E388">
        <v>44</v>
      </c>
      <c r="F388" t="s">
        <v>1139</v>
      </c>
      <c r="G388" t="s">
        <v>1950</v>
      </c>
      <c r="H388" t="s">
        <v>1951</v>
      </c>
      <c r="I388" s="2">
        <v>44278</v>
      </c>
      <c r="J388" t="s">
        <v>1135</v>
      </c>
      <c r="K388" t="s">
        <v>274</v>
      </c>
      <c r="L388" t="s">
        <v>273</v>
      </c>
      <c r="M388" t="s">
        <v>1671</v>
      </c>
      <c r="N388" t="s">
        <v>1672</v>
      </c>
      <c r="O388" t="s">
        <v>1673</v>
      </c>
    </row>
    <row r="389" spans="1:15" ht="15.75">
      <c r="A389" t="s">
        <v>411</v>
      </c>
      <c r="B389" t="s">
        <v>1138</v>
      </c>
      <c r="C389" t="s">
        <v>1357</v>
      </c>
      <c r="D389" t="s">
        <v>16</v>
      </c>
      <c r="E389">
        <v>50</v>
      </c>
      <c r="F389" t="s">
        <v>1132</v>
      </c>
      <c r="G389" t="s">
        <v>1952</v>
      </c>
      <c r="H389" t="s">
        <v>1953</v>
      </c>
      <c r="I389" s="2">
        <v>44675</v>
      </c>
      <c r="J389" t="s">
        <v>1142</v>
      </c>
      <c r="K389" t="s">
        <v>274</v>
      </c>
      <c r="L389" t="s">
        <v>273</v>
      </c>
      <c r="M389" t="s">
        <v>1676</v>
      </c>
      <c r="N389" t="s">
        <v>1672</v>
      </c>
      <c r="O389" t="s">
        <v>1677</v>
      </c>
    </row>
    <row r="390" spans="1:15" ht="15.75">
      <c r="A390" t="s">
        <v>412</v>
      </c>
      <c r="B390" t="s">
        <v>1145</v>
      </c>
      <c r="C390" t="s">
        <v>1357</v>
      </c>
      <c r="D390" t="s">
        <v>16</v>
      </c>
      <c r="E390">
        <v>21</v>
      </c>
      <c r="F390" t="s">
        <v>1164</v>
      </c>
      <c r="G390" t="s">
        <v>1954</v>
      </c>
      <c r="H390" t="s">
        <v>1955</v>
      </c>
      <c r="I390" s="2">
        <v>45071</v>
      </c>
      <c r="J390" t="s">
        <v>1121</v>
      </c>
      <c r="K390" t="s">
        <v>274</v>
      </c>
      <c r="L390" t="s">
        <v>273</v>
      </c>
      <c r="M390" t="s">
        <v>1680</v>
      </c>
      <c r="N390" t="s">
        <v>1672</v>
      </c>
      <c r="O390" t="s">
        <v>1681</v>
      </c>
    </row>
    <row r="391" spans="1:15" ht="15.75">
      <c r="A391" t="s">
        <v>413</v>
      </c>
      <c r="B391" t="s">
        <v>1241</v>
      </c>
      <c r="C391" t="s">
        <v>1357</v>
      </c>
      <c r="D391" t="s">
        <v>16</v>
      </c>
      <c r="E391">
        <v>39</v>
      </c>
      <c r="F391" t="s">
        <v>1139</v>
      </c>
      <c r="G391" t="s">
        <v>1956</v>
      </c>
      <c r="H391" t="s">
        <v>1957</v>
      </c>
      <c r="I391" s="2">
        <v>44373</v>
      </c>
      <c r="J391" t="s">
        <v>1128</v>
      </c>
      <c r="K391" t="s">
        <v>274</v>
      </c>
      <c r="L391" t="s">
        <v>273</v>
      </c>
      <c r="M391" t="s">
        <v>1684</v>
      </c>
      <c r="N391" t="s">
        <v>1672</v>
      </c>
      <c r="O391" t="s">
        <v>1685</v>
      </c>
    </row>
    <row r="392" spans="1:15" ht="15.75">
      <c r="A392" t="s">
        <v>414</v>
      </c>
      <c r="B392" t="s">
        <v>1151</v>
      </c>
      <c r="C392" t="s">
        <v>1357</v>
      </c>
      <c r="D392" t="s">
        <v>16</v>
      </c>
      <c r="E392">
        <v>19</v>
      </c>
      <c r="F392" t="s">
        <v>1164</v>
      </c>
      <c r="G392" t="s">
        <v>1958</v>
      </c>
      <c r="H392" t="s">
        <v>1959</v>
      </c>
      <c r="I392" s="2">
        <v>44769</v>
      </c>
      <c r="J392" t="s">
        <v>1135</v>
      </c>
      <c r="K392" t="s">
        <v>274</v>
      </c>
      <c r="L392" t="s">
        <v>273</v>
      </c>
      <c r="M392" t="s">
        <v>1671</v>
      </c>
      <c r="N392" t="s">
        <v>1672</v>
      </c>
      <c r="O392" t="s">
        <v>1673</v>
      </c>
    </row>
    <row r="393" spans="1:15" ht="15.75">
      <c r="A393" t="s">
        <v>415</v>
      </c>
      <c r="B393" t="s">
        <v>1154</v>
      </c>
      <c r="C393" t="s">
        <v>1357</v>
      </c>
      <c r="D393" t="s">
        <v>16</v>
      </c>
      <c r="E393">
        <v>27</v>
      </c>
      <c r="F393" t="s">
        <v>1118</v>
      </c>
      <c r="G393" t="s">
        <v>1960</v>
      </c>
      <c r="H393" t="s">
        <v>1961</v>
      </c>
      <c r="I393" s="2">
        <v>45166</v>
      </c>
      <c r="J393" t="s">
        <v>1142</v>
      </c>
      <c r="K393" t="s">
        <v>274</v>
      </c>
      <c r="L393" t="s">
        <v>273</v>
      </c>
      <c r="M393" t="s">
        <v>1676</v>
      </c>
      <c r="N393" t="s">
        <v>1672</v>
      </c>
      <c r="O393" t="s">
        <v>1677</v>
      </c>
    </row>
    <row r="394" spans="1:15" ht="15.75">
      <c r="A394" t="s">
        <v>416</v>
      </c>
      <c r="B394" t="s">
        <v>1191</v>
      </c>
      <c r="C394" t="s">
        <v>1357</v>
      </c>
      <c r="D394" t="s">
        <v>21</v>
      </c>
      <c r="E394">
        <v>22</v>
      </c>
      <c r="F394" t="s">
        <v>1164</v>
      </c>
      <c r="G394" t="s">
        <v>1962</v>
      </c>
      <c r="H394" t="s">
        <v>1963</v>
      </c>
      <c r="I394" s="2">
        <v>44440</v>
      </c>
      <c r="J394" t="s">
        <v>1121</v>
      </c>
      <c r="K394" t="s">
        <v>274</v>
      </c>
      <c r="L394" t="s">
        <v>273</v>
      </c>
      <c r="M394" t="s">
        <v>1680</v>
      </c>
      <c r="N394" t="s">
        <v>1672</v>
      </c>
      <c r="O394" t="s">
        <v>1681</v>
      </c>
    </row>
    <row r="395" spans="1:15" ht="15.75">
      <c r="A395" t="s">
        <v>417</v>
      </c>
      <c r="B395" t="s">
        <v>1160</v>
      </c>
      <c r="C395" t="s">
        <v>1357</v>
      </c>
      <c r="D395" t="s">
        <v>21</v>
      </c>
      <c r="E395">
        <v>27</v>
      </c>
      <c r="F395" t="s">
        <v>1118</v>
      </c>
      <c r="G395" t="s">
        <v>1964</v>
      </c>
      <c r="H395" t="s">
        <v>1965</v>
      </c>
      <c r="I395" s="2">
        <v>44836</v>
      </c>
      <c r="J395" t="s">
        <v>1128</v>
      </c>
      <c r="K395" t="s">
        <v>274</v>
      </c>
      <c r="L395" t="s">
        <v>273</v>
      </c>
      <c r="M395" t="s">
        <v>1684</v>
      </c>
      <c r="N395" t="s">
        <v>1672</v>
      </c>
      <c r="O395" t="s">
        <v>1685</v>
      </c>
    </row>
    <row r="396" spans="1:15" ht="15.75">
      <c r="A396" t="s">
        <v>418</v>
      </c>
      <c r="B396" t="s">
        <v>1163</v>
      </c>
      <c r="C396" t="s">
        <v>1357</v>
      </c>
      <c r="D396" t="s">
        <v>16</v>
      </c>
      <c r="E396">
        <v>50</v>
      </c>
      <c r="F396" t="s">
        <v>1132</v>
      </c>
      <c r="G396" t="s">
        <v>1966</v>
      </c>
      <c r="H396" t="s">
        <v>1967</v>
      </c>
      <c r="I396" s="2">
        <v>45233</v>
      </c>
      <c r="J396" t="s">
        <v>1135</v>
      </c>
      <c r="K396" t="s">
        <v>274</v>
      </c>
      <c r="L396" t="s">
        <v>273</v>
      </c>
      <c r="M396" t="s">
        <v>1671</v>
      </c>
      <c r="N396" t="s">
        <v>1672</v>
      </c>
      <c r="O396" t="s">
        <v>1673</v>
      </c>
    </row>
    <row r="397" spans="1:15" ht="15.75">
      <c r="A397" t="s">
        <v>419</v>
      </c>
      <c r="B397" t="s">
        <v>1200</v>
      </c>
      <c r="C397" t="s">
        <v>1357</v>
      </c>
      <c r="D397" t="s">
        <v>21</v>
      </c>
      <c r="E397">
        <v>55</v>
      </c>
      <c r="F397" t="s">
        <v>1132</v>
      </c>
      <c r="G397" t="s">
        <v>1968</v>
      </c>
      <c r="H397" t="s">
        <v>1969</v>
      </c>
      <c r="I397" s="2">
        <v>44534</v>
      </c>
      <c r="J397" t="s">
        <v>1142</v>
      </c>
      <c r="K397" t="s">
        <v>274</v>
      </c>
      <c r="L397" t="s">
        <v>273</v>
      </c>
      <c r="M397" t="s">
        <v>1676</v>
      </c>
      <c r="N397" t="s">
        <v>1672</v>
      </c>
      <c r="O397" t="s">
        <v>1677</v>
      </c>
    </row>
    <row r="398" spans="1:15" ht="15.75">
      <c r="A398" t="s">
        <v>420</v>
      </c>
      <c r="B398" t="s">
        <v>1203</v>
      </c>
      <c r="C398" t="s">
        <v>1382</v>
      </c>
      <c r="D398" t="s">
        <v>21</v>
      </c>
      <c r="E398">
        <v>30</v>
      </c>
      <c r="F398" t="s">
        <v>1118</v>
      </c>
      <c r="G398" t="s">
        <v>1970</v>
      </c>
      <c r="H398" t="s">
        <v>1971</v>
      </c>
      <c r="I398" s="2">
        <v>44566</v>
      </c>
      <c r="J398" t="s">
        <v>1121</v>
      </c>
      <c r="K398" t="s">
        <v>274</v>
      </c>
      <c r="L398" t="s">
        <v>273</v>
      </c>
      <c r="M398" t="s">
        <v>1680</v>
      </c>
      <c r="N398" t="s">
        <v>1672</v>
      </c>
      <c r="O398" t="s">
        <v>1681</v>
      </c>
    </row>
    <row r="399" spans="1:15" ht="15.75">
      <c r="A399" t="s">
        <v>421</v>
      </c>
      <c r="B399" t="s">
        <v>1125</v>
      </c>
      <c r="C399" t="s">
        <v>1382</v>
      </c>
      <c r="D399" t="s">
        <v>21</v>
      </c>
      <c r="E399">
        <v>48</v>
      </c>
      <c r="F399" t="s">
        <v>1132</v>
      </c>
      <c r="G399" t="s">
        <v>1972</v>
      </c>
      <c r="H399" t="s">
        <v>1973</v>
      </c>
      <c r="I399" s="2">
        <v>44963</v>
      </c>
      <c r="J399" t="s">
        <v>1128</v>
      </c>
      <c r="K399" t="s">
        <v>274</v>
      </c>
      <c r="L399" t="s">
        <v>273</v>
      </c>
      <c r="M399" t="s">
        <v>1684</v>
      </c>
      <c r="N399" t="s">
        <v>1672</v>
      </c>
      <c r="O399" t="s">
        <v>1685</v>
      </c>
    </row>
    <row r="400" spans="1:15" ht="15.75">
      <c r="A400" t="s">
        <v>422</v>
      </c>
      <c r="B400" t="s">
        <v>1176</v>
      </c>
      <c r="C400" t="s">
        <v>1382</v>
      </c>
      <c r="D400" t="s">
        <v>21</v>
      </c>
      <c r="E400">
        <v>64</v>
      </c>
      <c r="F400" t="s">
        <v>1132</v>
      </c>
      <c r="G400" t="s">
        <v>1974</v>
      </c>
      <c r="H400" t="s">
        <v>1975</v>
      </c>
      <c r="I400" s="2">
        <v>44262</v>
      </c>
      <c r="J400" t="s">
        <v>1135</v>
      </c>
      <c r="K400" t="s">
        <v>274</v>
      </c>
      <c r="L400" t="s">
        <v>273</v>
      </c>
      <c r="M400" t="s">
        <v>1671</v>
      </c>
      <c r="N400" t="s">
        <v>1672</v>
      </c>
      <c r="O400" t="s">
        <v>1673</v>
      </c>
    </row>
    <row r="401" spans="1:15" ht="15.75">
      <c r="A401" t="s">
        <v>423</v>
      </c>
      <c r="B401" t="s">
        <v>1138</v>
      </c>
      <c r="C401" t="s">
        <v>1382</v>
      </c>
      <c r="D401" t="s">
        <v>16</v>
      </c>
      <c r="E401">
        <v>53</v>
      </c>
      <c r="F401" t="s">
        <v>1132</v>
      </c>
      <c r="G401" t="s">
        <v>1976</v>
      </c>
      <c r="H401" t="s">
        <v>1977</v>
      </c>
      <c r="I401" s="2">
        <v>44659</v>
      </c>
      <c r="J401" t="s">
        <v>1142</v>
      </c>
      <c r="K401" t="s">
        <v>274</v>
      </c>
      <c r="L401" t="s">
        <v>273</v>
      </c>
      <c r="M401" t="s">
        <v>1676</v>
      </c>
      <c r="N401" t="s">
        <v>1672</v>
      </c>
      <c r="O401" t="s">
        <v>1677</v>
      </c>
    </row>
    <row r="402" spans="1:15" ht="15.75">
      <c r="A402" t="s">
        <v>424</v>
      </c>
      <c r="B402" t="s">
        <v>1181</v>
      </c>
      <c r="C402" t="s">
        <v>1382</v>
      </c>
      <c r="D402" t="s">
        <v>21</v>
      </c>
      <c r="E402">
        <v>62</v>
      </c>
      <c r="F402" t="s">
        <v>1132</v>
      </c>
      <c r="G402" t="s">
        <v>1978</v>
      </c>
      <c r="H402" t="s">
        <v>1979</v>
      </c>
      <c r="I402" s="2">
        <v>45055</v>
      </c>
      <c r="J402" t="s">
        <v>1121</v>
      </c>
      <c r="K402" t="s">
        <v>274</v>
      </c>
      <c r="L402" t="s">
        <v>273</v>
      </c>
      <c r="M402" t="s">
        <v>1680</v>
      </c>
      <c r="N402" t="s">
        <v>1672</v>
      </c>
      <c r="O402" t="s">
        <v>1681</v>
      </c>
    </row>
    <row r="403" spans="1:15" ht="15.75">
      <c r="A403" t="s">
        <v>425</v>
      </c>
      <c r="B403" t="s">
        <v>1148</v>
      </c>
      <c r="C403" t="s">
        <v>1382</v>
      </c>
      <c r="D403" t="s">
        <v>21</v>
      </c>
      <c r="E403">
        <v>41</v>
      </c>
      <c r="F403" t="s">
        <v>1139</v>
      </c>
      <c r="G403" t="s">
        <v>1980</v>
      </c>
      <c r="H403" t="s">
        <v>1981</v>
      </c>
      <c r="I403" s="2">
        <v>44357</v>
      </c>
      <c r="J403" t="s">
        <v>1128</v>
      </c>
      <c r="K403" t="s">
        <v>274</v>
      </c>
      <c r="L403" t="s">
        <v>273</v>
      </c>
      <c r="M403" t="s">
        <v>1684</v>
      </c>
      <c r="N403" t="s">
        <v>1672</v>
      </c>
      <c r="O403" t="s">
        <v>1685</v>
      </c>
    </row>
    <row r="404" spans="1:15" ht="15.75">
      <c r="A404" t="s">
        <v>426</v>
      </c>
      <c r="B404" t="s">
        <v>1151</v>
      </c>
      <c r="C404" t="s">
        <v>1382</v>
      </c>
      <c r="D404" t="s">
        <v>16</v>
      </c>
      <c r="E404">
        <v>32</v>
      </c>
      <c r="F404" t="s">
        <v>1118</v>
      </c>
      <c r="G404" t="s">
        <v>1982</v>
      </c>
      <c r="H404" t="s">
        <v>1983</v>
      </c>
      <c r="I404" s="2">
        <v>44753</v>
      </c>
      <c r="J404" t="s">
        <v>1135</v>
      </c>
      <c r="K404" t="s">
        <v>274</v>
      </c>
      <c r="L404" t="s">
        <v>273</v>
      </c>
      <c r="M404" t="s">
        <v>1671</v>
      </c>
      <c r="N404" t="s">
        <v>1672</v>
      </c>
      <c r="O404" t="s">
        <v>1673</v>
      </c>
    </row>
    <row r="405" spans="1:15" ht="15.75">
      <c r="A405" t="s">
        <v>427</v>
      </c>
      <c r="B405" t="s">
        <v>1154</v>
      </c>
      <c r="C405" t="s">
        <v>1382</v>
      </c>
      <c r="D405" t="s">
        <v>16</v>
      </c>
      <c r="E405">
        <v>46</v>
      </c>
      <c r="F405" t="s">
        <v>1132</v>
      </c>
      <c r="G405" t="s">
        <v>1984</v>
      </c>
      <c r="H405" t="s">
        <v>1985</v>
      </c>
      <c r="I405" s="2">
        <v>45150</v>
      </c>
      <c r="J405" t="s">
        <v>1142</v>
      </c>
      <c r="K405" t="s">
        <v>274</v>
      </c>
      <c r="L405" t="s">
        <v>273</v>
      </c>
      <c r="M405" t="s">
        <v>1676</v>
      </c>
      <c r="N405" t="s">
        <v>1672</v>
      </c>
      <c r="O405" t="s">
        <v>1677</v>
      </c>
    </row>
    <row r="406" spans="1:15" ht="15.75">
      <c r="A406" t="s">
        <v>428</v>
      </c>
      <c r="B406" t="s">
        <v>1191</v>
      </c>
      <c r="C406" t="s">
        <v>1382</v>
      </c>
      <c r="D406" t="s">
        <v>21</v>
      </c>
      <c r="E406">
        <v>25</v>
      </c>
      <c r="F406" t="s">
        <v>1164</v>
      </c>
      <c r="G406" t="s">
        <v>1986</v>
      </c>
      <c r="H406" t="s">
        <v>1987</v>
      </c>
      <c r="I406" s="2">
        <v>44452</v>
      </c>
      <c r="J406" t="s">
        <v>1121</v>
      </c>
      <c r="K406" t="s">
        <v>274</v>
      </c>
      <c r="L406" t="s">
        <v>273</v>
      </c>
      <c r="M406" t="s">
        <v>1680</v>
      </c>
      <c r="N406" t="s">
        <v>1672</v>
      </c>
      <c r="O406" t="s">
        <v>1681</v>
      </c>
    </row>
    <row r="407" spans="1:15" ht="15.75">
      <c r="A407" t="s">
        <v>429</v>
      </c>
      <c r="B407" t="s">
        <v>1160</v>
      </c>
      <c r="C407" t="s">
        <v>1382</v>
      </c>
      <c r="D407" t="s">
        <v>21</v>
      </c>
      <c r="E407">
        <v>22</v>
      </c>
      <c r="F407" t="s">
        <v>1164</v>
      </c>
      <c r="G407" t="s">
        <v>1988</v>
      </c>
      <c r="H407" t="s">
        <v>1989</v>
      </c>
      <c r="I407" s="2">
        <v>44848</v>
      </c>
      <c r="J407" t="s">
        <v>1128</v>
      </c>
      <c r="K407" t="s">
        <v>274</v>
      </c>
      <c r="L407" t="s">
        <v>273</v>
      </c>
      <c r="M407" t="s">
        <v>1684</v>
      </c>
      <c r="N407" t="s">
        <v>1672</v>
      </c>
      <c r="O407" t="s">
        <v>1685</v>
      </c>
    </row>
    <row r="408" spans="1:15" ht="15.75">
      <c r="A408" t="s">
        <v>430</v>
      </c>
      <c r="B408" t="s">
        <v>1197</v>
      </c>
      <c r="C408" t="s">
        <v>1382</v>
      </c>
      <c r="D408" t="s">
        <v>21</v>
      </c>
      <c r="E408">
        <v>46</v>
      </c>
      <c r="F408" t="s">
        <v>1132</v>
      </c>
      <c r="G408" t="s">
        <v>1990</v>
      </c>
      <c r="H408" t="s">
        <v>1991</v>
      </c>
      <c r="I408" s="2">
        <v>45245</v>
      </c>
      <c r="J408" t="s">
        <v>1135</v>
      </c>
      <c r="K408" t="s">
        <v>274</v>
      </c>
      <c r="L408" t="s">
        <v>273</v>
      </c>
      <c r="M408" t="s">
        <v>1671</v>
      </c>
      <c r="N408" t="s">
        <v>1672</v>
      </c>
      <c r="O408" t="s">
        <v>1673</v>
      </c>
    </row>
    <row r="409" spans="1:15" ht="15.75">
      <c r="A409" t="s">
        <v>431</v>
      </c>
      <c r="B409" t="s">
        <v>1200</v>
      </c>
      <c r="C409" t="s">
        <v>1382</v>
      </c>
      <c r="D409" t="s">
        <v>21</v>
      </c>
      <c r="E409">
        <v>64</v>
      </c>
      <c r="F409" t="s">
        <v>1132</v>
      </c>
      <c r="G409" t="s">
        <v>1992</v>
      </c>
      <c r="H409" t="s">
        <v>1993</v>
      </c>
      <c r="I409" s="2">
        <v>44546</v>
      </c>
      <c r="J409" t="s">
        <v>1142</v>
      </c>
      <c r="K409" t="s">
        <v>274</v>
      </c>
      <c r="L409" t="s">
        <v>273</v>
      </c>
      <c r="M409" t="s">
        <v>1676</v>
      </c>
      <c r="N409" t="s">
        <v>1672</v>
      </c>
      <c r="O409" t="s">
        <v>1677</v>
      </c>
    </row>
    <row r="410" spans="1:15" ht="15.75">
      <c r="A410" t="s">
        <v>432</v>
      </c>
      <c r="B410" t="s">
        <v>1203</v>
      </c>
      <c r="C410" t="s">
        <v>1407</v>
      </c>
      <c r="D410" t="s">
        <v>21</v>
      </c>
      <c r="E410">
        <v>21</v>
      </c>
      <c r="F410" t="s">
        <v>1164</v>
      </c>
      <c r="G410" t="s">
        <v>1994</v>
      </c>
      <c r="H410" t="s">
        <v>1995</v>
      </c>
      <c r="I410" s="2">
        <v>44578</v>
      </c>
      <c r="J410" t="s">
        <v>1121</v>
      </c>
      <c r="K410" t="s">
        <v>274</v>
      </c>
      <c r="L410" t="s">
        <v>273</v>
      </c>
      <c r="M410" t="s">
        <v>1680</v>
      </c>
      <c r="N410" t="s">
        <v>1672</v>
      </c>
      <c r="O410" t="s">
        <v>1681</v>
      </c>
    </row>
    <row r="411" spans="1:15" ht="15.75">
      <c r="A411" t="s">
        <v>433</v>
      </c>
      <c r="B411" t="s">
        <v>1125</v>
      </c>
      <c r="C411" t="s">
        <v>1407</v>
      </c>
      <c r="D411" t="s">
        <v>21</v>
      </c>
      <c r="E411">
        <v>29</v>
      </c>
      <c r="F411" t="s">
        <v>1118</v>
      </c>
      <c r="G411" t="s">
        <v>1996</v>
      </c>
      <c r="H411" t="s">
        <v>1997</v>
      </c>
      <c r="I411" s="2">
        <v>44975</v>
      </c>
      <c r="J411" t="s">
        <v>1128</v>
      </c>
      <c r="K411" t="s">
        <v>274</v>
      </c>
      <c r="L411" t="s">
        <v>273</v>
      </c>
      <c r="M411" t="s">
        <v>1684</v>
      </c>
      <c r="N411" t="s">
        <v>1672</v>
      </c>
      <c r="O411" t="s">
        <v>1685</v>
      </c>
    </row>
    <row r="412" spans="1:15" ht="15.75">
      <c r="A412" t="s">
        <v>434</v>
      </c>
      <c r="B412" t="s">
        <v>1131</v>
      </c>
      <c r="C412" t="s">
        <v>1407</v>
      </c>
      <c r="D412" t="s">
        <v>16</v>
      </c>
      <c r="E412">
        <v>62</v>
      </c>
      <c r="F412" t="s">
        <v>1132</v>
      </c>
      <c r="G412" t="s">
        <v>1998</v>
      </c>
      <c r="H412" t="s">
        <v>1999</v>
      </c>
      <c r="I412" s="2">
        <v>44274</v>
      </c>
      <c r="J412" t="s">
        <v>1135</v>
      </c>
      <c r="K412" t="s">
        <v>274</v>
      </c>
      <c r="L412" t="s">
        <v>273</v>
      </c>
      <c r="M412" t="s">
        <v>1671</v>
      </c>
      <c r="N412" t="s">
        <v>1672</v>
      </c>
      <c r="O412" t="s">
        <v>1673</v>
      </c>
    </row>
    <row r="413" spans="1:15" ht="15.75">
      <c r="A413" t="s">
        <v>435</v>
      </c>
      <c r="B413" t="s">
        <v>1211</v>
      </c>
      <c r="C413" t="s">
        <v>1407</v>
      </c>
      <c r="D413" t="s">
        <v>21</v>
      </c>
      <c r="E413">
        <v>19</v>
      </c>
      <c r="F413" t="s">
        <v>1164</v>
      </c>
      <c r="G413" t="s">
        <v>2000</v>
      </c>
      <c r="H413" t="s">
        <v>2001</v>
      </c>
      <c r="I413" s="2">
        <v>44671</v>
      </c>
      <c r="J413" t="s">
        <v>1142</v>
      </c>
      <c r="K413" t="s">
        <v>274</v>
      </c>
      <c r="L413" t="s">
        <v>273</v>
      </c>
      <c r="M413" t="s">
        <v>1676</v>
      </c>
      <c r="N413" t="s">
        <v>1672</v>
      </c>
      <c r="O413" t="s">
        <v>1677</v>
      </c>
    </row>
    <row r="414" spans="1:15" ht="15.75">
      <c r="A414" t="s">
        <v>436</v>
      </c>
      <c r="B414" t="s">
        <v>1181</v>
      </c>
      <c r="C414" t="s">
        <v>1407</v>
      </c>
      <c r="D414" t="s">
        <v>21</v>
      </c>
      <c r="E414">
        <v>44</v>
      </c>
      <c r="F414" t="s">
        <v>1139</v>
      </c>
      <c r="G414" t="s">
        <v>2002</v>
      </c>
      <c r="H414" t="s">
        <v>2003</v>
      </c>
      <c r="I414" s="2">
        <v>45067</v>
      </c>
      <c r="J414" t="s">
        <v>1121</v>
      </c>
      <c r="K414" t="s">
        <v>274</v>
      </c>
      <c r="L414" t="s">
        <v>273</v>
      </c>
      <c r="M414" t="s">
        <v>1680</v>
      </c>
      <c r="N414" t="s">
        <v>1672</v>
      </c>
      <c r="O414" t="s">
        <v>1681</v>
      </c>
    </row>
    <row r="415" spans="1:15" ht="15.75">
      <c r="A415" t="s">
        <v>437</v>
      </c>
      <c r="B415" t="s">
        <v>1241</v>
      </c>
      <c r="C415" t="s">
        <v>1407</v>
      </c>
      <c r="D415" t="s">
        <v>16</v>
      </c>
      <c r="E415">
        <v>48</v>
      </c>
      <c r="F415" t="s">
        <v>1132</v>
      </c>
      <c r="G415" t="s">
        <v>2004</v>
      </c>
      <c r="H415" t="s">
        <v>2005</v>
      </c>
      <c r="I415" s="2">
        <v>44369</v>
      </c>
      <c r="J415" t="s">
        <v>1128</v>
      </c>
      <c r="K415" t="s">
        <v>274</v>
      </c>
      <c r="L415" t="s">
        <v>273</v>
      </c>
      <c r="M415" t="s">
        <v>1684</v>
      </c>
      <c r="N415" t="s">
        <v>1672</v>
      </c>
      <c r="O415" t="s">
        <v>1685</v>
      </c>
    </row>
    <row r="416" spans="1:15" ht="15.75">
      <c r="A416" t="s">
        <v>438</v>
      </c>
      <c r="B416" t="s">
        <v>1151</v>
      </c>
      <c r="C416" t="s">
        <v>1407</v>
      </c>
      <c r="D416" t="s">
        <v>16</v>
      </c>
      <c r="E416">
        <v>53</v>
      </c>
      <c r="F416" t="s">
        <v>1132</v>
      </c>
      <c r="G416" t="s">
        <v>2006</v>
      </c>
      <c r="H416" t="s">
        <v>2007</v>
      </c>
      <c r="I416" s="2">
        <v>44765</v>
      </c>
      <c r="J416" t="s">
        <v>1135</v>
      </c>
      <c r="K416" t="s">
        <v>274</v>
      </c>
      <c r="L416" t="s">
        <v>273</v>
      </c>
      <c r="M416" t="s">
        <v>1671</v>
      </c>
      <c r="N416" t="s">
        <v>1672</v>
      </c>
      <c r="O416" t="s">
        <v>1673</v>
      </c>
    </row>
    <row r="417" spans="1:15" ht="15.75">
      <c r="A417" t="s">
        <v>439</v>
      </c>
      <c r="B417" t="s">
        <v>1154</v>
      </c>
      <c r="C417" t="s">
        <v>1407</v>
      </c>
      <c r="D417" t="s">
        <v>16</v>
      </c>
      <c r="E417">
        <v>53</v>
      </c>
      <c r="F417" t="s">
        <v>1132</v>
      </c>
      <c r="G417" t="s">
        <v>2008</v>
      </c>
      <c r="H417" t="s">
        <v>2009</v>
      </c>
      <c r="I417" s="2">
        <v>45162</v>
      </c>
      <c r="J417" t="s">
        <v>1142</v>
      </c>
      <c r="K417" t="s">
        <v>274</v>
      </c>
      <c r="L417" t="s">
        <v>273</v>
      </c>
      <c r="M417" t="s">
        <v>1676</v>
      </c>
      <c r="N417" t="s">
        <v>1672</v>
      </c>
      <c r="O417" t="s">
        <v>1677</v>
      </c>
    </row>
    <row r="418" spans="1:15" ht="15.75">
      <c r="A418" t="s">
        <v>440</v>
      </c>
      <c r="B418" t="s">
        <v>1157</v>
      </c>
      <c r="C418" t="s">
        <v>1407</v>
      </c>
      <c r="D418" t="s">
        <v>16</v>
      </c>
      <c r="E418">
        <v>43</v>
      </c>
      <c r="F418" t="s">
        <v>1139</v>
      </c>
      <c r="G418" t="s">
        <v>2010</v>
      </c>
      <c r="H418" t="s">
        <v>2011</v>
      </c>
      <c r="I418" s="2">
        <v>44464</v>
      </c>
      <c r="J418" t="s">
        <v>1121</v>
      </c>
      <c r="K418" t="s">
        <v>274</v>
      </c>
      <c r="L418" t="s">
        <v>273</v>
      </c>
      <c r="M418" t="s">
        <v>1680</v>
      </c>
      <c r="N418" t="s">
        <v>1672</v>
      </c>
      <c r="O418" t="s">
        <v>1681</v>
      </c>
    </row>
    <row r="419" spans="1:15" ht="15.75">
      <c r="A419" t="s">
        <v>441</v>
      </c>
      <c r="B419" t="s">
        <v>1160</v>
      </c>
      <c r="C419" t="s">
        <v>1407</v>
      </c>
      <c r="D419" t="s">
        <v>21</v>
      </c>
      <c r="E419">
        <v>60</v>
      </c>
      <c r="F419" t="s">
        <v>1132</v>
      </c>
      <c r="G419" t="s">
        <v>2012</v>
      </c>
      <c r="H419" t="s">
        <v>2013</v>
      </c>
      <c r="I419" s="2">
        <v>44860</v>
      </c>
      <c r="J419" t="s">
        <v>1128</v>
      </c>
      <c r="K419" t="s">
        <v>274</v>
      </c>
      <c r="L419" t="s">
        <v>273</v>
      </c>
      <c r="M419" t="s">
        <v>1684</v>
      </c>
      <c r="N419" t="s">
        <v>1672</v>
      </c>
      <c r="O419" t="s">
        <v>1685</v>
      </c>
    </row>
    <row r="420" spans="1:15" ht="15.75">
      <c r="A420" t="s">
        <v>442</v>
      </c>
      <c r="B420" t="s">
        <v>1197</v>
      </c>
      <c r="C420" t="s">
        <v>1407</v>
      </c>
      <c r="D420" t="s">
        <v>21</v>
      </c>
      <c r="E420">
        <v>44</v>
      </c>
      <c r="F420" t="s">
        <v>1139</v>
      </c>
      <c r="G420" t="s">
        <v>2014</v>
      </c>
      <c r="H420" t="s">
        <v>2015</v>
      </c>
      <c r="I420" s="2">
        <v>45257</v>
      </c>
      <c r="J420" t="s">
        <v>1135</v>
      </c>
      <c r="K420" t="s">
        <v>274</v>
      </c>
      <c r="L420" t="s">
        <v>273</v>
      </c>
      <c r="M420" t="s">
        <v>1671</v>
      </c>
      <c r="N420" t="s">
        <v>1672</v>
      </c>
      <c r="O420" t="s">
        <v>1673</v>
      </c>
    </row>
    <row r="421" spans="1:15" ht="15.75">
      <c r="A421" t="s">
        <v>443</v>
      </c>
      <c r="B421" t="s">
        <v>1200</v>
      </c>
      <c r="C421" t="s">
        <v>1407</v>
      </c>
      <c r="D421" t="s">
        <v>21</v>
      </c>
      <c r="E421">
        <v>22</v>
      </c>
      <c r="F421" t="s">
        <v>1164</v>
      </c>
      <c r="G421" t="s">
        <v>2016</v>
      </c>
      <c r="H421" t="s">
        <v>2017</v>
      </c>
      <c r="I421" s="2">
        <v>44558</v>
      </c>
      <c r="J421" t="s">
        <v>1142</v>
      </c>
      <c r="K421" t="s">
        <v>274</v>
      </c>
      <c r="L421" t="s">
        <v>273</v>
      </c>
      <c r="M421" t="s">
        <v>1676</v>
      </c>
      <c r="N421" t="s">
        <v>1672</v>
      </c>
      <c r="O421" t="s">
        <v>1677</v>
      </c>
    </row>
    <row r="422" spans="1:15" ht="15.75">
      <c r="A422" t="s">
        <v>444</v>
      </c>
      <c r="B422" t="s">
        <v>1203</v>
      </c>
      <c r="C422" t="s">
        <v>1432</v>
      </c>
      <c r="D422" t="s">
        <v>21</v>
      </c>
      <c r="E422">
        <v>37</v>
      </c>
      <c r="F422" t="s">
        <v>1139</v>
      </c>
      <c r="G422" t="s">
        <v>2018</v>
      </c>
      <c r="H422" t="s">
        <v>2019</v>
      </c>
      <c r="I422" s="2">
        <v>44562</v>
      </c>
      <c r="J422" t="s">
        <v>1121</v>
      </c>
      <c r="K422" t="s">
        <v>274</v>
      </c>
      <c r="L422" t="s">
        <v>273</v>
      </c>
      <c r="M422" t="s">
        <v>1680</v>
      </c>
      <c r="N422" t="s">
        <v>1672</v>
      </c>
      <c r="O422" t="s">
        <v>1681</v>
      </c>
    </row>
    <row r="423" spans="1:15" ht="15.75">
      <c r="A423" t="s">
        <v>445</v>
      </c>
      <c r="B423" t="s">
        <v>1125</v>
      </c>
      <c r="C423" t="s">
        <v>1432</v>
      </c>
      <c r="D423" t="s">
        <v>21</v>
      </c>
      <c r="E423">
        <v>28</v>
      </c>
      <c r="F423" t="s">
        <v>1118</v>
      </c>
      <c r="G423" t="s">
        <v>2020</v>
      </c>
      <c r="H423" t="s">
        <v>2021</v>
      </c>
      <c r="I423" s="2">
        <v>44959</v>
      </c>
      <c r="J423" t="s">
        <v>1128</v>
      </c>
      <c r="K423" t="s">
        <v>274</v>
      </c>
      <c r="L423" t="s">
        <v>273</v>
      </c>
      <c r="M423" t="s">
        <v>1684</v>
      </c>
      <c r="N423" t="s">
        <v>1672</v>
      </c>
      <c r="O423" t="s">
        <v>1685</v>
      </c>
    </row>
    <row r="424" spans="1:15" ht="15.75">
      <c r="A424" t="s">
        <v>446</v>
      </c>
      <c r="B424" t="s">
        <v>1176</v>
      </c>
      <c r="C424" t="s">
        <v>1432</v>
      </c>
      <c r="D424" t="s">
        <v>21</v>
      </c>
      <c r="E424">
        <v>27</v>
      </c>
      <c r="F424" t="s">
        <v>1118</v>
      </c>
      <c r="G424" t="s">
        <v>2022</v>
      </c>
      <c r="H424" t="s">
        <v>2023</v>
      </c>
      <c r="I424" s="2">
        <v>44258</v>
      </c>
      <c r="J424" t="s">
        <v>1135</v>
      </c>
      <c r="K424" t="s">
        <v>274</v>
      </c>
      <c r="L424" t="s">
        <v>273</v>
      </c>
      <c r="M424" t="s">
        <v>1671</v>
      </c>
      <c r="N424" t="s">
        <v>1672</v>
      </c>
      <c r="O424" t="s">
        <v>1673</v>
      </c>
    </row>
    <row r="425" spans="1:15" ht="15.75">
      <c r="A425" t="s">
        <v>447</v>
      </c>
      <c r="B425" t="s">
        <v>1138</v>
      </c>
      <c r="C425" t="s">
        <v>1432</v>
      </c>
      <c r="D425" t="s">
        <v>16</v>
      </c>
      <c r="E425">
        <v>57</v>
      </c>
      <c r="F425" t="s">
        <v>1132</v>
      </c>
      <c r="G425" t="s">
        <v>2024</v>
      </c>
      <c r="H425" t="s">
        <v>2025</v>
      </c>
      <c r="I425" s="2">
        <v>44655</v>
      </c>
      <c r="J425" t="s">
        <v>1142</v>
      </c>
      <c r="K425" t="s">
        <v>274</v>
      </c>
      <c r="L425" t="s">
        <v>273</v>
      </c>
      <c r="M425" t="s">
        <v>1676</v>
      </c>
      <c r="N425" t="s">
        <v>1672</v>
      </c>
      <c r="O425" t="s">
        <v>1677</v>
      </c>
    </row>
    <row r="426" spans="1:15" ht="15.75">
      <c r="A426" t="s">
        <v>448</v>
      </c>
      <c r="B426" t="s">
        <v>1181</v>
      </c>
      <c r="C426" t="s">
        <v>1432</v>
      </c>
      <c r="D426" t="s">
        <v>21</v>
      </c>
      <c r="E426">
        <v>55</v>
      </c>
      <c r="F426" t="s">
        <v>1132</v>
      </c>
      <c r="G426" t="s">
        <v>2026</v>
      </c>
      <c r="H426" t="s">
        <v>2027</v>
      </c>
      <c r="I426" s="2">
        <v>45051</v>
      </c>
      <c r="J426" t="s">
        <v>1121</v>
      </c>
      <c r="K426" t="s">
        <v>274</v>
      </c>
      <c r="L426" t="s">
        <v>273</v>
      </c>
      <c r="M426" t="s">
        <v>1680</v>
      </c>
      <c r="N426" t="s">
        <v>1672</v>
      </c>
      <c r="O426" t="s">
        <v>1681</v>
      </c>
    </row>
    <row r="427" spans="1:15" ht="15.75">
      <c r="A427" t="s">
        <v>449</v>
      </c>
      <c r="B427" t="s">
        <v>1241</v>
      </c>
      <c r="C427" t="s">
        <v>1432</v>
      </c>
      <c r="D427" t="s">
        <v>16</v>
      </c>
      <c r="E427">
        <v>23</v>
      </c>
      <c r="F427" t="s">
        <v>1164</v>
      </c>
      <c r="G427" t="s">
        <v>2028</v>
      </c>
      <c r="H427" t="s">
        <v>2029</v>
      </c>
      <c r="I427" s="2">
        <v>44353</v>
      </c>
      <c r="J427" t="s">
        <v>1128</v>
      </c>
      <c r="K427" t="s">
        <v>274</v>
      </c>
      <c r="L427" t="s">
        <v>273</v>
      </c>
      <c r="M427" t="s">
        <v>1684</v>
      </c>
      <c r="N427" t="s">
        <v>1672</v>
      </c>
      <c r="O427" t="s">
        <v>1685</v>
      </c>
    </row>
    <row r="428" spans="1:15" ht="15.75">
      <c r="A428" t="s">
        <v>450</v>
      </c>
      <c r="B428" t="s">
        <v>1151</v>
      </c>
      <c r="C428" t="s">
        <v>1432</v>
      </c>
      <c r="D428" t="s">
        <v>16</v>
      </c>
      <c r="E428">
        <v>25</v>
      </c>
      <c r="F428" t="s">
        <v>1164</v>
      </c>
      <c r="G428" t="s">
        <v>2030</v>
      </c>
      <c r="H428" t="s">
        <v>2031</v>
      </c>
      <c r="I428" s="2">
        <v>44749</v>
      </c>
      <c r="J428" t="s">
        <v>1135</v>
      </c>
      <c r="K428" t="s">
        <v>274</v>
      </c>
      <c r="L428" t="s">
        <v>273</v>
      </c>
      <c r="M428" t="s">
        <v>1671</v>
      </c>
      <c r="N428" t="s">
        <v>1672</v>
      </c>
      <c r="O428" t="s">
        <v>1673</v>
      </c>
    </row>
    <row r="429" spans="1:15" ht="15.75">
      <c r="A429" t="s">
        <v>451</v>
      </c>
      <c r="B429" t="s">
        <v>1246</v>
      </c>
      <c r="C429" t="s">
        <v>1432</v>
      </c>
      <c r="D429" t="s">
        <v>21</v>
      </c>
      <c r="E429">
        <v>40</v>
      </c>
      <c r="F429" t="s">
        <v>1139</v>
      </c>
      <c r="G429" t="s">
        <v>2032</v>
      </c>
      <c r="H429" t="s">
        <v>2033</v>
      </c>
      <c r="I429" s="2">
        <v>45146</v>
      </c>
      <c r="J429" t="s">
        <v>1142</v>
      </c>
      <c r="K429" t="s">
        <v>274</v>
      </c>
      <c r="L429" t="s">
        <v>273</v>
      </c>
      <c r="M429" t="s">
        <v>1676</v>
      </c>
      <c r="N429" t="s">
        <v>1672</v>
      </c>
      <c r="O429" t="s">
        <v>1677</v>
      </c>
    </row>
    <row r="430" spans="1:15" ht="15.75">
      <c r="A430" t="s">
        <v>452</v>
      </c>
      <c r="B430" t="s">
        <v>1157</v>
      </c>
      <c r="C430" t="s">
        <v>1432</v>
      </c>
      <c r="D430" t="s">
        <v>16</v>
      </c>
      <c r="E430">
        <v>64</v>
      </c>
      <c r="F430" t="s">
        <v>1132</v>
      </c>
      <c r="G430" t="s">
        <v>2034</v>
      </c>
      <c r="H430" t="s">
        <v>2035</v>
      </c>
      <c r="I430" s="2">
        <v>44448</v>
      </c>
      <c r="J430" t="s">
        <v>1121</v>
      </c>
      <c r="K430" t="s">
        <v>274</v>
      </c>
      <c r="L430" t="s">
        <v>273</v>
      </c>
      <c r="M430" t="s">
        <v>1680</v>
      </c>
      <c r="N430" t="s">
        <v>1672</v>
      </c>
      <c r="O430" t="s">
        <v>1681</v>
      </c>
    </row>
    <row r="431" spans="1:15" ht="15.75">
      <c r="A431" t="s">
        <v>453</v>
      </c>
      <c r="B431" t="s">
        <v>1160</v>
      </c>
      <c r="C431" t="s">
        <v>1432</v>
      </c>
      <c r="D431" t="s">
        <v>21</v>
      </c>
      <c r="E431">
        <v>43</v>
      </c>
      <c r="F431" t="s">
        <v>1139</v>
      </c>
      <c r="G431" t="s">
        <v>2036</v>
      </c>
      <c r="H431" t="s">
        <v>2037</v>
      </c>
      <c r="I431" s="2">
        <v>44844</v>
      </c>
      <c r="J431" t="s">
        <v>1128</v>
      </c>
      <c r="K431" t="s">
        <v>274</v>
      </c>
      <c r="L431" t="s">
        <v>273</v>
      </c>
      <c r="M431" t="s">
        <v>1684</v>
      </c>
      <c r="N431" t="s">
        <v>1672</v>
      </c>
      <c r="O431" t="s">
        <v>1685</v>
      </c>
    </row>
    <row r="432" spans="1:15" ht="15.75">
      <c r="A432" t="s">
        <v>454</v>
      </c>
      <c r="B432" t="s">
        <v>1163</v>
      </c>
      <c r="C432" t="s">
        <v>1432</v>
      </c>
      <c r="D432" t="s">
        <v>16</v>
      </c>
      <c r="E432">
        <v>63</v>
      </c>
      <c r="F432" t="s">
        <v>1132</v>
      </c>
      <c r="G432" t="s">
        <v>2038</v>
      </c>
      <c r="H432" t="s">
        <v>2039</v>
      </c>
      <c r="I432" s="2">
        <v>45241</v>
      </c>
      <c r="J432" t="s">
        <v>1135</v>
      </c>
      <c r="K432" t="s">
        <v>274</v>
      </c>
      <c r="L432" t="s">
        <v>273</v>
      </c>
      <c r="M432" t="s">
        <v>1671</v>
      </c>
      <c r="N432" t="s">
        <v>1672</v>
      </c>
      <c r="O432" t="s">
        <v>1673</v>
      </c>
    </row>
    <row r="433" spans="1:15" ht="15.75">
      <c r="A433" t="s">
        <v>455</v>
      </c>
      <c r="B433" t="s">
        <v>1200</v>
      </c>
      <c r="C433" t="s">
        <v>1432</v>
      </c>
      <c r="D433" t="s">
        <v>21</v>
      </c>
      <c r="E433">
        <v>60</v>
      </c>
      <c r="F433" t="s">
        <v>1132</v>
      </c>
      <c r="G433" t="s">
        <v>2040</v>
      </c>
      <c r="H433" t="s">
        <v>2041</v>
      </c>
      <c r="I433" s="2">
        <v>44542</v>
      </c>
      <c r="J433" t="s">
        <v>1142</v>
      </c>
      <c r="K433" t="s">
        <v>274</v>
      </c>
      <c r="L433" t="s">
        <v>273</v>
      </c>
      <c r="M433" t="s">
        <v>1676</v>
      </c>
      <c r="N433" t="s">
        <v>1672</v>
      </c>
      <c r="O433" t="s">
        <v>1677</v>
      </c>
    </row>
    <row r="434" spans="1:15" ht="15.75">
      <c r="A434" t="s">
        <v>456</v>
      </c>
      <c r="B434" t="s">
        <v>1116</v>
      </c>
      <c r="C434" t="s">
        <v>1117</v>
      </c>
      <c r="D434" t="s">
        <v>16</v>
      </c>
      <c r="E434">
        <v>29</v>
      </c>
      <c r="F434" t="s">
        <v>1118</v>
      </c>
      <c r="G434" t="s">
        <v>2042</v>
      </c>
      <c r="H434" t="s">
        <v>2043</v>
      </c>
      <c r="I434" s="2">
        <v>44574</v>
      </c>
      <c r="J434" t="s">
        <v>1121</v>
      </c>
      <c r="K434" t="s">
        <v>274</v>
      </c>
      <c r="L434" t="s">
        <v>273</v>
      </c>
      <c r="M434" t="s">
        <v>1680</v>
      </c>
      <c r="N434" t="s">
        <v>1672</v>
      </c>
      <c r="O434" t="s">
        <v>1681</v>
      </c>
    </row>
    <row r="435" spans="1:15" ht="15.75">
      <c r="A435" t="s">
        <v>457</v>
      </c>
      <c r="B435" t="s">
        <v>1125</v>
      </c>
      <c r="C435" t="s">
        <v>1117</v>
      </c>
      <c r="D435" t="s">
        <v>21</v>
      </c>
      <c r="E435">
        <v>43</v>
      </c>
      <c r="F435" t="s">
        <v>1139</v>
      </c>
      <c r="G435" t="s">
        <v>2044</v>
      </c>
      <c r="H435" t="s">
        <v>2045</v>
      </c>
      <c r="I435" s="2">
        <v>44971</v>
      </c>
      <c r="J435" t="s">
        <v>1128</v>
      </c>
      <c r="K435" t="s">
        <v>274</v>
      </c>
      <c r="L435" t="s">
        <v>273</v>
      </c>
      <c r="M435" t="s">
        <v>1684</v>
      </c>
      <c r="N435" t="s">
        <v>1672</v>
      </c>
      <c r="O435" t="s">
        <v>1685</v>
      </c>
    </row>
    <row r="436" spans="1:15" ht="15.75">
      <c r="A436" t="s">
        <v>458</v>
      </c>
      <c r="B436" t="s">
        <v>1176</v>
      </c>
      <c r="C436" t="s">
        <v>1117</v>
      </c>
      <c r="D436" t="s">
        <v>21</v>
      </c>
      <c r="E436">
        <v>30</v>
      </c>
      <c r="F436" t="s">
        <v>1118</v>
      </c>
      <c r="G436" t="s">
        <v>2046</v>
      </c>
      <c r="H436" t="s">
        <v>2047</v>
      </c>
      <c r="I436" s="2">
        <v>44270</v>
      </c>
      <c r="J436" t="s">
        <v>1135</v>
      </c>
      <c r="K436" t="s">
        <v>274</v>
      </c>
      <c r="L436" t="s">
        <v>273</v>
      </c>
      <c r="M436" t="s">
        <v>1671</v>
      </c>
      <c r="N436" t="s">
        <v>1672</v>
      </c>
      <c r="O436" t="s">
        <v>1673</v>
      </c>
    </row>
    <row r="437" spans="1:15" ht="15.75">
      <c r="A437" t="s">
        <v>459</v>
      </c>
      <c r="B437" t="s">
        <v>1211</v>
      </c>
      <c r="C437" t="s">
        <v>1117</v>
      </c>
      <c r="D437" t="s">
        <v>21</v>
      </c>
      <c r="E437">
        <v>57</v>
      </c>
      <c r="F437" t="s">
        <v>1132</v>
      </c>
      <c r="G437" t="s">
        <v>2048</v>
      </c>
      <c r="H437" t="s">
        <v>2049</v>
      </c>
      <c r="I437" s="2">
        <v>44667</v>
      </c>
      <c r="J437" t="s">
        <v>1142</v>
      </c>
      <c r="K437" t="s">
        <v>274</v>
      </c>
      <c r="L437" t="s">
        <v>273</v>
      </c>
      <c r="M437" t="s">
        <v>1676</v>
      </c>
      <c r="N437" t="s">
        <v>1672</v>
      </c>
      <c r="O437" t="s">
        <v>1677</v>
      </c>
    </row>
    <row r="438" spans="1:15" ht="15.75">
      <c r="A438" t="s">
        <v>460</v>
      </c>
      <c r="B438" t="s">
        <v>1181</v>
      </c>
      <c r="C438" t="s">
        <v>1117</v>
      </c>
      <c r="D438" t="s">
        <v>21</v>
      </c>
      <c r="E438">
        <v>35</v>
      </c>
      <c r="F438" t="s">
        <v>1118</v>
      </c>
      <c r="G438" t="s">
        <v>2050</v>
      </c>
      <c r="H438" t="s">
        <v>2051</v>
      </c>
      <c r="I438" s="2">
        <v>45063</v>
      </c>
      <c r="J438" t="s">
        <v>1121</v>
      </c>
      <c r="K438" t="s">
        <v>274</v>
      </c>
      <c r="L438" t="s">
        <v>273</v>
      </c>
      <c r="M438" t="s">
        <v>1680</v>
      </c>
      <c r="N438" t="s">
        <v>1672</v>
      </c>
      <c r="O438" t="s">
        <v>1681</v>
      </c>
    </row>
    <row r="439" spans="1:15" ht="15.75">
      <c r="A439" t="s">
        <v>461</v>
      </c>
      <c r="B439" t="s">
        <v>1148</v>
      </c>
      <c r="C439" t="s">
        <v>1117</v>
      </c>
      <c r="D439" t="s">
        <v>21</v>
      </c>
      <c r="E439">
        <v>42</v>
      </c>
      <c r="F439" t="s">
        <v>1139</v>
      </c>
      <c r="G439" t="s">
        <v>2052</v>
      </c>
      <c r="H439" t="s">
        <v>2053</v>
      </c>
      <c r="I439" s="2">
        <v>44365</v>
      </c>
      <c r="J439" t="s">
        <v>1128</v>
      </c>
      <c r="K439" t="s">
        <v>274</v>
      </c>
      <c r="L439" t="s">
        <v>273</v>
      </c>
      <c r="M439" t="s">
        <v>1684</v>
      </c>
      <c r="N439" t="s">
        <v>1672</v>
      </c>
      <c r="O439" t="s">
        <v>1685</v>
      </c>
    </row>
    <row r="440" spans="1:15" ht="15.75">
      <c r="A440" t="s">
        <v>462</v>
      </c>
      <c r="B440" t="s">
        <v>1151</v>
      </c>
      <c r="C440" t="s">
        <v>1117</v>
      </c>
      <c r="D440" t="s">
        <v>16</v>
      </c>
      <c r="E440">
        <v>50</v>
      </c>
      <c r="F440" t="s">
        <v>1132</v>
      </c>
      <c r="G440" t="s">
        <v>2054</v>
      </c>
      <c r="H440" t="s">
        <v>2055</v>
      </c>
      <c r="I440" s="2">
        <v>44761</v>
      </c>
      <c r="J440" t="s">
        <v>1135</v>
      </c>
      <c r="K440" t="s">
        <v>274</v>
      </c>
      <c r="L440" t="s">
        <v>273</v>
      </c>
      <c r="M440" t="s">
        <v>1671</v>
      </c>
      <c r="N440" t="s">
        <v>1672</v>
      </c>
      <c r="O440" t="s">
        <v>1673</v>
      </c>
    </row>
    <row r="441" spans="1:15" ht="15.75">
      <c r="A441" t="s">
        <v>463</v>
      </c>
      <c r="B441" t="s">
        <v>1154</v>
      </c>
      <c r="C441" t="s">
        <v>1117</v>
      </c>
      <c r="D441" t="s">
        <v>16</v>
      </c>
      <c r="E441">
        <v>64</v>
      </c>
      <c r="F441" t="s">
        <v>1132</v>
      </c>
      <c r="G441" t="s">
        <v>2056</v>
      </c>
      <c r="H441" t="s">
        <v>2057</v>
      </c>
      <c r="I441" s="2">
        <v>45158</v>
      </c>
      <c r="J441" t="s">
        <v>1142</v>
      </c>
      <c r="K441" t="s">
        <v>274</v>
      </c>
      <c r="L441" t="s">
        <v>273</v>
      </c>
      <c r="M441" t="s">
        <v>1676</v>
      </c>
      <c r="N441" t="s">
        <v>1672</v>
      </c>
      <c r="O441" t="s">
        <v>1677</v>
      </c>
    </row>
    <row r="442" spans="1:15" ht="15.75">
      <c r="A442" t="s">
        <v>464</v>
      </c>
      <c r="B442" t="s">
        <v>1157</v>
      </c>
      <c r="C442" t="s">
        <v>1117</v>
      </c>
      <c r="D442" t="s">
        <v>16</v>
      </c>
      <c r="E442">
        <v>57</v>
      </c>
      <c r="F442" t="s">
        <v>1132</v>
      </c>
      <c r="G442" t="s">
        <v>2058</v>
      </c>
      <c r="H442" t="s">
        <v>2059</v>
      </c>
      <c r="I442" s="2">
        <v>44460</v>
      </c>
      <c r="J442" t="s">
        <v>1121</v>
      </c>
      <c r="K442" t="s">
        <v>274</v>
      </c>
      <c r="L442" t="s">
        <v>273</v>
      </c>
      <c r="M442" t="s">
        <v>1680</v>
      </c>
      <c r="N442" t="s">
        <v>1672</v>
      </c>
      <c r="O442" t="s">
        <v>1681</v>
      </c>
    </row>
    <row r="443" spans="1:15" ht="15.75">
      <c r="A443" t="s">
        <v>465</v>
      </c>
      <c r="B443" t="s">
        <v>1160</v>
      </c>
      <c r="C443" t="s">
        <v>1117</v>
      </c>
      <c r="D443" t="s">
        <v>21</v>
      </c>
      <c r="E443">
        <v>60</v>
      </c>
      <c r="F443" t="s">
        <v>1132</v>
      </c>
      <c r="G443" t="s">
        <v>2060</v>
      </c>
      <c r="H443" t="s">
        <v>2061</v>
      </c>
      <c r="I443" s="2">
        <v>44856</v>
      </c>
      <c r="J443" t="s">
        <v>1128</v>
      </c>
      <c r="K443" t="s">
        <v>274</v>
      </c>
      <c r="L443" t="s">
        <v>273</v>
      </c>
      <c r="M443" t="s">
        <v>1684</v>
      </c>
      <c r="N443" t="s">
        <v>1672</v>
      </c>
      <c r="O443" t="s">
        <v>1685</v>
      </c>
    </row>
    <row r="444" spans="1:15" ht="15.75">
      <c r="A444" t="s">
        <v>466</v>
      </c>
      <c r="B444" t="s">
        <v>1163</v>
      </c>
      <c r="C444" t="s">
        <v>1117</v>
      </c>
      <c r="D444" t="s">
        <v>16</v>
      </c>
      <c r="E444">
        <v>29</v>
      </c>
      <c r="F444" t="s">
        <v>1118</v>
      </c>
      <c r="G444" t="s">
        <v>2062</v>
      </c>
      <c r="H444" t="s">
        <v>2063</v>
      </c>
      <c r="I444" s="2">
        <v>45253</v>
      </c>
      <c r="J444" t="s">
        <v>1135</v>
      </c>
      <c r="K444" t="s">
        <v>274</v>
      </c>
      <c r="L444" t="s">
        <v>273</v>
      </c>
      <c r="M444" t="s">
        <v>1671</v>
      </c>
      <c r="N444" t="s">
        <v>1672</v>
      </c>
      <c r="O444" t="s">
        <v>1673</v>
      </c>
    </row>
    <row r="445" spans="1:15" ht="15.75">
      <c r="A445" t="s">
        <v>467</v>
      </c>
      <c r="B445" t="s">
        <v>1200</v>
      </c>
      <c r="C445" t="s">
        <v>1117</v>
      </c>
      <c r="D445" t="s">
        <v>21</v>
      </c>
      <c r="E445">
        <v>61</v>
      </c>
      <c r="F445" t="s">
        <v>1132</v>
      </c>
      <c r="G445" t="s">
        <v>2064</v>
      </c>
      <c r="H445" t="s">
        <v>2065</v>
      </c>
      <c r="I445" s="2">
        <v>44554</v>
      </c>
      <c r="J445" t="s">
        <v>1142</v>
      </c>
      <c r="K445" t="s">
        <v>274</v>
      </c>
      <c r="L445" t="s">
        <v>273</v>
      </c>
      <c r="M445" t="s">
        <v>1676</v>
      </c>
      <c r="N445" t="s">
        <v>1672</v>
      </c>
      <c r="O445" t="s">
        <v>1677</v>
      </c>
    </row>
    <row r="446" spans="1:15" ht="15.75">
      <c r="A446" t="s">
        <v>468</v>
      </c>
      <c r="B446" t="s">
        <v>1203</v>
      </c>
      <c r="C446" t="s">
        <v>1170</v>
      </c>
      <c r="D446" t="s">
        <v>21</v>
      </c>
      <c r="E446">
        <v>53</v>
      </c>
      <c r="F446" t="s">
        <v>1132</v>
      </c>
      <c r="G446" t="s">
        <v>2066</v>
      </c>
      <c r="H446" t="s">
        <v>2067</v>
      </c>
      <c r="I446" s="2">
        <v>44586</v>
      </c>
      <c r="J446" t="s">
        <v>1121</v>
      </c>
      <c r="K446" t="s">
        <v>274</v>
      </c>
      <c r="L446" t="s">
        <v>273</v>
      </c>
      <c r="M446" t="s">
        <v>1680</v>
      </c>
      <c r="N446" t="s">
        <v>1672</v>
      </c>
      <c r="O446" t="s">
        <v>1681</v>
      </c>
    </row>
    <row r="447" spans="1:15" ht="15.75">
      <c r="A447" t="s">
        <v>469</v>
      </c>
      <c r="B447" t="s">
        <v>1173</v>
      </c>
      <c r="C447" t="s">
        <v>1170</v>
      </c>
      <c r="D447" t="s">
        <v>16</v>
      </c>
      <c r="E447">
        <v>21</v>
      </c>
      <c r="F447" t="s">
        <v>1164</v>
      </c>
      <c r="G447" t="s">
        <v>2068</v>
      </c>
      <c r="H447" t="s">
        <v>2069</v>
      </c>
      <c r="I447" s="2">
        <v>44983</v>
      </c>
      <c r="J447" t="s">
        <v>1128</v>
      </c>
      <c r="K447" t="s">
        <v>274</v>
      </c>
      <c r="L447" t="s">
        <v>273</v>
      </c>
      <c r="M447" t="s">
        <v>1684</v>
      </c>
      <c r="N447" t="s">
        <v>1672</v>
      </c>
      <c r="O447" t="s">
        <v>1685</v>
      </c>
    </row>
    <row r="448" spans="1:15" ht="15.75">
      <c r="A448" t="s">
        <v>470</v>
      </c>
      <c r="B448" t="s">
        <v>1131</v>
      </c>
      <c r="C448" t="s">
        <v>1170</v>
      </c>
      <c r="D448" t="s">
        <v>16</v>
      </c>
      <c r="E448">
        <v>22</v>
      </c>
      <c r="F448" t="s">
        <v>1164</v>
      </c>
      <c r="G448" t="s">
        <v>2070</v>
      </c>
      <c r="H448" t="s">
        <v>2071</v>
      </c>
      <c r="I448" s="2">
        <v>44282</v>
      </c>
      <c r="J448" t="s">
        <v>1135</v>
      </c>
      <c r="K448" t="s">
        <v>274</v>
      </c>
      <c r="L448" t="s">
        <v>273</v>
      </c>
      <c r="M448" t="s">
        <v>1671</v>
      </c>
      <c r="N448" t="s">
        <v>1672</v>
      </c>
      <c r="O448" t="s">
        <v>1673</v>
      </c>
    </row>
    <row r="449" spans="1:15" ht="15.75">
      <c r="A449" t="s">
        <v>471</v>
      </c>
      <c r="B449" t="s">
        <v>1211</v>
      </c>
      <c r="C449" t="s">
        <v>1170</v>
      </c>
      <c r="D449" t="s">
        <v>21</v>
      </c>
      <c r="E449">
        <v>54</v>
      </c>
      <c r="F449" t="s">
        <v>1132</v>
      </c>
      <c r="G449" t="s">
        <v>2072</v>
      </c>
      <c r="H449" t="s">
        <v>2073</v>
      </c>
      <c r="I449" s="2">
        <v>44679</v>
      </c>
      <c r="J449" t="s">
        <v>1142</v>
      </c>
      <c r="K449" t="s">
        <v>274</v>
      </c>
      <c r="L449" t="s">
        <v>273</v>
      </c>
      <c r="M449" t="s">
        <v>1676</v>
      </c>
      <c r="N449" t="s">
        <v>1672</v>
      </c>
      <c r="O449" t="s">
        <v>1677</v>
      </c>
    </row>
    <row r="450" spans="1:15" ht="15.75">
      <c r="A450" t="s">
        <v>472</v>
      </c>
      <c r="B450" t="s">
        <v>1145</v>
      </c>
      <c r="C450" t="s">
        <v>1170</v>
      </c>
      <c r="D450" t="s">
        <v>16</v>
      </c>
      <c r="E450">
        <v>25</v>
      </c>
      <c r="F450" t="s">
        <v>1164</v>
      </c>
      <c r="G450" t="s">
        <v>2074</v>
      </c>
      <c r="H450" t="s">
        <v>2075</v>
      </c>
      <c r="I450" s="2">
        <v>45047</v>
      </c>
      <c r="J450" t="s">
        <v>1121</v>
      </c>
      <c r="K450" t="s">
        <v>274</v>
      </c>
      <c r="L450" t="s">
        <v>273</v>
      </c>
      <c r="M450" t="s">
        <v>1680</v>
      </c>
      <c r="N450" t="s">
        <v>1672</v>
      </c>
      <c r="O450" t="s">
        <v>1681</v>
      </c>
    </row>
    <row r="451" spans="1:15" ht="15.75">
      <c r="A451" t="s">
        <v>473</v>
      </c>
      <c r="B451" t="s">
        <v>1148</v>
      </c>
      <c r="C451" t="s">
        <v>1170</v>
      </c>
      <c r="D451" t="s">
        <v>21</v>
      </c>
      <c r="E451">
        <v>59</v>
      </c>
      <c r="F451" t="s">
        <v>1132</v>
      </c>
      <c r="G451" t="s">
        <v>2076</v>
      </c>
      <c r="H451" t="s">
        <v>2077</v>
      </c>
      <c r="I451" s="2">
        <v>44349</v>
      </c>
      <c r="J451" t="s">
        <v>1128</v>
      </c>
      <c r="K451" t="s">
        <v>274</v>
      </c>
      <c r="L451" t="s">
        <v>273</v>
      </c>
      <c r="M451" t="s">
        <v>1684</v>
      </c>
      <c r="N451" t="s">
        <v>1672</v>
      </c>
      <c r="O451" t="s">
        <v>1685</v>
      </c>
    </row>
    <row r="452" spans="1:15" ht="15.75">
      <c r="A452" t="s">
        <v>474</v>
      </c>
      <c r="B452" t="s">
        <v>1186</v>
      </c>
      <c r="C452" t="s">
        <v>1170</v>
      </c>
      <c r="D452" t="s">
        <v>21</v>
      </c>
      <c r="E452">
        <v>45</v>
      </c>
      <c r="F452" t="s">
        <v>1139</v>
      </c>
      <c r="G452" t="s">
        <v>2078</v>
      </c>
      <c r="H452" t="s">
        <v>2079</v>
      </c>
      <c r="I452" s="2">
        <v>44745</v>
      </c>
      <c r="J452" t="s">
        <v>1135</v>
      </c>
      <c r="K452" t="s">
        <v>274</v>
      </c>
      <c r="L452" t="s">
        <v>273</v>
      </c>
      <c r="M452" t="s">
        <v>1671</v>
      </c>
      <c r="N452" t="s">
        <v>1672</v>
      </c>
      <c r="O452" t="s">
        <v>1673</v>
      </c>
    </row>
    <row r="453" spans="1:15" ht="15.75">
      <c r="A453" t="s">
        <v>475</v>
      </c>
      <c r="B453" t="s">
        <v>1246</v>
      </c>
      <c r="C453" t="s">
        <v>1170</v>
      </c>
      <c r="D453" t="s">
        <v>21</v>
      </c>
      <c r="E453">
        <v>48</v>
      </c>
      <c r="F453" t="s">
        <v>1132</v>
      </c>
      <c r="G453" t="s">
        <v>2080</v>
      </c>
      <c r="H453" t="s">
        <v>2081</v>
      </c>
      <c r="I453" s="2">
        <v>45142</v>
      </c>
      <c r="J453" t="s">
        <v>1142</v>
      </c>
      <c r="K453" t="s">
        <v>274</v>
      </c>
      <c r="L453" t="s">
        <v>273</v>
      </c>
      <c r="M453" t="s">
        <v>1676</v>
      </c>
      <c r="N453" t="s">
        <v>1672</v>
      </c>
      <c r="O453" t="s">
        <v>1677</v>
      </c>
    </row>
    <row r="454" spans="1:15" ht="15.75">
      <c r="A454" t="s">
        <v>476</v>
      </c>
      <c r="B454" t="s">
        <v>1191</v>
      </c>
      <c r="C454" t="s">
        <v>1170</v>
      </c>
      <c r="D454" t="s">
        <v>21</v>
      </c>
      <c r="E454">
        <v>26</v>
      </c>
      <c r="F454" t="s">
        <v>1118</v>
      </c>
      <c r="G454" t="s">
        <v>2082</v>
      </c>
      <c r="H454" t="s">
        <v>2083</v>
      </c>
      <c r="I454" s="2">
        <v>44444</v>
      </c>
      <c r="J454" t="s">
        <v>1121</v>
      </c>
      <c r="K454" t="s">
        <v>274</v>
      </c>
      <c r="L454" t="s">
        <v>273</v>
      </c>
      <c r="M454" t="s">
        <v>1680</v>
      </c>
      <c r="N454" t="s">
        <v>1672</v>
      </c>
      <c r="O454" t="s">
        <v>1681</v>
      </c>
    </row>
    <row r="455" spans="1:15" ht="15.75">
      <c r="A455" t="s">
        <v>477</v>
      </c>
      <c r="B455" t="s">
        <v>1160</v>
      </c>
      <c r="C455" t="s">
        <v>1170</v>
      </c>
      <c r="D455" t="s">
        <v>21</v>
      </c>
      <c r="E455">
        <v>46</v>
      </c>
      <c r="F455" t="s">
        <v>1132</v>
      </c>
      <c r="G455" t="s">
        <v>2084</v>
      </c>
      <c r="H455" t="s">
        <v>2085</v>
      </c>
      <c r="I455" s="2">
        <v>44840</v>
      </c>
      <c r="J455" t="s">
        <v>1128</v>
      </c>
      <c r="K455" t="s">
        <v>274</v>
      </c>
      <c r="L455" t="s">
        <v>273</v>
      </c>
      <c r="M455" t="s">
        <v>1684</v>
      </c>
      <c r="N455" t="s">
        <v>1672</v>
      </c>
      <c r="O455" t="s">
        <v>1685</v>
      </c>
    </row>
    <row r="456" spans="1:15" ht="15.75">
      <c r="A456" t="s">
        <v>478</v>
      </c>
      <c r="B456" t="s">
        <v>1163</v>
      </c>
      <c r="C456" t="s">
        <v>1170</v>
      </c>
      <c r="D456" t="s">
        <v>16</v>
      </c>
      <c r="E456">
        <v>31</v>
      </c>
      <c r="F456" t="s">
        <v>1118</v>
      </c>
      <c r="G456" t="s">
        <v>2086</v>
      </c>
      <c r="H456" t="s">
        <v>2087</v>
      </c>
      <c r="I456" s="2">
        <v>45237</v>
      </c>
      <c r="J456" t="s">
        <v>1135</v>
      </c>
      <c r="K456" t="s">
        <v>274</v>
      </c>
      <c r="L456" t="s">
        <v>273</v>
      </c>
      <c r="M456" t="s">
        <v>1671</v>
      </c>
      <c r="N456" t="s">
        <v>1672</v>
      </c>
      <c r="O456" t="s">
        <v>1673</v>
      </c>
    </row>
    <row r="457" spans="1:15" ht="15.75">
      <c r="A457" t="s">
        <v>479</v>
      </c>
      <c r="B457" t="s">
        <v>1167</v>
      </c>
      <c r="C457" t="s">
        <v>1170</v>
      </c>
      <c r="D457" t="s">
        <v>16</v>
      </c>
      <c r="E457">
        <v>57</v>
      </c>
      <c r="F457" t="s">
        <v>1132</v>
      </c>
      <c r="G457" t="s">
        <v>2088</v>
      </c>
      <c r="H457" t="s">
        <v>2089</v>
      </c>
      <c r="I457" s="2">
        <v>44538</v>
      </c>
      <c r="J457" t="s">
        <v>1142</v>
      </c>
      <c r="K457" t="s">
        <v>274</v>
      </c>
      <c r="L457" t="s">
        <v>273</v>
      </c>
      <c r="M457" t="s">
        <v>1676</v>
      </c>
      <c r="N457" t="s">
        <v>1672</v>
      </c>
      <c r="O457" t="s">
        <v>1677</v>
      </c>
    </row>
    <row r="458" spans="1:15" ht="15.75">
      <c r="A458" t="s">
        <v>480</v>
      </c>
      <c r="B458" t="s">
        <v>1203</v>
      </c>
      <c r="C458" t="s">
        <v>1204</v>
      </c>
      <c r="D458" t="s">
        <v>21</v>
      </c>
      <c r="E458">
        <v>58</v>
      </c>
      <c r="F458" t="s">
        <v>1132</v>
      </c>
      <c r="G458" t="s">
        <v>2090</v>
      </c>
      <c r="H458" t="s">
        <v>2091</v>
      </c>
      <c r="I458" s="2">
        <v>44570</v>
      </c>
      <c r="J458" t="s">
        <v>1121</v>
      </c>
      <c r="K458" t="s">
        <v>274</v>
      </c>
      <c r="L458" t="s">
        <v>273</v>
      </c>
      <c r="M458" t="s">
        <v>1680</v>
      </c>
      <c r="N458" t="s">
        <v>1672</v>
      </c>
      <c r="O458" t="s">
        <v>1681</v>
      </c>
    </row>
    <row r="459" spans="1:15" ht="15.75">
      <c r="A459" t="s">
        <v>481</v>
      </c>
      <c r="B459" t="s">
        <v>1125</v>
      </c>
      <c r="C459" t="s">
        <v>1204</v>
      </c>
      <c r="D459" t="s">
        <v>21</v>
      </c>
      <c r="E459">
        <v>39</v>
      </c>
      <c r="F459" t="s">
        <v>1139</v>
      </c>
      <c r="G459" t="s">
        <v>2092</v>
      </c>
      <c r="H459" t="s">
        <v>2093</v>
      </c>
      <c r="I459" s="2">
        <v>44967</v>
      </c>
      <c r="J459" t="s">
        <v>1128</v>
      </c>
      <c r="K459" t="s">
        <v>274</v>
      </c>
      <c r="L459" t="s">
        <v>273</v>
      </c>
      <c r="M459" t="s">
        <v>1684</v>
      </c>
      <c r="N459" t="s">
        <v>1672</v>
      </c>
      <c r="O459" t="s">
        <v>1685</v>
      </c>
    </row>
    <row r="460" spans="1:15" ht="15.75">
      <c r="A460" t="s">
        <v>482</v>
      </c>
      <c r="B460" t="s">
        <v>1131</v>
      </c>
      <c r="C460" t="s">
        <v>1204</v>
      </c>
      <c r="D460" t="s">
        <v>16</v>
      </c>
      <c r="E460">
        <v>28</v>
      </c>
      <c r="F460" t="s">
        <v>1118</v>
      </c>
      <c r="G460" t="s">
        <v>2094</v>
      </c>
      <c r="H460" t="s">
        <v>2095</v>
      </c>
      <c r="I460" s="2">
        <v>44266</v>
      </c>
      <c r="J460" t="s">
        <v>1135</v>
      </c>
      <c r="K460" t="s">
        <v>274</v>
      </c>
      <c r="L460" t="s">
        <v>273</v>
      </c>
      <c r="M460" t="s">
        <v>1671</v>
      </c>
      <c r="N460" t="s">
        <v>1672</v>
      </c>
      <c r="O460" t="s">
        <v>1673</v>
      </c>
    </row>
    <row r="461" spans="1:15" ht="15.75">
      <c r="A461" t="s">
        <v>483</v>
      </c>
      <c r="B461" t="s">
        <v>1138</v>
      </c>
      <c r="C461" t="s">
        <v>1204</v>
      </c>
      <c r="D461" t="s">
        <v>16</v>
      </c>
      <c r="E461">
        <v>40</v>
      </c>
      <c r="F461" t="s">
        <v>1139</v>
      </c>
      <c r="G461" t="s">
        <v>2096</v>
      </c>
      <c r="H461" t="s">
        <v>2097</v>
      </c>
      <c r="I461" s="2">
        <v>44663</v>
      </c>
      <c r="J461" t="s">
        <v>1142</v>
      </c>
      <c r="K461" t="s">
        <v>274</v>
      </c>
      <c r="L461" t="s">
        <v>273</v>
      </c>
      <c r="M461" t="s">
        <v>1676</v>
      </c>
      <c r="N461" t="s">
        <v>1672</v>
      </c>
      <c r="O461" t="s">
        <v>1677</v>
      </c>
    </row>
    <row r="462" spans="1:15" ht="15.75">
      <c r="A462" t="s">
        <v>484</v>
      </c>
      <c r="B462" t="s">
        <v>1181</v>
      </c>
      <c r="C462" t="s">
        <v>1204</v>
      </c>
      <c r="D462" t="s">
        <v>21</v>
      </c>
      <c r="E462">
        <v>18</v>
      </c>
      <c r="F462" t="s">
        <v>1164</v>
      </c>
      <c r="G462" t="s">
        <v>2098</v>
      </c>
      <c r="H462" t="s">
        <v>2099</v>
      </c>
      <c r="I462" s="2">
        <v>45059</v>
      </c>
      <c r="J462" t="s">
        <v>1121</v>
      </c>
      <c r="K462" t="s">
        <v>274</v>
      </c>
      <c r="L462" t="s">
        <v>273</v>
      </c>
      <c r="M462" t="s">
        <v>1680</v>
      </c>
      <c r="N462" t="s">
        <v>1672</v>
      </c>
      <c r="O462" t="s">
        <v>1681</v>
      </c>
    </row>
    <row r="463" spans="1:15" ht="15.75">
      <c r="A463" t="s">
        <v>485</v>
      </c>
      <c r="B463" t="s">
        <v>1241</v>
      </c>
      <c r="C463" t="s">
        <v>1204</v>
      </c>
      <c r="D463" t="s">
        <v>16</v>
      </c>
      <c r="E463">
        <v>63</v>
      </c>
      <c r="F463" t="s">
        <v>1132</v>
      </c>
      <c r="G463" t="s">
        <v>2100</v>
      </c>
      <c r="H463" t="s">
        <v>2101</v>
      </c>
      <c r="I463" s="2">
        <v>44361</v>
      </c>
      <c r="J463" t="s">
        <v>1128</v>
      </c>
      <c r="K463" t="s">
        <v>274</v>
      </c>
      <c r="L463" t="s">
        <v>273</v>
      </c>
      <c r="M463" t="s">
        <v>1684</v>
      </c>
      <c r="N463" t="s">
        <v>1672</v>
      </c>
      <c r="O463" t="s">
        <v>1685</v>
      </c>
    </row>
    <row r="464" spans="1:15" ht="15.75">
      <c r="A464" t="s">
        <v>486</v>
      </c>
      <c r="B464" t="s">
        <v>1186</v>
      </c>
      <c r="C464" t="s">
        <v>1204</v>
      </c>
      <c r="D464" t="s">
        <v>21</v>
      </c>
      <c r="E464">
        <v>54</v>
      </c>
      <c r="F464" t="s">
        <v>1132</v>
      </c>
      <c r="G464" t="s">
        <v>2102</v>
      </c>
      <c r="H464" t="s">
        <v>2103</v>
      </c>
      <c r="I464" s="2">
        <v>44757</v>
      </c>
      <c r="J464" t="s">
        <v>1135</v>
      </c>
      <c r="K464" t="s">
        <v>274</v>
      </c>
      <c r="L464" t="s">
        <v>273</v>
      </c>
      <c r="M464" t="s">
        <v>1671</v>
      </c>
      <c r="N464" t="s">
        <v>1672</v>
      </c>
      <c r="O464" t="s">
        <v>1673</v>
      </c>
    </row>
    <row r="465" spans="1:15" ht="15.75">
      <c r="A465" t="s">
        <v>487</v>
      </c>
      <c r="B465" t="s">
        <v>1154</v>
      </c>
      <c r="C465" t="s">
        <v>1204</v>
      </c>
      <c r="D465" t="s">
        <v>16</v>
      </c>
      <c r="E465">
        <v>38</v>
      </c>
      <c r="F465" t="s">
        <v>1139</v>
      </c>
      <c r="G465" t="s">
        <v>2104</v>
      </c>
      <c r="H465" t="s">
        <v>2105</v>
      </c>
      <c r="I465" s="2">
        <v>45154</v>
      </c>
      <c r="J465" t="s">
        <v>1142</v>
      </c>
      <c r="K465" t="s">
        <v>274</v>
      </c>
      <c r="L465" t="s">
        <v>273</v>
      </c>
      <c r="M465" t="s">
        <v>1676</v>
      </c>
      <c r="N465" t="s">
        <v>1672</v>
      </c>
      <c r="O465" t="s">
        <v>1677</v>
      </c>
    </row>
    <row r="466" spans="1:15" ht="15.75">
      <c r="A466" t="s">
        <v>488</v>
      </c>
      <c r="B466" t="s">
        <v>1191</v>
      </c>
      <c r="C466" t="s">
        <v>1204</v>
      </c>
      <c r="D466" t="s">
        <v>21</v>
      </c>
      <c r="E466">
        <v>43</v>
      </c>
      <c r="F466" t="s">
        <v>1139</v>
      </c>
      <c r="G466" t="s">
        <v>2106</v>
      </c>
      <c r="H466" t="s">
        <v>2107</v>
      </c>
      <c r="I466" s="2">
        <v>44456</v>
      </c>
      <c r="J466" t="s">
        <v>1121</v>
      </c>
      <c r="K466" t="s">
        <v>274</v>
      </c>
      <c r="L466" t="s">
        <v>273</v>
      </c>
      <c r="M466" t="s">
        <v>1680</v>
      </c>
      <c r="N466" t="s">
        <v>1672</v>
      </c>
      <c r="O466" t="s">
        <v>1681</v>
      </c>
    </row>
    <row r="467" spans="1:15" ht="15.75">
      <c r="A467" t="s">
        <v>489</v>
      </c>
      <c r="B467" t="s">
        <v>1194</v>
      </c>
      <c r="C467" t="s">
        <v>1204</v>
      </c>
      <c r="D467" t="s">
        <v>16</v>
      </c>
      <c r="E467">
        <v>63</v>
      </c>
      <c r="F467" t="s">
        <v>1132</v>
      </c>
      <c r="G467" t="s">
        <v>2108</v>
      </c>
      <c r="H467" t="s">
        <v>2109</v>
      </c>
      <c r="I467" s="2">
        <v>44852</v>
      </c>
      <c r="J467" t="s">
        <v>1128</v>
      </c>
      <c r="K467" t="s">
        <v>274</v>
      </c>
      <c r="L467" t="s">
        <v>273</v>
      </c>
      <c r="M467" t="s">
        <v>1684</v>
      </c>
      <c r="N467" t="s">
        <v>1672</v>
      </c>
      <c r="O467" t="s">
        <v>1685</v>
      </c>
    </row>
    <row r="468" spans="1:15" ht="15.75">
      <c r="A468" t="s">
        <v>490</v>
      </c>
      <c r="B468" t="s">
        <v>1197</v>
      </c>
      <c r="C468" t="s">
        <v>1204</v>
      </c>
      <c r="D468" t="s">
        <v>21</v>
      </c>
      <c r="E468">
        <v>53</v>
      </c>
      <c r="F468" t="s">
        <v>1132</v>
      </c>
      <c r="G468" t="s">
        <v>2110</v>
      </c>
      <c r="H468" t="s">
        <v>2111</v>
      </c>
      <c r="I468" s="2">
        <v>45249</v>
      </c>
      <c r="J468" t="s">
        <v>1135</v>
      </c>
      <c r="K468" t="s">
        <v>274</v>
      </c>
      <c r="L468" t="s">
        <v>273</v>
      </c>
      <c r="M468" t="s">
        <v>1671</v>
      </c>
      <c r="N468" t="s">
        <v>1672</v>
      </c>
      <c r="O468" t="s">
        <v>1673</v>
      </c>
    </row>
    <row r="469" spans="1:15" ht="15.75">
      <c r="A469" t="s">
        <v>491</v>
      </c>
      <c r="B469" t="s">
        <v>1167</v>
      </c>
      <c r="C469" t="s">
        <v>1204</v>
      </c>
      <c r="D469" t="s">
        <v>16</v>
      </c>
      <c r="E469">
        <v>40</v>
      </c>
      <c r="F469" t="s">
        <v>1139</v>
      </c>
      <c r="G469" t="s">
        <v>2112</v>
      </c>
      <c r="H469" t="s">
        <v>2113</v>
      </c>
      <c r="I469" s="2">
        <v>44550</v>
      </c>
      <c r="J469" t="s">
        <v>1142</v>
      </c>
      <c r="K469" t="s">
        <v>274</v>
      </c>
      <c r="L469" t="s">
        <v>273</v>
      </c>
      <c r="M469" t="s">
        <v>1676</v>
      </c>
      <c r="N469" t="s">
        <v>1672</v>
      </c>
      <c r="O469" t="s">
        <v>1677</v>
      </c>
    </row>
    <row r="470" spans="1:15" ht="15.75">
      <c r="A470" t="s">
        <v>492</v>
      </c>
      <c r="B470" t="s">
        <v>1116</v>
      </c>
      <c r="C470" t="s">
        <v>1230</v>
      </c>
      <c r="D470" t="s">
        <v>16</v>
      </c>
      <c r="E470">
        <v>18</v>
      </c>
      <c r="F470" t="s">
        <v>1164</v>
      </c>
      <c r="G470" t="s">
        <v>2114</v>
      </c>
      <c r="H470" t="s">
        <v>2115</v>
      </c>
      <c r="I470" s="2">
        <v>44582</v>
      </c>
      <c r="J470" t="s">
        <v>1121</v>
      </c>
      <c r="K470" t="s">
        <v>274</v>
      </c>
      <c r="L470" t="s">
        <v>273</v>
      </c>
      <c r="M470" t="s">
        <v>1680</v>
      </c>
      <c r="N470" t="s">
        <v>1672</v>
      </c>
      <c r="O470" t="s">
        <v>1681</v>
      </c>
    </row>
    <row r="471" spans="1:15" ht="15.75">
      <c r="A471" t="s">
        <v>493</v>
      </c>
      <c r="B471" t="s">
        <v>1125</v>
      </c>
      <c r="C471" t="s">
        <v>1230</v>
      </c>
      <c r="D471" t="s">
        <v>21</v>
      </c>
      <c r="E471">
        <v>57</v>
      </c>
      <c r="F471" t="s">
        <v>1132</v>
      </c>
      <c r="G471" t="s">
        <v>2116</v>
      </c>
      <c r="H471" t="s">
        <v>2117</v>
      </c>
      <c r="I471" s="2">
        <v>44979</v>
      </c>
      <c r="J471" t="s">
        <v>1128</v>
      </c>
      <c r="K471" t="s">
        <v>274</v>
      </c>
      <c r="L471" t="s">
        <v>273</v>
      </c>
      <c r="M471" t="s">
        <v>1684</v>
      </c>
      <c r="N471" t="s">
        <v>1672</v>
      </c>
      <c r="O471" t="s">
        <v>1685</v>
      </c>
    </row>
    <row r="472" spans="1:15" ht="15.75">
      <c r="A472" t="s">
        <v>494</v>
      </c>
      <c r="B472" t="s">
        <v>1131</v>
      </c>
      <c r="C472" t="s">
        <v>1230</v>
      </c>
      <c r="D472" t="s">
        <v>16</v>
      </c>
      <c r="E472">
        <v>32</v>
      </c>
      <c r="F472" t="s">
        <v>1118</v>
      </c>
      <c r="G472" t="s">
        <v>2118</v>
      </c>
      <c r="H472" t="s">
        <v>2119</v>
      </c>
      <c r="I472" s="2">
        <v>44278</v>
      </c>
      <c r="J472" t="s">
        <v>1135</v>
      </c>
      <c r="K472" t="s">
        <v>274</v>
      </c>
      <c r="L472" t="s">
        <v>273</v>
      </c>
      <c r="M472" t="s">
        <v>1671</v>
      </c>
      <c r="N472" t="s">
        <v>1672</v>
      </c>
      <c r="O472" t="s">
        <v>1673</v>
      </c>
    </row>
    <row r="473" spans="1:15" ht="15.75">
      <c r="A473" t="s">
        <v>495</v>
      </c>
      <c r="B473" t="s">
        <v>1211</v>
      </c>
      <c r="C473" t="s">
        <v>1230</v>
      </c>
      <c r="D473" t="s">
        <v>21</v>
      </c>
      <c r="E473">
        <v>38</v>
      </c>
      <c r="F473" t="s">
        <v>1139</v>
      </c>
      <c r="G473" t="s">
        <v>2120</v>
      </c>
      <c r="H473" t="s">
        <v>2121</v>
      </c>
      <c r="I473" s="2">
        <v>44675</v>
      </c>
      <c r="J473" t="s">
        <v>1142</v>
      </c>
      <c r="K473" t="s">
        <v>274</v>
      </c>
      <c r="L473" t="s">
        <v>273</v>
      </c>
      <c r="M473" t="s">
        <v>1676</v>
      </c>
      <c r="N473" t="s">
        <v>1672</v>
      </c>
      <c r="O473" t="s">
        <v>1677</v>
      </c>
    </row>
    <row r="474" spans="1:15" ht="15.75">
      <c r="A474" t="s">
        <v>496</v>
      </c>
      <c r="B474" t="s">
        <v>1145</v>
      </c>
      <c r="C474" t="s">
        <v>1230</v>
      </c>
      <c r="D474" t="s">
        <v>16</v>
      </c>
      <c r="E474">
        <v>64</v>
      </c>
      <c r="F474" t="s">
        <v>1132</v>
      </c>
      <c r="G474" t="s">
        <v>2122</v>
      </c>
      <c r="H474" t="s">
        <v>2123</v>
      </c>
      <c r="I474" s="2">
        <v>45071</v>
      </c>
      <c r="J474" t="s">
        <v>1121</v>
      </c>
      <c r="K474" t="s">
        <v>274</v>
      </c>
      <c r="L474" t="s">
        <v>273</v>
      </c>
      <c r="M474" t="s">
        <v>1680</v>
      </c>
      <c r="N474" t="s">
        <v>1672</v>
      </c>
      <c r="O474" t="s">
        <v>1681</v>
      </c>
    </row>
    <row r="475" spans="1:15" ht="15.75">
      <c r="A475" t="s">
        <v>497</v>
      </c>
      <c r="B475" t="s">
        <v>1148</v>
      </c>
      <c r="C475" t="s">
        <v>1230</v>
      </c>
      <c r="D475" t="s">
        <v>21</v>
      </c>
      <c r="E475">
        <v>26</v>
      </c>
      <c r="F475" t="s">
        <v>1118</v>
      </c>
      <c r="G475" t="s">
        <v>2124</v>
      </c>
      <c r="H475" t="s">
        <v>2125</v>
      </c>
      <c r="I475" s="2">
        <v>44373</v>
      </c>
      <c r="J475" t="s">
        <v>1128</v>
      </c>
      <c r="K475" t="s">
        <v>274</v>
      </c>
      <c r="L475" t="s">
        <v>273</v>
      </c>
      <c r="M475" t="s">
        <v>1684</v>
      </c>
      <c r="N475" t="s">
        <v>1672</v>
      </c>
      <c r="O475" t="s">
        <v>1685</v>
      </c>
    </row>
    <row r="476" spans="1:15" ht="15.75">
      <c r="A476" t="s">
        <v>498</v>
      </c>
      <c r="B476" t="s">
        <v>1151</v>
      </c>
      <c r="C476" t="s">
        <v>1230</v>
      </c>
      <c r="D476" t="s">
        <v>16</v>
      </c>
      <c r="E476">
        <v>26</v>
      </c>
      <c r="F476" t="s">
        <v>1118</v>
      </c>
      <c r="G476" t="s">
        <v>2126</v>
      </c>
      <c r="H476" t="s">
        <v>2127</v>
      </c>
      <c r="I476" s="2">
        <v>44769</v>
      </c>
      <c r="J476" t="s">
        <v>1135</v>
      </c>
      <c r="K476" t="s">
        <v>274</v>
      </c>
      <c r="L476" t="s">
        <v>273</v>
      </c>
      <c r="M476" t="s">
        <v>1671</v>
      </c>
      <c r="N476" t="s">
        <v>1672</v>
      </c>
      <c r="O476" t="s">
        <v>1673</v>
      </c>
    </row>
    <row r="477" spans="1:15" ht="15.75">
      <c r="A477" t="s">
        <v>499</v>
      </c>
      <c r="B477" t="s">
        <v>1246</v>
      </c>
      <c r="C477" t="s">
        <v>1230</v>
      </c>
      <c r="D477" t="s">
        <v>21</v>
      </c>
      <c r="E477">
        <v>27</v>
      </c>
      <c r="F477" t="s">
        <v>1118</v>
      </c>
      <c r="G477" t="s">
        <v>2128</v>
      </c>
      <c r="H477" t="s">
        <v>2129</v>
      </c>
      <c r="I477" s="2">
        <v>45166</v>
      </c>
      <c r="J477" t="s">
        <v>1142</v>
      </c>
      <c r="K477" t="s">
        <v>274</v>
      </c>
      <c r="L477" t="s">
        <v>273</v>
      </c>
      <c r="M477" t="s">
        <v>1676</v>
      </c>
      <c r="N477" t="s">
        <v>1672</v>
      </c>
      <c r="O477" t="s">
        <v>1677</v>
      </c>
    </row>
    <row r="478" spans="1:15" ht="15.75">
      <c r="A478" t="s">
        <v>500</v>
      </c>
      <c r="B478" t="s">
        <v>1157</v>
      </c>
      <c r="C478" t="s">
        <v>1230</v>
      </c>
      <c r="D478" t="s">
        <v>16</v>
      </c>
      <c r="E478">
        <v>43</v>
      </c>
      <c r="F478" t="s">
        <v>1139</v>
      </c>
      <c r="G478" t="s">
        <v>2130</v>
      </c>
      <c r="H478" t="s">
        <v>2131</v>
      </c>
      <c r="I478" s="2">
        <v>44440</v>
      </c>
      <c r="J478" t="s">
        <v>1121</v>
      </c>
      <c r="K478" t="s">
        <v>274</v>
      </c>
      <c r="L478" t="s">
        <v>273</v>
      </c>
      <c r="M478" t="s">
        <v>1680</v>
      </c>
      <c r="N478" t="s">
        <v>1672</v>
      </c>
      <c r="O478" t="s">
        <v>1681</v>
      </c>
    </row>
    <row r="479" spans="1:15" ht="15.75">
      <c r="A479" t="s">
        <v>501</v>
      </c>
      <c r="B479" t="s">
        <v>1160</v>
      </c>
      <c r="C479" t="s">
        <v>1230</v>
      </c>
      <c r="D479" t="s">
        <v>21</v>
      </c>
      <c r="E479">
        <v>58</v>
      </c>
      <c r="F479" t="s">
        <v>1132</v>
      </c>
      <c r="G479" t="s">
        <v>2132</v>
      </c>
      <c r="H479" t="s">
        <v>2133</v>
      </c>
      <c r="I479" s="2">
        <v>44836</v>
      </c>
      <c r="J479" t="s">
        <v>1128</v>
      </c>
      <c r="K479" t="s">
        <v>274</v>
      </c>
      <c r="L479" t="s">
        <v>273</v>
      </c>
      <c r="M479" t="s">
        <v>1684</v>
      </c>
      <c r="N479" t="s">
        <v>1672</v>
      </c>
      <c r="O479" t="s">
        <v>1685</v>
      </c>
    </row>
    <row r="480" spans="1:15" ht="15.75">
      <c r="A480" t="s">
        <v>502</v>
      </c>
      <c r="B480" t="s">
        <v>1163</v>
      </c>
      <c r="C480" t="s">
        <v>1230</v>
      </c>
      <c r="D480" t="s">
        <v>16</v>
      </c>
      <c r="E480">
        <v>52</v>
      </c>
      <c r="F480" t="s">
        <v>1132</v>
      </c>
      <c r="G480" t="s">
        <v>2134</v>
      </c>
      <c r="H480" t="s">
        <v>2135</v>
      </c>
      <c r="I480" s="2">
        <v>45233</v>
      </c>
      <c r="J480" t="s">
        <v>1135</v>
      </c>
      <c r="K480" t="s">
        <v>274</v>
      </c>
      <c r="L480" t="s">
        <v>273</v>
      </c>
      <c r="M480" t="s">
        <v>1671</v>
      </c>
      <c r="N480" t="s">
        <v>1672</v>
      </c>
      <c r="O480" t="s">
        <v>1673</v>
      </c>
    </row>
    <row r="481" spans="1:15" ht="15.75">
      <c r="A481" t="s">
        <v>503</v>
      </c>
      <c r="B481" t="s">
        <v>1200</v>
      </c>
      <c r="C481" t="s">
        <v>1230</v>
      </c>
      <c r="D481" t="s">
        <v>21</v>
      </c>
      <c r="E481">
        <v>42</v>
      </c>
      <c r="F481" t="s">
        <v>1139</v>
      </c>
      <c r="G481" t="s">
        <v>2136</v>
      </c>
      <c r="H481" t="s">
        <v>2137</v>
      </c>
      <c r="I481" s="2">
        <v>44534</v>
      </c>
      <c r="J481" t="s">
        <v>1142</v>
      </c>
      <c r="K481" t="s">
        <v>274</v>
      </c>
      <c r="L481" t="s">
        <v>273</v>
      </c>
      <c r="M481" t="s">
        <v>1676</v>
      </c>
      <c r="N481" t="s">
        <v>1672</v>
      </c>
      <c r="O481" t="s">
        <v>1677</v>
      </c>
    </row>
    <row r="482" spans="1:15" ht="15.75">
      <c r="A482" t="s">
        <v>504</v>
      </c>
      <c r="B482" t="s">
        <v>1203</v>
      </c>
      <c r="C482" t="s">
        <v>1257</v>
      </c>
      <c r="D482" t="s">
        <v>21</v>
      </c>
      <c r="E482">
        <v>43</v>
      </c>
      <c r="F482" t="s">
        <v>1139</v>
      </c>
      <c r="G482" t="s">
        <v>2138</v>
      </c>
      <c r="H482" t="s">
        <v>2139</v>
      </c>
      <c r="I482" s="2">
        <v>44566</v>
      </c>
      <c r="J482" t="s">
        <v>1121</v>
      </c>
      <c r="K482" t="s">
        <v>274</v>
      </c>
      <c r="L482" t="s">
        <v>273</v>
      </c>
      <c r="M482" t="s">
        <v>1680</v>
      </c>
      <c r="N482" t="s">
        <v>1672</v>
      </c>
      <c r="O482" t="s">
        <v>1681</v>
      </c>
    </row>
    <row r="483" spans="1:15" ht="15.75">
      <c r="A483" t="s">
        <v>505</v>
      </c>
      <c r="B483" t="s">
        <v>1125</v>
      </c>
      <c r="C483" t="s">
        <v>1257</v>
      </c>
      <c r="D483" t="s">
        <v>21</v>
      </c>
      <c r="E483">
        <v>28</v>
      </c>
      <c r="F483" t="s">
        <v>1118</v>
      </c>
      <c r="G483" t="s">
        <v>2140</v>
      </c>
      <c r="H483" t="s">
        <v>2141</v>
      </c>
      <c r="I483" s="2">
        <v>44963</v>
      </c>
      <c r="J483" t="s">
        <v>1128</v>
      </c>
      <c r="K483" t="s">
        <v>274</v>
      </c>
      <c r="L483" t="s">
        <v>273</v>
      </c>
      <c r="M483" t="s">
        <v>1684</v>
      </c>
      <c r="N483" t="s">
        <v>1672</v>
      </c>
      <c r="O483" t="s">
        <v>1685</v>
      </c>
    </row>
    <row r="484" spans="1:15" ht="15.75">
      <c r="A484" t="s">
        <v>506</v>
      </c>
      <c r="B484" t="s">
        <v>1131</v>
      </c>
      <c r="C484" t="s">
        <v>1257</v>
      </c>
      <c r="D484" t="s">
        <v>16</v>
      </c>
      <c r="E484">
        <v>55</v>
      </c>
      <c r="F484" t="s">
        <v>1132</v>
      </c>
      <c r="G484" t="s">
        <v>2142</v>
      </c>
      <c r="H484" t="s">
        <v>2143</v>
      </c>
      <c r="I484" s="2">
        <v>44262</v>
      </c>
      <c r="J484" t="s">
        <v>1135</v>
      </c>
      <c r="K484" t="s">
        <v>274</v>
      </c>
      <c r="L484" t="s">
        <v>273</v>
      </c>
      <c r="M484" t="s">
        <v>1671</v>
      </c>
      <c r="N484" t="s">
        <v>1672</v>
      </c>
      <c r="O484" t="s">
        <v>1673</v>
      </c>
    </row>
    <row r="485" spans="1:15" ht="15.75">
      <c r="A485" t="s">
        <v>507</v>
      </c>
      <c r="B485" t="s">
        <v>1211</v>
      </c>
      <c r="C485" t="s">
        <v>1257</v>
      </c>
      <c r="D485" t="s">
        <v>21</v>
      </c>
      <c r="E485">
        <v>19</v>
      </c>
      <c r="F485" t="s">
        <v>1164</v>
      </c>
      <c r="G485" t="s">
        <v>2144</v>
      </c>
      <c r="H485" t="s">
        <v>2145</v>
      </c>
      <c r="I485" s="2">
        <v>44659</v>
      </c>
      <c r="J485" t="s">
        <v>1142</v>
      </c>
      <c r="K485" t="s">
        <v>274</v>
      </c>
      <c r="L485" t="s">
        <v>273</v>
      </c>
      <c r="M485" t="s">
        <v>1676</v>
      </c>
      <c r="N485" t="s">
        <v>1672</v>
      </c>
      <c r="O485" t="s">
        <v>1677</v>
      </c>
    </row>
    <row r="486" spans="1:15" ht="15.75">
      <c r="A486" t="s">
        <v>508</v>
      </c>
      <c r="B486" t="s">
        <v>1145</v>
      </c>
      <c r="C486" t="s">
        <v>1257</v>
      </c>
      <c r="D486" t="s">
        <v>16</v>
      </c>
      <c r="E486">
        <v>24</v>
      </c>
      <c r="F486" t="s">
        <v>1164</v>
      </c>
      <c r="G486" t="s">
        <v>2146</v>
      </c>
      <c r="H486" t="s">
        <v>2147</v>
      </c>
      <c r="I486" s="2">
        <v>45055</v>
      </c>
      <c r="J486" t="s">
        <v>1121</v>
      </c>
      <c r="K486" t="s">
        <v>274</v>
      </c>
      <c r="L486" t="s">
        <v>273</v>
      </c>
      <c r="M486" t="s">
        <v>1680</v>
      </c>
      <c r="N486" t="s">
        <v>1672</v>
      </c>
      <c r="O486" t="s">
        <v>1681</v>
      </c>
    </row>
    <row r="487" spans="1:15" ht="15.75">
      <c r="A487" t="s">
        <v>509</v>
      </c>
      <c r="B487" t="s">
        <v>1148</v>
      </c>
      <c r="C487" t="s">
        <v>1257</v>
      </c>
      <c r="D487" t="s">
        <v>21</v>
      </c>
      <c r="E487">
        <v>35</v>
      </c>
      <c r="F487" t="s">
        <v>1118</v>
      </c>
      <c r="G487" t="s">
        <v>2148</v>
      </c>
      <c r="H487" t="s">
        <v>2149</v>
      </c>
      <c r="I487" s="2">
        <v>44357</v>
      </c>
      <c r="J487" t="s">
        <v>1128</v>
      </c>
      <c r="K487" t="s">
        <v>274</v>
      </c>
      <c r="L487" t="s">
        <v>273</v>
      </c>
      <c r="M487" t="s">
        <v>1684</v>
      </c>
      <c r="N487" t="s">
        <v>1672</v>
      </c>
      <c r="O487" t="s">
        <v>1685</v>
      </c>
    </row>
    <row r="488" spans="1:15" ht="15.75">
      <c r="A488" t="s">
        <v>510</v>
      </c>
      <c r="B488" t="s">
        <v>1151</v>
      </c>
      <c r="C488" t="s">
        <v>1257</v>
      </c>
      <c r="D488" t="s">
        <v>16</v>
      </c>
      <c r="E488">
        <v>44</v>
      </c>
      <c r="F488" t="s">
        <v>1139</v>
      </c>
      <c r="G488" t="s">
        <v>2150</v>
      </c>
      <c r="H488" t="s">
        <v>2151</v>
      </c>
      <c r="I488" s="2">
        <v>44753</v>
      </c>
      <c r="J488" t="s">
        <v>1135</v>
      </c>
      <c r="K488" t="s">
        <v>274</v>
      </c>
      <c r="L488" t="s">
        <v>273</v>
      </c>
      <c r="M488" t="s">
        <v>1671</v>
      </c>
      <c r="N488" t="s">
        <v>1672</v>
      </c>
      <c r="O488" t="s">
        <v>1673</v>
      </c>
    </row>
    <row r="489" spans="1:15" ht="15.75">
      <c r="A489" t="s">
        <v>511</v>
      </c>
      <c r="B489" t="s">
        <v>1246</v>
      </c>
      <c r="C489" t="s">
        <v>1257</v>
      </c>
      <c r="D489" t="s">
        <v>21</v>
      </c>
      <c r="E489">
        <v>51</v>
      </c>
      <c r="F489" t="s">
        <v>1132</v>
      </c>
      <c r="G489" t="s">
        <v>2152</v>
      </c>
      <c r="H489" t="s">
        <v>2153</v>
      </c>
      <c r="I489" s="2">
        <v>45150</v>
      </c>
      <c r="J489" t="s">
        <v>1142</v>
      </c>
      <c r="K489" t="s">
        <v>274</v>
      </c>
      <c r="L489" t="s">
        <v>273</v>
      </c>
      <c r="M489" t="s">
        <v>1676</v>
      </c>
      <c r="N489" t="s">
        <v>1672</v>
      </c>
      <c r="O489" t="s">
        <v>1677</v>
      </c>
    </row>
    <row r="490" spans="1:15" ht="15.75">
      <c r="A490" t="s">
        <v>512</v>
      </c>
      <c r="B490" t="s">
        <v>1157</v>
      </c>
      <c r="C490" t="s">
        <v>1257</v>
      </c>
      <c r="D490" t="s">
        <v>16</v>
      </c>
      <c r="E490">
        <v>44</v>
      </c>
      <c r="F490" t="s">
        <v>1139</v>
      </c>
      <c r="G490" t="s">
        <v>2154</v>
      </c>
      <c r="H490" t="s">
        <v>2155</v>
      </c>
      <c r="I490" s="2">
        <v>44452</v>
      </c>
      <c r="J490" t="s">
        <v>1121</v>
      </c>
      <c r="K490" t="s">
        <v>274</v>
      </c>
      <c r="L490" t="s">
        <v>273</v>
      </c>
      <c r="M490" t="s">
        <v>1680</v>
      </c>
      <c r="N490" t="s">
        <v>1672</v>
      </c>
      <c r="O490" t="s">
        <v>1681</v>
      </c>
    </row>
    <row r="491" spans="1:15" ht="15.75">
      <c r="A491" t="s">
        <v>513</v>
      </c>
      <c r="B491" t="s">
        <v>1194</v>
      </c>
      <c r="C491" t="s">
        <v>1257</v>
      </c>
      <c r="D491" t="s">
        <v>16</v>
      </c>
      <c r="E491">
        <v>34</v>
      </c>
      <c r="F491" t="s">
        <v>1118</v>
      </c>
      <c r="G491" t="s">
        <v>2156</v>
      </c>
      <c r="H491" t="s">
        <v>2157</v>
      </c>
      <c r="I491" s="2">
        <v>44848</v>
      </c>
      <c r="J491" t="s">
        <v>1128</v>
      </c>
      <c r="K491" t="s">
        <v>274</v>
      </c>
      <c r="L491" t="s">
        <v>273</v>
      </c>
      <c r="M491" t="s">
        <v>1684</v>
      </c>
      <c r="N491" t="s">
        <v>1672</v>
      </c>
      <c r="O491" t="s">
        <v>1685</v>
      </c>
    </row>
    <row r="492" spans="1:15" ht="15.75">
      <c r="A492" t="s">
        <v>514</v>
      </c>
      <c r="B492" t="s">
        <v>1197</v>
      </c>
      <c r="C492" t="s">
        <v>1257</v>
      </c>
      <c r="D492" t="s">
        <v>21</v>
      </c>
      <c r="E492">
        <v>60</v>
      </c>
      <c r="F492" t="s">
        <v>1132</v>
      </c>
      <c r="G492" t="s">
        <v>2158</v>
      </c>
      <c r="H492" t="s">
        <v>2159</v>
      </c>
      <c r="I492" s="2">
        <v>45245</v>
      </c>
      <c r="J492" t="s">
        <v>1135</v>
      </c>
      <c r="K492" t="s">
        <v>274</v>
      </c>
      <c r="L492" t="s">
        <v>273</v>
      </c>
      <c r="M492" t="s">
        <v>1671</v>
      </c>
      <c r="N492" t="s">
        <v>1672</v>
      </c>
      <c r="O492" t="s">
        <v>1673</v>
      </c>
    </row>
    <row r="493" spans="1:15" ht="15.75">
      <c r="A493" t="s">
        <v>515</v>
      </c>
      <c r="B493" t="s">
        <v>1167</v>
      </c>
      <c r="C493" t="s">
        <v>1257</v>
      </c>
      <c r="D493" t="s">
        <v>16</v>
      </c>
      <c r="E493">
        <v>61</v>
      </c>
      <c r="F493" t="s">
        <v>1132</v>
      </c>
      <c r="G493" t="s">
        <v>2160</v>
      </c>
      <c r="H493" t="s">
        <v>2161</v>
      </c>
      <c r="I493" s="2">
        <v>44546</v>
      </c>
      <c r="J493" t="s">
        <v>1142</v>
      </c>
      <c r="K493" t="s">
        <v>274</v>
      </c>
      <c r="L493" t="s">
        <v>273</v>
      </c>
      <c r="M493" t="s">
        <v>1676</v>
      </c>
      <c r="N493" t="s">
        <v>1672</v>
      </c>
      <c r="O493" t="s">
        <v>1677</v>
      </c>
    </row>
    <row r="494" spans="1:15" ht="15.75">
      <c r="A494" t="s">
        <v>516</v>
      </c>
      <c r="B494" t="s">
        <v>1116</v>
      </c>
      <c r="C494" t="s">
        <v>1282</v>
      </c>
      <c r="D494" t="s">
        <v>16</v>
      </c>
      <c r="E494">
        <v>41</v>
      </c>
      <c r="F494" t="s">
        <v>1139</v>
      </c>
      <c r="G494" t="s">
        <v>2162</v>
      </c>
      <c r="H494" t="s">
        <v>2163</v>
      </c>
      <c r="I494" s="2">
        <v>44578</v>
      </c>
      <c r="J494" t="s">
        <v>1121</v>
      </c>
      <c r="K494" t="s">
        <v>274</v>
      </c>
      <c r="L494" t="s">
        <v>273</v>
      </c>
      <c r="M494" t="s">
        <v>1680</v>
      </c>
      <c r="N494" t="s">
        <v>1672</v>
      </c>
      <c r="O494" t="s">
        <v>1681</v>
      </c>
    </row>
    <row r="495" spans="1:15" ht="15.75">
      <c r="A495" t="s">
        <v>517</v>
      </c>
      <c r="B495" t="s">
        <v>1125</v>
      </c>
      <c r="C495" t="s">
        <v>1282</v>
      </c>
      <c r="D495" t="s">
        <v>21</v>
      </c>
      <c r="E495">
        <v>42</v>
      </c>
      <c r="F495" t="s">
        <v>1139</v>
      </c>
      <c r="G495" t="s">
        <v>2164</v>
      </c>
      <c r="H495" t="s">
        <v>2165</v>
      </c>
      <c r="I495" s="2">
        <v>44975</v>
      </c>
      <c r="J495" t="s">
        <v>1128</v>
      </c>
      <c r="K495" t="s">
        <v>274</v>
      </c>
      <c r="L495" t="s">
        <v>273</v>
      </c>
      <c r="M495" t="s">
        <v>1684</v>
      </c>
      <c r="N495" t="s">
        <v>1672</v>
      </c>
      <c r="O495" t="s">
        <v>1685</v>
      </c>
    </row>
    <row r="496" spans="1:15" ht="15.75">
      <c r="A496" t="s">
        <v>518</v>
      </c>
      <c r="B496" t="s">
        <v>1131</v>
      </c>
      <c r="C496" t="s">
        <v>1282</v>
      </c>
      <c r="D496" t="s">
        <v>16</v>
      </c>
      <c r="E496">
        <v>24</v>
      </c>
      <c r="F496" t="s">
        <v>1164</v>
      </c>
      <c r="G496" t="s">
        <v>2166</v>
      </c>
      <c r="H496" t="s">
        <v>2167</v>
      </c>
      <c r="I496" s="2">
        <v>44274</v>
      </c>
      <c r="J496" t="s">
        <v>1135</v>
      </c>
      <c r="K496" t="s">
        <v>274</v>
      </c>
      <c r="L496" t="s">
        <v>273</v>
      </c>
      <c r="M496" t="s">
        <v>1671</v>
      </c>
      <c r="N496" t="s">
        <v>1672</v>
      </c>
      <c r="O496" t="s">
        <v>1673</v>
      </c>
    </row>
    <row r="497" spans="1:15" ht="15.75">
      <c r="A497" t="s">
        <v>519</v>
      </c>
      <c r="B497" t="s">
        <v>1138</v>
      </c>
      <c r="C497" t="s">
        <v>1282</v>
      </c>
      <c r="D497" t="s">
        <v>16</v>
      </c>
      <c r="E497">
        <v>23</v>
      </c>
      <c r="F497" t="s">
        <v>1164</v>
      </c>
      <c r="G497" t="s">
        <v>2168</v>
      </c>
      <c r="H497" t="s">
        <v>2169</v>
      </c>
      <c r="I497" s="2">
        <v>44671</v>
      </c>
      <c r="J497" t="s">
        <v>1142</v>
      </c>
      <c r="K497" t="s">
        <v>274</v>
      </c>
      <c r="L497" t="s">
        <v>273</v>
      </c>
      <c r="M497" t="s">
        <v>1676</v>
      </c>
      <c r="N497" t="s">
        <v>1672</v>
      </c>
      <c r="O497" t="s">
        <v>1677</v>
      </c>
    </row>
    <row r="498" spans="1:15" ht="15.75">
      <c r="A498" t="s">
        <v>520</v>
      </c>
      <c r="B498" t="s">
        <v>1145</v>
      </c>
      <c r="C498" t="s">
        <v>1282</v>
      </c>
      <c r="D498" t="s">
        <v>16</v>
      </c>
      <c r="E498">
        <v>41</v>
      </c>
      <c r="F498" t="s">
        <v>1139</v>
      </c>
      <c r="G498" t="s">
        <v>2170</v>
      </c>
      <c r="H498" t="s">
        <v>2171</v>
      </c>
      <c r="I498" s="2">
        <v>45067</v>
      </c>
      <c r="J498" t="s">
        <v>1121</v>
      </c>
      <c r="K498" t="s">
        <v>274</v>
      </c>
      <c r="L498" t="s">
        <v>273</v>
      </c>
      <c r="M498" t="s">
        <v>1680</v>
      </c>
      <c r="N498" t="s">
        <v>1672</v>
      </c>
      <c r="O498" t="s">
        <v>1681</v>
      </c>
    </row>
    <row r="499" spans="1:15" ht="15.75">
      <c r="A499" t="s">
        <v>521</v>
      </c>
      <c r="B499" t="s">
        <v>1148</v>
      </c>
      <c r="C499" t="s">
        <v>1282</v>
      </c>
      <c r="D499" t="s">
        <v>21</v>
      </c>
      <c r="E499">
        <v>50</v>
      </c>
      <c r="F499" t="s">
        <v>1132</v>
      </c>
      <c r="G499" t="s">
        <v>2172</v>
      </c>
      <c r="H499" t="s">
        <v>2173</v>
      </c>
      <c r="I499" s="2">
        <v>44369</v>
      </c>
      <c r="J499" t="s">
        <v>1128</v>
      </c>
      <c r="K499" t="s">
        <v>274</v>
      </c>
      <c r="L499" t="s">
        <v>273</v>
      </c>
      <c r="M499" t="s">
        <v>1684</v>
      </c>
      <c r="N499" t="s">
        <v>1672</v>
      </c>
      <c r="O499" t="s">
        <v>1685</v>
      </c>
    </row>
    <row r="500" spans="1:15" ht="15.75">
      <c r="A500" t="s">
        <v>522</v>
      </c>
      <c r="B500" t="s">
        <v>1151</v>
      </c>
      <c r="C500" t="s">
        <v>1282</v>
      </c>
      <c r="D500" t="s">
        <v>16</v>
      </c>
      <c r="E500">
        <v>46</v>
      </c>
      <c r="F500" t="s">
        <v>1132</v>
      </c>
      <c r="G500" t="s">
        <v>2174</v>
      </c>
      <c r="H500" t="s">
        <v>2175</v>
      </c>
      <c r="I500" s="2">
        <v>44765</v>
      </c>
      <c r="J500" t="s">
        <v>1135</v>
      </c>
      <c r="K500" t="s">
        <v>274</v>
      </c>
      <c r="L500" t="s">
        <v>273</v>
      </c>
      <c r="M500" t="s">
        <v>1671</v>
      </c>
      <c r="N500" t="s">
        <v>1672</v>
      </c>
      <c r="O500" t="s">
        <v>1673</v>
      </c>
    </row>
    <row r="501" spans="1:15" ht="15.75">
      <c r="A501" t="s">
        <v>523</v>
      </c>
      <c r="B501" t="s">
        <v>1246</v>
      </c>
      <c r="C501" t="s">
        <v>1282</v>
      </c>
      <c r="D501" t="s">
        <v>21</v>
      </c>
      <c r="E501">
        <v>60</v>
      </c>
      <c r="F501" t="s">
        <v>1132</v>
      </c>
      <c r="G501" t="s">
        <v>2176</v>
      </c>
      <c r="H501" t="s">
        <v>2177</v>
      </c>
      <c r="I501" s="2">
        <v>45162</v>
      </c>
      <c r="J501" t="s">
        <v>1142</v>
      </c>
      <c r="K501" t="s">
        <v>274</v>
      </c>
      <c r="L501" t="s">
        <v>273</v>
      </c>
      <c r="M501" t="s">
        <v>1676</v>
      </c>
      <c r="N501" t="s">
        <v>1672</v>
      </c>
      <c r="O501" t="s">
        <v>1677</v>
      </c>
    </row>
    <row r="502" spans="1:15" ht="15.75">
      <c r="A502" t="s">
        <v>524</v>
      </c>
      <c r="B502" t="s">
        <v>1157</v>
      </c>
      <c r="C502" t="s">
        <v>1282</v>
      </c>
      <c r="D502" t="s">
        <v>16</v>
      </c>
      <c r="E502">
        <v>39</v>
      </c>
      <c r="F502" t="s">
        <v>1139</v>
      </c>
      <c r="G502" t="s">
        <v>2178</v>
      </c>
      <c r="H502" t="s">
        <v>2179</v>
      </c>
      <c r="I502" s="2">
        <v>44464</v>
      </c>
      <c r="J502" t="s">
        <v>1121</v>
      </c>
      <c r="K502" t="s">
        <v>526</v>
      </c>
      <c r="L502" t="s">
        <v>525</v>
      </c>
      <c r="M502" t="s">
        <v>2180</v>
      </c>
      <c r="N502" t="s">
        <v>2181</v>
      </c>
      <c r="O502" t="s">
        <v>2182</v>
      </c>
    </row>
    <row r="503" spans="1:15" ht="15.75">
      <c r="A503" t="s">
        <v>527</v>
      </c>
      <c r="B503" t="s">
        <v>1194</v>
      </c>
      <c r="C503" t="s">
        <v>1282</v>
      </c>
      <c r="D503" t="s">
        <v>16</v>
      </c>
      <c r="E503">
        <v>43</v>
      </c>
      <c r="F503" t="s">
        <v>1139</v>
      </c>
      <c r="G503" t="s">
        <v>2183</v>
      </c>
      <c r="H503" t="s">
        <v>2184</v>
      </c>
      <c r="I503" s="2">
        <v>44860</v>
      </c>
      <c r="J503" t="s">
        <v>1128</v>
      </c>
      <c r="K503" t="s">
        <v>526</v>
      </c>
      <c r="L503" t="s">
        <v>525</v>
      </c>
      <c r="M503" t="s">
        <v>2185</v>
      </c>
      <c r="N503" t="s">
        <v>2181</v>
      </c>
      <c r="O503" t="s">
        <v>2186</v>
      </c>
    </row>
    <row r="504" spans="1:15" ht="15.75">
      <c r="A504" t="s">
        <v>528</v>
      </c>
      <c r="B504" t="s">
        <v>1163</v>
      </c>
      <c r="C504" t="s">
        <v>1282</v>
      </c>
      <c r="D504" t="s">
        <v>16</v>
      </c>
      <c r="E504">
        <v>45</v>
      </c>
      <c r="F504" t="s">
        <v>1139</v>
      </c>
      <c r="G504" t="s">
        <v>2187</v>
      </c>
      <c r="H504" t="s">
        <v>2188</v>
      </c>
      <c r="I504" s="2">
        <v>45257</v>
      </c>
      <c r="J504" t="s">
        <v>1135</v>
      </c>
      <c r="K504" t="s">
        <v>526</v>
      </c>
      <c r="L504" t="s">
        <v>525</v>
      </c>
      <c r="M504" t="s">
        <v>2189</v>
      </c>
      <c r="N504" t="s">
        <v>2181</v>
      </c>
      <c r="O504" t="s">
        <v>2190</v>
      </c>
    </row>
    <row r="505" spans="1:15" ht="15.75">
      <c r="A505" t="s">
        <v>529</v>
      </c>
      <c r="B505" t="s">
        <v>1200</v>
      </c>
      <c r="C505" t="s">
        <v>1282</v>
      </c>
      <c r="D505" t="s">
        <v>21</v>
      </c>
      <c r="E505">
        <v>38</v>
      </c>
      <c r="F505" t="s">
        <v>1139</v>
      </c>
      <c r="G505" t="s">
        <v>2191</v>
      </c>
      <c r="H505" t="s">
        <v>2192</v>
      </c>
      <c r="I505" s="2">
        <v>44558</v>
      </c>
      <c r="J505" t="s">
        <v>1142</v>
      </c>
      <c r="K505" t="s">
        <v>526</v>
      </c>
      <c r="L505" t="s">
        <v>525</v>
      </c>
      <c r="M505" t="s">
        <v>2193</v>
      </c>
      <c r="N505" t="s">
        <v>2181</v>
      </c>
      <c r="O505" t="s">
        <v>2194</v>
      </c>
    </row>
    <row r="506" spans="1:15" ht="15.75">
      <c r="A506" t="s">
        <v>530</v>
      </c>
      <c r="B506" t="s">
        <v>1116</v>
      </c>
      <c r="C506" t="s">
        <v>1307</v>
      </c>
      <c r="D506" t="s">
        <v>16</v>
      </c>
      <c r="E506">
        <v>24</v>
      </c>
      <c r="F506" t="s">
        <v>1164</v>
      </c>
      <c r="G506" t="s">
        <v>2195</v>
      </c>
      <c r="H506" t="s">
        <v>2196</v>
      </c>
      <c r="I506" s="2">
        <v>44562</v>
      </c>
      <c r="J506" t="s">
        <v>1121</v>
      </c>
      <c r="K506" t="s">
        <v>526</v>
      </c>
      <c r="L506" t="s">
        <v>525</v>
      </c>
      <c r="M506" t="s">
        <v>2180</v>
      </c>
      <c r="N506" t="s">
        <v>2181</v>
      </c>
      <c r="O506" t="s">
        <v>2182</v>
      </c>
    </row>
    <row r="507" spans="1:15" ht="15.75">
      <c r="A507" t="s">
        <v>531</v>
      </c>
      <c r="B507" t="s">
        <v>1173</v>
      </c>
      <c r="C507" t="s">
        <v>1307</v>
      </c>
      <c r="D507" t="s">
        <v>16</v>
      </c>
      <c r="E507">
        <v>34</v>
      </c>
      <c r="F507" t="s">
        <v>1118</v>
      </c>
      <c r="G507" t="s">
        <v>2197</v>
      </c>
      <c r="H507" t="s">
        <v>2198</v>
      </c>
      <c r="I507" s="2">
        <v>44959</v>
      </c>
      <c r="J507" t="s">
        <v>1128</v>
      </c>
      <c r="K507" t="s">
        <v>526</v>
      </c>
      <c r="L507" t="s">
        <v>525</v>
      </c>
      <c r="M507" t="s">
        <v>2185</v>
      </c>
      <c r="N507" t="s">
        <v>2181</v>
      </c>
      <c r="O507" t="s">
        <v>2186</v>
      </c>
    </row>
    <row r="508" spans="1:15" ht="15.75">
      <c r="A508" t="s">
        <v>532</v>
      </c>
      <c r="B508" t="s">
        <v>1176</v>
      </c>
      <c r="C508" t="s">
        <v>1307</v>
      </c>
      <c r="D508" t="s">
        <v>21</v>
      </c>
      <c r="E508">
        <v>37</v>
      </c>
      <c r="F508" t="s">
        <v>1139</v>
      </c>
      <c r="G508" t="s">
        <v>2199</v>
      </c>
      <c r="H508" t="s">
        <v>2200</v>
      </c>
      <c r="I508" s="2">
        <v>44258</v>
      </c>
      <c r="J508" t="s">
        <v>1135</v>
      </c>
      <c r="K508" t="s">
        <v>526</v>
      </c>
      <c r="L508" t="s">
        <v>525</v>
      </c>
      <c r="M508" t="s">
        <v>2189</v>
      </c>
      <c r="N508" t="s">
        <v>2181</v>
      </c>
      <c r="O508" t="s">
        <v>2190</v>
      </c>
    </row>
    <row r="509" spans="1:15" ht="15.75">
      <c r="A509" t="s">
        <v>533</v>
      </c>
      <c r="B509" t="s">
        <v>1138</v>
      </c>
      <c r="C509" t="s">
        <v>1307</v>
      </c>
      <c r="D509" t="s">
        <v>16</v>
      </c>
      <c r="E509">
        <v>58</v>
      </c>
      <c r="F509" t="s">
        <v>1132</v>
      </c>
      <c r="G509" t="s">
        <v>2201</v>
      </c>
      <c r="H509" t="s">
        <v>2202</v>
      </c>
      <c r="I509" s="2">
        <v>44655</v>
      </c>
      <c r="J509" t="s">
        <v>1142</v>
      </c>
      <c r="K509" t="s">
        <v>526</v>
      </c>
      <c r="L509" t="s">
        <v>525</v>
      </c>
      <c r="M509" t="s">
        <v>2193</v>
      </c>
      <c r="N509" t="s">
        <v>2181</v>
      </c>
      <c r="O509" t="s">
        <v>2194</v>
      </c>
    </row>
    <row r="510" spans="1:15" ht="15.75">
      <c r="A510" t="s">
        <v>534</v>
      </c>
      <c r="B510" t="s">
        <v>1181</v>
      </c>
      <c r="C510" t="s">
        <v>1307</v>
      </c>
      <c r="D510" t="s">
        <v>21</v>
      </c>
      <c r="E510">
        <v>37</v>
      </c>
      <c r="F510" t="s">
        <v>1139</v>
      </c>
      <c r="G510" t="s">
        <v>2203</v>
      </c>
      <c r="H510" t="s">
        <v>2204</v>
      </c>
      <c r="I510" s="2">
        <v>45051</v>
      </c>
      <c r="J510" t="s">
        <v>1121</v>
      </c>
      <c r="K510" t="s">
        <v>526</v>
      </c>
      <c r="L510" t="s">
        <v>525</v>
      </c>
      <c r="M510" t="s">
        <v>2180</v>
      </c>
      <c r="N510" t="s">
        <v>2181</v>
      </c>
      <c r="O510" t="s">
        <v>2182</v>
      </c>
    </row>
    <row r="511" spans="1:15" ht="15.75">
      <c r="A511" t="s">
        <v>535</v>
      </c>
      <c r="B511" t="s">
        <v>1148</v>
      </c>
      <c r="C511" t="s">
        <v>1307</v>
      </c>
      <c r="D511" t="s">
        <v>21</v>
      </c>
      <c r="E511">
        <v>39</v>
      </c>
      <c r="F511" t="s">
        <v>1139</v>
      </c>
      <c r="G511" t="s">
        <v>2205</v>
      </c>
      <c r="H511" t="s">
        <v>2206</v>
      </c>
      <c r="I511" s="2">
        <v>44353</v>
      </c>
      <c r="J511" t="s">
        <v>1128</v>
      </c>
      <c r="K511" t="s">
        <v>526</v>
      </c>
      <c r="L511" t="s">
        <v>525</v>
      </c>
      <c r="M511" t="s">
        <v>2185</v>
      </c>
      <c r="N511" t="s">
        <v>2181</v>
      </c>
      <c r="O511" t="s">
        <v>2186</v>
      </c>
    </row>
    <row r="512" spans="1:15" ht="15.75">
      <c r="A512" t="s">
        <v>536</v>
      </c>
      <c r="B512" t="s">
        <v>1151</v>
      </c>
      <c r="C512" t="s">
        <v>1307</v>
      </c>
      <c r="D512" t="s">
        <v>16</v>
      </c>
      <c r="E512">
        <v>45</v>
      </c>
      <c r="F512" t="s">
        <v>1139</v>
      </c>
      <c r="G512" t="s">
        <v>2207</v>
      </c>
      <c r="H512" t="s">
        <v>2208</v>
      </c>
      <c r="I512" s="2">
        <v>44749</v>
      </c>
      <c r="J512" t="s">
        <v>1135</v>
      </c>
      <c r="K512" t="s">
        <v>526</v>
      </c>
      <c r="L512" t="s">
        <v>525</v>
      </c>
      <c r="M512" t="s">
        <v>2189</v>
      </c>
      <c r="N512" t="s">
        <v>2181</v>
      </c>
      <c r="O512" t="s">
        <v>2190</v>
      </c>
    </row>
    <row r="513" spans="1:15" ht="15.75">
      <c r="A513" t="s">
        <v>537</v>
      </c>
      <c r="B513" t="s">
        <v>1246</v>
      </c>
      <c r="C513" t="s">
        <v>1307</v>
      </c>
      <c r="D513" t="s">
        <v>21</v>
      </c>
      <c r="E513">
        <v>57</v>
      </c>
      <c r="F513" t="s">
        <v>1132</v>
      </c>
      <c r="G513" t="s">
        <v>2209</v>
      </c>
      <c r="H513" t="s">
        <v>2210</v>
      </c>
      <c r="I513" s="2">
        <v>45146</v>
      </c>
      <c r="J513" t="s">
        <v>1142</v>
      </c>
      <c r="K513" t="s">
        <v>526</v>
      </c>
      <c r="L513" t="s">
        <v>525</v>
      </c>
      <c r="M513" t="s">
        <v>2193</v>
      </c>
      <c r="N513" t="s">
        <v>2181</v>
      </c>
      <c r="O513" t="s">
        <v>2194</v>
      </c>
    </row>
    <row r="514" spans="1:15" ht="15.75">
      <c r="A514" t="s">
        <v>538</v>
      </c>
      <c r="B514" t="s">
        <v>1157</v>
      </c>
      <c r="C514" t="s">
        <v>1307</v>
      </c>
      <c r="D514" t="s">
        <v>16</v>
      </c>
      <c r="E514">
        <v>24</v>
      </c>
      <c r="F514" t="s">
        <v>1164</v>
      </c>
      <c r="G514" t="s">
        <v>2211</v>
      </c>
      <c r="H514" t="s">
        <v>2212</v>
      </c>
      <c r="I514" s="2">
        <v>44448</v>
      </c>
      <c r="J514" t="s">
        <v>1121</v>
      </c>
      <c r="K514" t="s">
        <v>526</v>
      </c>
      <c r="L514" t="s">
        <v>525</v>
      </c>
      <c r="M514" t="s">
        <v>2180</v>
      </c>
      <c r="N514" t="s">
        <v>2181</v>
      </c>
      <c r="O514" t="s">
        <v>2182</v>
      </c>
    </row>
    <row r="515" spans="1:15" ht="15.75">
      <c r="A515" t="s">
        <v>539</v>
      </c>
      <c r="B515" t="s">
        <v>1160</v>
      </c>
      <c r="C515" t="s">
        <v>1307</v>
      </c>
      <c r="D515" t="s">
        <v>21</v>
      </c>
      <c r="E515">
        <v>18</v>
      </c>
      <c r="F515" t="s">
        <v>1164</v>
      </c>
      <c r="G515" t="s">
        <v>2213</v>
      </c>
      <c r="H515" t="s">
        <v>2214</v>
      </c>
      <c r="I515" s="2">
        <v>44844</v>
      </c>
      <c r="J515" t="s">
        <v>1128</v>
      </c>
      <c r="K515" t="s">
        <v>526</v>
      </c>
      <c r="L515" t="s">
        <v>525</v>
      </c>
      <c r="M515" t="s">
        <v>2185</v>
      </c>
      <c r="N515" t="s">
        <v>2181</v>
      </c>
      <c r="O515" t="s">
        <v>2186</v>
      </c>
    </row>
    <row r="516" spans="1:15" ht="15.75">
      <c r="A516" t="s">
        <v>540</v>
      </c>
      <c r="B516" t="s">
        <v>1197</v>
      </c>
      <c r="C516" t="s">
        <v>1307</v>
      </c>
      <c r="D516" t="s">
        <v>21</v>
      </c>
      <c r="E516">
        <v>49</v>
      </c>
      <c r="F516" t="s">
        <v>1132</v>
      </c>
      <c r="G516" t="s">
        <v>2215</v>
      </c>
      <c r="H516" t="s">
        <v>2216</v>
      </c>
      <c r="I516" s="2">
        <v>45241</v>
      </c>
      <c r="J516" t="s">
        <v>1135</v>
      </c>
      <c r="K516" t="s">
        <v>526</v>
      </c>
      <c r="L516" t="s">
        <v>525</v>
      </c>
      <c r="M516" t="s">
        <v>2189</v>
      </c>
      <c r="N516" t="s">
        <v>2181</v>
      </c>
      <c r="O516" t="s">
        <v>2190</v>
      </c>
    </row>
    <row r="517" spans="1:15" ht="15.75">
      <c r="A517" t="s">
        <v>541</v>
      </c>
      <c r="B517" t="s">
        <v>1167</v>
      </c>
      <c r="C517" t="s">
        <v>1307</v>
      </c>
      <c r="D517" t="s">
        <v>16</v>
      </c>
      <c r="E517">
        <v>30</v>
      </c>
      <c r="F517" t="s">
        <v>1118</v>
      </c>
      <c r="G517" t="s">
        <v>2217</v>
      </c>
      <c r="H517" t="s">
        <v>2218</v>
      </c>
      <c r="I517" s="2">
        <v>44542</v>
      </c>
      <c r="J517" t="s">
        <v>1142</v>
      </c>
      <c r="K517" t="s">
        <v>526</v>
      </c>
      <c r="L517" t="s">
        <v>525</v>
      </c>
      <c r="M517" t="s">
        <v>2193</v>
      </c>
      <c r="N517" t="s">
        <v>2181</v>
      </c>
      <c r="O517" t="s">
        <v>2194</v>
      </c>
    </row>
    <row r="518" spans="1:15" ht="15.75">
      <c r="A518" t="s">
        <v>542</v>
      </c>
      <c r="B518" t="s">
        <v>1203</v>
      </c>
      <c r="C518" t="s">
        <v>1332</v>
      </c>
      <c r="D518" t="s">
        <v>21</v>
      </c>
      <c r="E518">
        <v>47</v>
      </c>
      <c r="F518" t="s">
        <v>1132</v>
      </c>
      <c r="G518" t="s">
        <v>2219</v>
      </c>
      <c r="H518" t="s">
        <v>2220</v>
      </c>
      <c r="I518" s="2">
        <v>44574</v>
      </c>
      <c r="J518" t="s">
        <v>1121</v>
      </c>
      <c r="K518" t="s">
        <v>526</v>
      </c>
      <c r="L518" t="s">
        <v>525</v>
      </c>
      <c r="M518" t="s">
        <v>2180</v>
      </c>
      <c r="N518" t="s">
        <v>2181</v>
      </c>
      <c r="O518" t="s">
        <v>2182</v>
      </c>
    </row>
    <row r="519" spans="1:15" ht="15.75">
      <c r="A519" t="s">
        <v>543</v>
      </c>
      <c r="B519" t="s">
        <v>1125</v>
      </c>
      <c r="C519" t="s">
        <v>1332</v>
      </c>
      <c r="D519" t="s">
        <v>21</v>
      </c>
      <c r="E519">
        <v>40</v>
      </c>
      <c r="F519" t="s">
        <v>1139</v>
      </c>
      <c r="G519" t="s">
        <v>2221</v>
      </c>
      <c r="H519" t="s">
        <v>2222</v>
      </c>
      <c r="I519" s="2">
        <v>44971</v>
      </c>
      <c r="J519" t="s">
        <v>1128</v>
      </c>
      <c r="K519" t="s">
        <v>526</v>
      </c>
      <c r="L519" t="s">
        <v>525</v>
      </c>
      <c r="M519" t="s">
        <v>2185</v>
      </c>
      <c r="N519" t="s">
        <v>2181</v>
      </c>
      <c r="O519" t="s">
        <v>2186</v>
      </c>
    </row>
    <row r="520" spans="1:15" ht="15.75">
      <c r="A520" t="s">
        <v>544</v>
      </c>
      <c r="B520" t="s">
        <v>1176</v>
      </c>
      <c r="C520" t="s">
        <v>1332</v>
      </c>
      <c r="D520" t="s">
        <v>21</v>
      </c>
      <c r="E520">
        <v>36</v>
      </c>
      <c r="F520" t="s">
        <v>1139</v>
      </c>
      <c r="G520" t="s">
        <v>2223</v>
      </c>
      <c r="H520" t="s">
        <v>2224</v>
      </c>
      <c r="I520" s="2">
        <v>44270</v>
      </c>
      <c r="J520" t="s">
        <v>1135</v>
      </c>
      <c r="K520" t="s">
        <v>526</v>
      </c>
      <c r="L520" t="s">
        <v>525</v>
      </c>
      <c r="M520" t="s">
        <v>2189</v>
      </c>
      <c r="N520" t="s">
        <v>2181</v>
      </c>
      <c r="O520" t="s">
        <v>2190</v>
      </c>
    </row>
    <row r="521" spans="1:15" ht="15.75">
      <c r="A521" t="s">
        <v>545</v>
      </c>
      <c r="B521" t="s">
        <v>1211</v>
      </c>
      <c r="C521" t="s">
        <v>1332</v>
      </c>
      <c r="D521" t="s">
        <v>21</v>
      </c>
      <c r="E521">
        <v>49</v>
      </c>
      <c r="F521" t="s">
        <v>1132</v>
      </c>
      <c r="G521" t="s">
        <v>2225</v>
      </c>
      <c r="H521" t="s">
        <v>2226</v>
      </c>
      <c r="I521" s="2">
        <v>44667</v>
      </c>
      <c r="J521" t="s">
        <v>1142</v>
      </c>
      <c r="K521" t="s">
        <v>526</v>
      </c>
      <c r="L521" t="s">
        <v>525</v>
      </c>
      <c r="M521" t="s">
        <v>2193</v>
      </c>
      <c r="N521" t="s">
        <v>2181</v>
      </c>
      <c r="O521" t="s">
        <v>2194</v>
      </c>
    </row>
    <row r="522" spans="1:15" ht="15.75">
      <c r="A522" t="s">
        <v>546</v>
      </c>
      <c r="B522" t="s">
        <v>1181</v>
      </c>
      <c r="C522" t="s">
        <v>1332</v>
      </c>
      <c r="D522" t="s">
        <v>21</v>
      </c>
      <c r="E522">
        <v>47</v>
      </c>
      <c r="F522" t="s">
        <v>1132</v>
      </c>
      <c r="G522" t="s">
        <v>2227</v>
      </c>
      <c r="H522" t="s">
        <v>2228</v>
      </c>
      <c r="I522" s="2">
        <v>45063</v>
      </c>
      <c r="J522" t="s">
        <v>1121</v>
      </c>
      <c r="K522" t="s">
        <v>526</v>
      </c>
      <c r="L522" t="s">
        <v>525</v>
      </c>
      <c r="M522" t="s">
        <v>2180</v>
      </c>
      <c r="N522" t="s">
        <v>2181</v>
      </c>
      <c r="O522" t="s">
        <v>2182</v>
      </c>
    </row>
    <row r="523" spans="1:15" ht="15.75">
      <c r="A523" t="s">
        <v>547</v>
      </c>
      <c r="B523" t="s">
        <v>1241</v>
      </c>
      <c r="C523" t="s">
        <v>1332</v>
      </c>
      <c r="D523" t="s">
        <v>16</v>
      </c>
      <c r="E523">
        <v>46</v>
      </c>
      <c r="F523" t="s">
        <v>1132</v>
      </c>
      <c r="G523" t="s">
        <v>2229</v>
      </c>
      <c r="H523" t="s">
        <v>2230</v>
      </c>
      <c r="I523" s="2">
        <v>44365</v>
      </c>
      <c r="J523" t="s">
        <v>1128</v>
      </c>
      <c r="K523" t="s">
        <v>526</v>
      </c>
      <c r="L523" t="s">
        <v>525</v>
      </c>
      <c r="M523" t="s">
        <v>2185</v>
      </c>
      <c r="N523" t="s">
        <v>2181</v>
      </c>
      <c r="O523" t="s">
        <v>2186</v>
      </c>
    </row>
    <row r="524" spans="1:15" ht="15.75">
      <c r="A524" t="s">
        <v>548</v>
      </c>
      <c r="B524" t="s">
        <v>1186</v>
      </c>
      <c r="C524" t="s">
        <v>1332</v>
      </c>
      <c r="D524" t="s">
        <v>21</v>
      </c>
      <c r="E524">
        <v>62</v>
      </c>
      <c r="F524" t="s">
        <v>1132</v>
      </c>
      <c r="G524" t="s">
        <v>2231</v>
      </c>
      <c r="H524" t="s">
        <v>2232</v>
      </c>
      <c r="I524" s="2">
        <v>44761</v>
      </c>
      <c r="J524" t="s">
        <v>1135</v>
      </c>
      <c r="K524" t="s">
        <v>526</v>
      </c>
      <c r="L524" t="s">
        <v>525</v>
      </c>
      <c r="M524" t="s">
        <v>2189</v>
      </c>
      <c r="N524" t="s">
        <v>2181</v>
      </c>
      <c r="O524" t="s">
        <v>2190</v>
      </c>
    </row>
    <row r="525" spans="1:15" ht="15.75">
      <c r="A525" t="s">
        <v>549</v>
      </c>
      <c r="B525" t="s">
        <v>1154</v>
      </c>
      <c r="C525" t="s">
        <v>1332</v>
      </c>
      <c r="D525" t="s">
        <v>16</v>
      </c>
      <c r="E525">
        <v>46</v>
      </c>
      <c r="F525" t="s">
        <v>1132</v>
      </c>
      <c r="G525" t="s">
        <v>2233</v>
      </c>
      <c r="H525" t="s">
        <v>2234</v>
      </c>
      <c r="I525" s="2">
        <v>45158</v>
      </c>
      <c r="J525" t="s">
        <v>1142</v>
      </c>
      <c r="K525" t="s">
        <v>526</v>
      </c>
      <c r="L525" t="s">
        <v>525</v>
      </c>
      <c r="M525" t="s">
        <v>2193</v>
      </c>
      <c r="N525" t="s">
        <v>2181</v>
      </c>
      <c r="O525" t="s">
        <v>2194</v>
      </c>
    </row>
    <row r="526" spans="1:15" ht="15.75">
      <c r="A526" t="s">
        <v>550</v>
      </c>
      <c r="B526" t="s">
        <v>1191</v>
      </c>
      <c r="C526" t="s">
        <v>1332</v>
      </c>
      <c r="D526" t="s">
        <v>21</v>
      </c>
      <c r="E526">
        <v>47</v>
      </c>
      <c r="F526" t="s">
        <v>1132</v>
      </c>
      <c r="G526" t="s">
        <v>2235</v>
      </c>
      <c r="H526" t="s">
        <v>2236</v>
      </c>
      <c r="I526" s="2">
        <v>44460</v>
      </c>
      <c r="J526" t="s">
        <v>1121</v>
      </c>
      <c r="K526" t="s">
        <v>526</v>
      </c>
      <c r="L526" t="s">
        <v>525</v>
      </c>
      <c r="M526" t="s">
        <v>2180</v>
      </c>
      <c r="N526" t="s">
        <v>2181</v>
      </c>
      <c r="O526" t="s">
        <v>2182</v>
      </c>
    </row>
    <row r="527" spans="1:15" ht="15.75">
      <c r="A527" t="s">
        <v>551</v>
      </c>
      <c r="B527" t="s">
        <v>1194</v>
      </c>
      <c r="C527" t="s">
        <v>1332</v>
      </c>
      <c r="D527" t="s">
        <v>16</v>
      </c>
      <c r="E527">
        <v>33</v>
      </c>
      <c r="F527" t="s">
        <v>1118</v>
      </c>
      <c r="G527" t="s">
        <v>2237</v>
      </c>
      <c r="H527" t="s">
        <v>2238</v>
      </c>
      <c r="I527" s="2">
        <v>44856</v>
      </c>
      <c r="J527" t="s">
        <v>1128</v>
      </c>
      <c r="K527" t="s">
        <v>526</v>
      </c>
      <c r="L527" t="s">
        <v>525</v>
      </c>
      <c r="M527" t="s">
        <v>2185</v>
      </c>
      <c r="N527" t="s">
        <v>2181</v>
      </c>
      <c r="O527" t="s">
        <v>2186</v>
      </c>
    </row>
    <row r="528" spans="1:15" ht="15.75">
      <c r="A528" t="s">
        <v>552</v>
      </c>
      <c r="B528" t="s">
        <v>1163</v>
      </c>
      <c r="C528" t="s">
        <v>1332</v>
      </c>
      <c r="D528" t="s">
        <v>16</v>
      </c>
      <c r="E528">
        <v>57</v>
      </c>
      <c r="F528" t="s">
        <v>1132</v>
      </c>
      <c r="G528" t="s">
        <v>2239</v>
      </c>
      <c r="H528" t="s">
        <v>2240</v>
      </c>
      <c r="I528" s="2">
        <v>45253</v>
      </c>
      <c r="J528" t="s">
        <v>1135</v>
      </c>
      <c r="K528" t="s">
        <v>526</v>
      </c>
      <c r="L528" t="s">
        <v>525</v>
      </c>
      <c r="M528" t="s">
        <v>2189</v>
      </c>
      <c r="N528" t="s">
        <v>2181</v>
      </c>
      <c r="O528" t="s">
        <v>2190</v>
      </c>
    </row>
    <row r="529" spans="1:15" ht="15.75">
      <c r="A529" t="s">
        <v>553</v>
      </c>
      <c r="B529" t="s">
        <v>1200</v>
      </c>
      <c r="C529" t="s">
        <v>1332</v>
      </c>
      <c r="D529" t="s">
        <v>21</v>
      </c>
      <c r="E529">
        <v>36</v>
      </c>
      <c r="F529" t="s">
        <v>1139</v>
      </c>
      <c r="G529" t="s">
        <v>2241</v>
      </c>
      <c r="H529" t="s">
        <v>2242</v>
      </c>
      <c r="I529" s="2">
        <v>44554</v>
      </c>
      <c r="J529" t="s">
        <v>1142</v>
      </c>
      <c r="K529" t="s">
        <v>526</v>
      </c>
      <c r="L529" t="s">
        <v>525</v>
      </c>
      <c r="M529" t="s">
        <v>2193</v>
      </c>
      <c r="N529" t="s">
        <v>2181</v>
      </c>
      <c r="O529" t="s">
        <v>2194</v>
      </c>
    </row>
    <row r="530" spans="1:15" ht="15.75">
      <c r="A530" t="s">
        <v>554</v>
      </c>
      <c r="B530" t="s">
        <v>1203</v>
      </c>
      <c r="C530" t="s">
        <v>1357</v>
      </c>
      <c r="D530" t="s">
        <v>21</v>
      </c>
      <c r="E530">
        <v>35</v>
      </c>
      <c r="F530" t="s">
        <v>1118</v>
      </c>
      <c r="G530" t="s">
        <v>2243</v>
      </c>
      <c r="H530" t="s">
        <v>2244</v>
      </c>
      <c r="I530" s="2">
        <v>44586</v>
      </c>
      <c r="J530" t="s">
        <v>1121</v>
      </c>
      <c r="K530" t="s">
        <v>526</v>
      </c>
      <c r="L530" t="s">
        <v>525</v>
      </c>
      <c r="M530" t="s">
        <v>2180</v>
      </c>
      <c r="N530" t="s">
        <v>2181</v>
      </c>
      <c r="O530" t="s">
        <v>2182</v>
      </c>
    </row>
    <row r="531" spans="1:15" ht="15.75">
      <c r="A531" t="s">
        <v>555</v>
      </c>
      <c r="B531" t="s">
        <v>1125</v>
      </c>
      <c r="C531" t="s">
        <v>1357</v>
      </c>
      <c r="D531" t="s">
        <v>21</v>
      </c>
      <c r="E531">
        <v>18</v>
      </c>
      <c r="F531" t="s">
        <v>1164</v>
      </c>
      <c r="G531" t="s">
        <v>2245</v>
      </c>
      <c r="H531" t="s">
        <v>2246</v>
      </c>
      <c r="I531" s="2">
        <v>44983</v>
      </c>
      <c r="J531" t="s">
        <v>1128</v>
      </c>
      <c r="K531" t="s">
        <v>526</v>
      </c>
      <c r="L531" t="s">
        <v>525</v>
      </c>
      <c r="M531" t="s">
        <v>2185</v>
      </c>
      <c r="N531" t="s">
        <v>2181</v>
      </c>
      <c r="O531" t="s">
        <v>2186</v>
      </c>
    </row>
    <row r="532" spans="1:15" ht="15.75">
      <c r="A532" t="s">
        <v>556</v>
      </c>
      <c r="B532" t="s">
        <v>1131</v>
      </c>
      <c r="C532" t="s">
        <v>1357</v>
      </c>
      <c r="D532" t="s">
        <v>16</v>
      </c>
      <c r="E532">
        <v>31</v>
      </c>
      <c r="F532" t="s">
        <v>1118</v>
      </c>
      <c r="G532" t="s">
        <v>2247</v>
      </c>
      <c r="H532" t="s">
        <v>2248</v>
      </c>
      <c r="I532" s="2">
        <v>44282</v>
      </c>
      <c r="J532" t="s">
        <v>1135</v>
      </c>
      <c r="K532" t="s">
        <v>526</v>
      </c>
      <c r="L532" t="s">
        <v>525</v>
      </c>
      <c r="M532" t="s">
        <v>2189</v>
      </c>
      <c r="N532" t="s">
        <v>2181</v>
      </c>
      <c r="O532" t="s">
        <v>2190</v>
      </c>
    </row>
    <row r="533" spans="1:15" ht="15.75">
      <c r="A533" t="s">
        <v>557</v>
      </c>
      <c r="B533" t="s">
        <v>1211</v>
      </c>
      <c r="C533" t="s">
        <v>1357</v>
      </c>
      <c r="D533" t="s">
        <v>21</v>
      </c>
      <c r="E533">
        <v>64</v>
      </c>
      <c r="F533" t="s">
        <v>1132</v>
      </c>
      <c r="G533" t="s">
        <v>2249</v>
      </c>
      <c r="H533" t="s">
        <v>2250</v>
      </c>
      <c r="I533" s="2">
        <v>44679</v>
      </c>
      <c r="J533" t="s">
        <v>1142</v>
      </c>
      <c r="K533" t="s">
        <v>526</v>
      </c>
      <c r="L533" t="s">
        <v>525</v>
      </c>
      <c r="M533" t="s">
        <v>2193</v>
      </c>
      <c r="N533" t="s">
        <v>2181</v>
      </c>
      <c r="O533" t="s">
        <v>2194</v>
      </c>
    </row>
    <row r="534" spans="1:15" ht="15.75">
      <c r="A534" t="s">
        <v>558</v>
      </c>
      <c r="B534" t="s">
        <v>1145</v>
      </c>
      <c r="C534" t="s">
        <v>1357</v>
      </c>
      <c r="D534" t="s">
        <v>16</v>
      </c>
      <c r="E534">
        <v>19</v>
      </c>
      <c r="F534" t="s">
        <v>1164</v>
      </c>
      <c r="G534" t="s">
        <v>2251</v>
      </c>
      <c r="H534" t="s">
        <v>2252</v>
      </c>
      <c r="I534" s="2">
        <v>45047</v>
      </c>
      <c r="J534" t="s">
        <v>1121</v>
      </c>
      <c r="K534" t="s">
        <v>526</v>
      </c>
      <c r="L534" t="s">
        <v>525</v>
      </c>
      <c r="M534" t="s">
        <v>2180</v>
      </c>
      <c r="N534" t="s">
        <v>2181</v>
      </c>
      <c r="O534" t="s">
        <v>2182</v>
      </c>
    </row>
    <row r="535" spans="1:15" ht="15.75">
      <c r="A535" t="s">
        <v>559</v>
      </c>
      <c r="B535" t="s">
        <v>1241</v>
      </c>
      <c r="C535" t="s">
        <v>1357</v>
      </c>
      <c r="D535" t="s">
        <v>16</v>
      </c>
      <c r="E535">
        <v>45</v>
      </c>
      <c r="F535" t="s">
        <v>1139</v>
      </c>
      <c r="G535" t="s">
        <v>2253</v>
      </c>
      <c r="H535" t="s">
        <v>2254</v>
      </c>
      <c r="I535" s="2">
        <v>44349</v>
      </c>
      <c r="J535" t="s">
        <v>1128</v>
      </c>
      <c r="K535" t="s">
        <v>526</v>
      </c>
      <c r="L535" t="s">
        <v>525</v>
      </c>
      <c r="M535" t="s">
        <v>2185</v>
      </c>
      <c r="N535" t="s">
        <v>2181</v>
      </c>
      <c r="O535" t="s">
        <v>2186</v>
      </c>
    </row>
    <row r="536" spans="1:15" ht="15.75">
      <c r="A536" t="s">
        <v>560</v>
      </c>
      <c r="B536" t="s">
        <v>1151</v>
      </c>
      <c r="C536" t="s">
        <v>1357</v>
      </c>
      <c r="D536" t="s">
        <v>16</v>
      </c>
      <c r="E536">
        <v>47</v>
      </c>
      <c r="F536" t="s">
        <v>1132</v>
      </c>
      <c r="G536" t="s">
        <v>2255</v>
      </c>
      <c r="H536" t="s">
        <v>2256</v>
      </c>
      <c r="I536" s="2">
        <v>44745</v>
      </c>
      <c r="J536" t="s">
        <v>1135</v>
      </c>
      <c r="K536" t="s">
        <v>526</v>
      </c>
      <c r="L536" t="s">
        <v>525</v>
      </c>
      <c r="M536" t="s">
        <v>2189</v>
      </c>
      <c r="N536" t="s">
        <v>2181</v>
      </c>
      <c r="O536" t="s">
        <v>2190</v>
      </c>
    </row>
    <row r="537" spans="1:15" ht="15.75">
      <c r="A537" t="s">
        <v>561</v>
      </c>
      <c r="B537" t="s">
        <v>1246</v>
      </c>
      <c r="C537" t="s">
        <v>1357</v>
      </c>
      <c r="D537" t="s">
        <v>21</v>
      </c>
      <c r="E537">
        <v>55</v>
      </c>
      <c r="F537" t="s">
        <v>1132</v>
      </c>
      <c r="G537" t="s">
        <v>2257</v>
      </c>
      <c r="H537" t="s">
        <v>2258</v>
      </c>
      <c r="I537" s="2">
        <v>45142</v>
      </c>
      <c r="J537" t="s">
        <v>1142</v>
      </c>
      <c r="K537" t="s">
        <v>526</v>
      </c>
      <c r="L537" t="s">
        <v>525</v>
      </c>
      <c r="M537" t="s">
        <v>2193</v>
      </c>
      <c r="N537" t="s">
        <v>2181</v>
      </c>
      <c r="O537" t="s">
        <v>2194</v>
      </c>
    </row>
    <row r="538" spans="1:15" ht="15.75">
      <c r="A538" t="s">
        <v>562</v>
      </c>
      <c r="B538" t="s">
        <v>1191</v>
      </c>
      <c r="C538" t="s">
        <v>1357</v>
      </c>
      <c r="D538" t="s">
        <v>21</v>
      </c>
      <c r="E538">
        <v>21</v>
      </c>
      <c r="F538" t="s">
        <v>1164</v>
      </c>
      <c r="G538" t="s">
        <v>2259</v>
      </c>
      <c r="H538" t="s">
        <v>2260</v>
      </c>
      <c r="I538" s="2">
        <v>44444</v>
      </c>
      <c r="J538" t="s">
        <v>1121</v>
      </c>
      <c r="K538" t="s">
        <v>526</v>
      </c>
      <c r="L538" t="s">
        <v>525</v>
      </c>
      <c r="M538" t="s">
        <v>2180</v>
      </c>
      <c r="N538" t="s">
        <v>2181</v>
      </c>
      <c r="O538" t="s">
        <v>2182</v>
      </c>
    </row>
    <row r="539" spans="1:15" ht="15.75">
      <c r="A539" t="s">
        <v>563</v>
      </c>
      <c r="B539" t="s">
        <v>1194</v>
      </c>
      <c r="C539" t="s">
        <v>1357</v>
      </c>
      <c r="D539" t="s">
        <v>16</v>
      </c>
      <c r="E539">
        <v>18</v>
      </c>
      <c r="F539" t="s">
        <v>1164</v>
      </c>
      <c r="G539" t="s">
        <v>2261</v>
      </c>
      <c r="H539" t="s">
        <v>2262</v>
      </c>
      <c r="I539" s="2">
        <v>44840</v>
      </c>
      <c r="J539" t="s">
        <v>1128</v>
      </c>
      <c r="K539" t="s">
        <v>526</v>
      </c>
      <c r="L539" t="s">
        <v>525</v>
      </c>
      <c r="M539" t="s">
        <v>2185</v>
      </c>
      <c r="N539" t="s">
        <v>2181</v>
      </c>
      <c r="O539" t="s">
        <v>2186</v>
      </c>
    </row>
    <row r="540" spans="1:15" ht="15.75">
      <c r="A540" t="s">
        <v>564</v>
      </c>
      <c r="B540" t="s">
        <v>1163</v>
      </c>
      <c r="C540" t="s">
        <v>1357</v>
      </c>
      <c r="D540" t="s">
        <v>16</v>
      </c>
      <c r="E540">
        <v>25</v>
      </c>
      <c r="F540" t="s">
        <v>1164</v>
      </c>
      <c r="G540" t="s">
        <v>2263</v>
      </c>
      <c r="H540" t="s">
        <v>2264</v>
      </c>
      <c r="I540" s="2">
        <v>45237</v>
      </c>
      <c r="J540" t="s">
        <v>1135</v>
      </c>
      <c r="K540" t="s">
        <v>526</v>
      </c>
      <c r="L540" t="s">
        <v>525</v>
      </c>
      <c r="M540" t="s">
        <v>2189</v>
      </c>
      <c r="N540" t="s">
        <v>2181</v>
      </c>
      <c r="O540" t="s">
        <v>2190</v>
      </c>
    </row>
    <row r="541" spans="1:15" ht="15.75">
      <c r="A541" t="s">
        <v>565</v>
      </c>
      <c r="B541" t="s">
        <v>1200</v>
      </c>
      <c r="C541" t="s">
        <v>1357</v>
      </c>
      <c r="D541" t="s">
        <v>21</v>
      </c>
      <c r="E541">
        <v>46</v>
      </c>
      <c r="F541" t="s">
        <v>1132</v>
      </c>
      <c r="G541" t="s">
        <v>2265</v>
      </c>
      <c r="H541" t="s">
        <v>2266</v>
      </c>
      <c r="I541" s="2">
        <v>44538</v>
      </c>
      <c r="J541" t="s">
        <v>1142</v>
      </c>
      <c r="K541" t="s">
        <v>526</v>
      </c>
      <c r="L541" t="s">
        <v>525</v>
      </c>
      <c r="M541" t="s">
        <v>2193</v>
      </c>
      <c r="N541" t="s">
        <v>2181</v>
      </c>
      <c r="O541" t="s">
        <v>2194</v>
      </c>
    </row>
    <row r="542" spans="1:15" ht="15.75">
      <c r="A542" t="s">
        <v>566</v>
      </c>
      <c r="B542" t="s">
        <v>1116</v>
      </c>
      <c r="C542" t="s">
        <v>1382</v>
      </c>
      <c r="D542" t="s">
        <v>16</v>
      </c>
      <c r="E542">
        <v>56</v>
      </c>
      <c r="F542" t="s">
        <v>1132</v>
      </c>
      <c r="G542" t="s">
        <v>2267</v>
      </c>
      <c r="H542" t="s">
        <v>2268</v>
      </c>
      <c r="I542" s="2">
        <v>44570</v>
      </c>
      <c r="J542" t="s">
        <v>1121</v>
      </c>
      <c r="K542" t="s">
        <v>526</v>
      </c>
      <c r="L542" t="s">
        <v>525</v>
      </c>
      <c r="M542" t="s">
        <v>2180</v>
      </c>
      <c r="N542" t="s">
        <v>2181</v>
      </c>
      <c r="O542" t="s">
        <v>2182</v>
      </c>
    </row>
    <row r="543" spans="1:15" ht="15.75">
      <c r="A543" t="s">
        <v>567</v>
      </c>
      <c r="B543" t="s">
        <v>1125</v>
      </c>
      <c r="C543" t="s">
        <v>1382</v>
      </c>
      <c r="D543" t="s">
        <v>21</v>
      </c>
      <c r="E543">
        <v>20</v>
      </c>
      <c r="F543" t="s">
        <v>1164</v>
      </c>
      <c r="G543" t="s">
        <v>2269</v>
      </c>
      <c r="H543" t="s">
        <v>2270</v>
      </c>
      <c r="I543" s="2">
        <v>44967</v>
      </c>
      <c r="J543" t="s">
        <v>1128</v>
      </c>
      <c r="K543" t="s">
        <v>526</v>
      </c>
      <c r="L543" t="s">
        <v>525</v>
      </c>
      <c r="M543" t="s">
        <v>2185</v>
      </c>
      <c r="N543" t="s">
        <v>2181</v>
      </c>
      <c r="O543" t="s">
        <v>2186</v>
      </c>
    </row>
    <row r="544" spans="1:15" ht="15.75">
      <c r="A544" t="s">
        <v>568</v>
      </c>
      <c r="B544" t="s">
        <v>1131</v>
      </c>
      <c r="C544" t="s">
        <v>1382</v>
      </c>
      <c r="D544" t="s">
        <v>16</v>
      </c>
      <c r="E544">
        <v>49</v>
      </c>
      <c r="F544" t="s">
        <v>1132</v>
      </c>
      <c r="G544" t="s">
        <v>2271</v>
      </c>
      <c r="H544" t="s">
        <v>2272</v>
      </c>
      <c r="I544" s="2">
        <v>44266</v>
      </c>
      <c r="J544" t="s">
        <v>1135</v>
      </c>
      <c r="K544" t="s">
        <v>526</v>
      </c>
      <c r="L544" t="s">
        <v>525</v>
      </c>
      <c r="M544" t="s">
        <v>2189</v>
      </c>
      <c r="N544" t="s">
        <v>2181</v>
      </c>
      <c r="O544" t="s">
        <v>2190</v>
      </c>
    </row>
    <row r="545" spans="1:15" ht="15.75">
      <c r="A545" t="s">
        <v>569</v>
      </c>
      <c r="B545" t="s">
        <v>1211</v>
      </c>
      <c r="C545" t="s">
        <v>1382</v>
      </c>
      <c r="D545" t="s">
        <v>21</v>
      </c>
      <c r="E545">
        <v>27</v>
      </c>
      <c r="F545" t="s">
        <v>1118</v>
      </c>
      <c r="G545" t="s">
        <v>2273</v>
      </c>
      <c r="H545" t="s">
        <v>2274</v>
      </c>
      <c r="I545" s="2">
        <v>44663</v>
      </c>
      <c r="J545" t="s">
        <v>1142</v>
      </c>
      <c r="K545" t="s">
        <v>526</v>
      </c>
      <c r="L545" t="s">
        <v>525</v>
      </c>
      <c r="M545" t="s">
        <v>2193</v>
      </c>
      <c r="N545" t="s">
        <v>2181</v>
      </c>
      <c r="O545" t="s">
        <v>2194</v>
      </c>
    </row>
    <row r="546" spans="1:15" ht="15.75">
      <c r="A546" t="s">
        <v>570</v>
      </c>
      <c r="B546" t="s">
        <v>1145</v>
      </c>
      <c r="C546" t="s">
        <v>1382</v>
      </c>
      <c r="D546" t="s">
        <v>16</v>
      </c>
      <c r="E546">
        <v>27</v>
      </c>
      <c r="F546" t="s">
        <v>1118</v>
      </c>
      <c r="G546" t="s">
        <v>2275</v>
      </c>
      <c r="H546" t="s">
        <v>2276</v>
      </c>
      <c r="I546" s="2">
        <v>45059</v>
      </c>
      <c r="J546" t="s">
        <v>1121</v>
      </c>
      <c r="K546" t="s">
        <v>526</v>
      </c>
      <c r="L546" t="s">
        <v>525</v>
      </c>
      <c r="M546" t="s">
        <v>2180</v>
      </c>
      <c r="N546" t="s">
        <v>2181</v>
      </c>
      <c r="O546" t="s">
        <v>2182</v>
      </c>
    </row>
    <row r="547" spans="1:15" ht="15.75">
      <c r="A547" t="s">
        <v>571</v>
      </c>
      <c r="B547" t="s">
        <v>1148</v>
      </c>
      <c r="C547" t="s">
        <v>1382</v>
      </c>
      <c r="D547" t="s">
        <v>21</v>
      </c>
      <c r="E547">
        <v>36</v>
      </c>
      <c r="F547" t="s">
        <v>1139</v>
      </c>
      <c r="G547" t="s">
        <v>2277</v>
      </c>
      <c r="H547" t="s">
        <v>2278</v>
      </c>
      <c r="I547" s="2">
        <v>44361</v>
      </c>
      <c r="J547" t="s">
        <v>1128</v>
      </c>
      <c r="K547" t="s">
        <v>526</v>
      </c>
      <c r="L547" t="s">
        <v>525</v>
      </c>
      <c r="M547" t="s">
        <v>2185</v>
      </c>
      <c r="N547" t="s">
        <v>2181</v>
      </c>
      <c r="O547" t="s">
        <v>2186</v>
      </c>
    </row>
    <row r="548" spans="1:15" ht="15.75">
      <c r="A548" t="s">
        <v>572</v>
      </c>
      <c r="B548" t="s">
        <v>1151</v>
      </c>
      <c r="C548" t="s">
        <v>1382</v>
      </c>
      <c r="D548" t="s">
        <v>16</v>
      </c>
      <c r="E548">
        <v>63</v>
      </c>
      <c r="F548" t="s">
        <v>1132</v>
      </c>
      <c r="G548" t="s">
        <v>2279</v>
      </c>
      <c r="H548" t="s">
        <v>2280</v>
      </c>
      <c r="I548" s="2">
        <v>44757</v>
      </c>
      <c r="J548" t="s">
        <v>1135</v>
      </c>
      <c r="K548" t="s">
        <v>526</v>
      </c>
      <c r="L548" t="s">
        <v>525</v>
      </c>
      <c r="M548" t="s">
        <v>2189</v>
      </c>
      <c r="N548" t="s">
        <v>2181</v>
      </c>
      <c r="O548" t="s">
        <v>2190</v>
      </c>
    </row>
    <row r="549" spans="1:15" ht="15.75">
      <c r="A549" t="s">
        <v>573</v>
      </c>
      <c r="B549" t="s">
        <v>1246</v>
      </c>
      <c r="C549" t="s">
        <v>1382</v>
      </c>
      <c r="D549" t="s">
        <v>21</v>
      </c>
      <c r="E549">
        <v>51</v>
      </c>
      <c r="F549" t="s">
        <v>1132</v>
      </c>
      <c r="G549" t="s">
        <v>2281</v>
      </c>
      <c r="H549" t="s">
        <v>2282</v>
      </c>
      <c r="I549" s="2">
        <v>45154</v>
      </c>
      <c r="J549" t="s">
        <v>1142</v>
      </c>
      <c r="K549" t="s">
        <v>526</v>
      </c>
      <c r="L549" t="s">
        <v>525</v>
      </c>
      <c r="M549" t="s">
        <v>2193</v>
      </c>
      <c r="N549" t="s">
        <v>2181</v>
      </c>
      <c r="O549" t="s">
        <v>2194</v>
      </c>
    </row>
    <row r="550" spans="1:15" ht="15.75">
      <c r="A550" t="s">
        <v>574</v>
      </c>
      <c r="B550" t="s">
        <v>1191</v>
      </c>
      <c r="C550" t="s">
        <v>1382</v>
      </c>
      <c r="D550" t="s">
        <v>21</v>
      </c>
      <c r="E550">
        <v>50</v>
      </c>
      <c r="F550" t="s">
        <v>1132</v>
      </c>
      <c r="G550" t="s">
        <v>2283</v>
      </c>
      <c r="H550" t="s">
        <v>2284</v>
      </c>
      <c r="I550" s="2">
        <v>44456</v>
      </c>
      <c r="J550" t="s">
        <v>1121</v>
      </c>
      <c r="K550" t="s">
        <v>526</v>
      </c>
      <c r="L550" t="s">
        <v>525</v>
      </c>
      <c r="M550" t="s">
        <v>2180</v>
      </c>
      <c r="N550" t="s">
        <v>2181</v>
      </c>
      <c r="O550" t="s">
        <v>2182</v>
      </c>
    </row>
    <row r="551" spans="1:15" ht="15.75">
      <c r="A551" t="s">
        <v>575</v>
      </c>
      <c r="B551" t="s">
        <v>1194</v>
      </c>
      <c r="C551" t="s">
        <v>1382</v>
      </c>
      <c r="D551" t="s">
        <v>16</v>
      </c>
      <c r="E551">
        <v>40</v>
      </c>
      <c r="F551" t="s">
        <v>1139</v>
      </c>
      <c r="G551" t="s">
        <v>2285</v>
      </c>
      <c r="H551" t="s">
        <v>2286</v>
      </c>
      <c r="I551" s="2">
        <v>44852</v>
      </c>
      <c r="J551" t="s">
        <v>1128</v>
      </c>
      <c r="K551" t="s">
        <v>526</v>
      </c>
      <c r="L551" t="s">
        <v>525</v>
      </c>
      <c r="M551" t="s">
        <v>2185</v>
      </c>
      <c r="N551" t="s">
        <v>2181</v>
      </c>
      <c r="O551" t="s">
        <v>2186</v>
      </c>
    </row>
    <row r="552" spans="1:15" ht="15.75">
      <c r="A552" t="s">
        <v>576</v>
      </c>
      <c r="B552" t="s">
        <v>1163</v>
      </c>
      <c r="C552" t="s">
        <v>1382</v>
      </c>
      <c r="D552" t="s">
        <v>16</v>
      </c>
      <c r="E552">
        <v>45</v>
      </c>
      <c r="F552" t="s">
        <v>1139</v>
      </c>
      <c r="G552" t="s">
        <v>2287</v>
      </c>
      <c r="H552" t="s">
        <v>2288</v>
      </c>
      <c r="I552" s="2">
        <v>45249</v>
      </c>
      <c r="J552" t="s">
        <v>1135</v>
      </c>
      <c r="K552" t="s">
        <v>526</v>
      </c>
      <c r="L552" t="s">
        <v>525</v>
      </c>
      <c r="M552" t="s">
        <v>2189</v>
      </c>
      <c r="N552" t="s">
        <v>2181</v>
      </c>
      <c r="O552" t="s">
        <v>2190</v>
      </c>
    </row>
    <row r="553" spans="1:15" ht="15.75">
      <c r="A553" t="s">
        <v>577</v>
      </c>
      <c r="B553" t="s">
        <v>1200</v>
      </c>
      <c r="C553" t="s">
        <v>1382</v>
      </c>
      <c r="D553" t="s">
        <v>21</v>
      </c>
      <c r="E553">
        <v>49</v>
      </c>
      <c r="F553" t="s">
        <v>1132</v>
      </c>
      <c r="G553" t="s">
        <v>2289</v>
      </c>
      <c r="H553" t="s">
        <v>2290</v>
      </c>
      <c r="I553" s="2">
        <v>44550</v>
      </c>
      <c r="J553" t="s">
        <v>1142</v>
      </c>
      <c r="K553" t="s">
        <v>526</v>
      </c>
      <c r="L553" t="s">
        <v>525</v>
      </c>
      <c r="M553" t="s">
        <v>2193</v>
      </c>
      <c r="N553" t="s">
        <v>2181</v>
      </c>
      <c r="O553" t="s">
        <v>2194</v>
      </c>
    </row>
    <row r="554" spans="1:15" ht="15.75">
      <c r="A554" t="s">
        <v>578</v>
      </c>
      <c r="B554" t="s">
        <v>1116</v>
      </c>
      <c r="C554" t="s">
        <v>1407</v>
      </c>
      <c r="D554" t="s">
        <v>16</v>
      </c>
      <c r="E554">
        <v>24</v>
      </c>
      <c r="F554" t="s">
        <v>1164</v>
      </c>
      <c r="G554" t="s">
        <v>2291</v>
      </c>
      <c r="H554" t="s">
        <v>2292</v>
      </c>
      <c r="I554" s="2">
        <v>44582</v>
      </c>
      <c r="J554" t="s">
        <v>1121</v>
      </c>
      <c r="K554" t="s">
        <v>526</v>
      </c>
      <c r="L554" t="s">
        <v>525</v>
      </c>
      <c r="M554" t="s">
        <v>2180</v>
      </c>
      <c r="N554" t="s">
        <v>2181</v>
      </c>
      <c r="O554" t="s">
        <v>2182</v>
      </c>
    </row>
    <row r="555" spans="1:15" ht="15.75">
      <c r="A555" t="s">
        <v>579</v>
      </c>
      <c r="B555" t="s">
        <v>1125</v>
      </c>
      <c r="C555" t="s">
        <v>1407</v>
      </c>
      <c r="D555" t="s">
        <v>21</v>
      </c>
      <c r="E555">
        <v>46</v>
      </c>
      <c r="F555" t="s">
        <v>1132</v>
      </c>
      <c r="G555" t="s">
        <v>2293</v>
      </c>
      <c r="H555" t="s">
        <v>2294</v>
      </c>
      <c r="I555" s="2">
        <v>44979</v>
      </c>
      <c r="J555" t="s">
        <v>1128</v>
      </c>
      <c r="K555" t="s">
        <v>526</v>
      </c>
      <c r="L555" t="s">
        <v>525</v>
      </c>
      <c r="M555" t="s">
        <v>2185</v>
      </c>
      <c r="N555" t="s">
        <v>2181</v>
      </c>
      <c r="O555" t="s">
        <v>2186</v>
      </c>
    </row>
    <row r="556" spans="1:15" ht="15.75">
      <c r="A556" t="s">
        <v>580</v>
      </c>
      <c r="B556" t="s">
        <v>1131</v>
      </c>
      <c r="C556" t="s">
        <v>1407</v>
      </c>
      <c r="D556" t="s">
        <v>16</v>
      </c>
      <c r="E556">
        <v>25</v>
      </c>
      <c r="F556" t="s">
        <v>1164</v>
      </c>
      <c r="G556" t="s">
        <v>2295</v>
      </c>
      <c r="H556" t="s">
        <v>2296</v>
      </c>
      <c r="I556" s="2">
        <v>44278</v>
      </c>
      <c r="J556" t="s">
        <v>1135</v>
      </c>
      <c r="K556" t="s">
        <v>526</v>
      </c>
      <c r="L556" t="s">
        <v>525</v>
      </c>
      <c r="M556" t="s">
        <v>2189</v>
      </c>
      <c r="N556" t="s">
        <v>2181</v>
      </c>
      <c r="O556" t="s">
        <v>2190</v>
      </c>
    </row>
    <row r="557" spans="1:15" ht="15.75">
      <c r="A557" t="s">
        <v>581</v>
      </c>
      <c r="B557" t="s">
        <v>1211</v>
      </c>
      <c r="C557" t="s">
        <v>1407</v>
      </c>
      <c r="D557" t="s">
        <v>21</v>
      </c>
      <c r="E557">
        <v>18</v>
      </c>
      <c r="F557" t="s">
        <v>1164</v>
      </c>
      <c r="G557" t="s">
        <v>2297</v>
      </c>
      <c r="H557" t="s">
        <v>2298</v>
      </c>
      <c r="I557" s="2">
        <v>44675</v>
      </c>
      <c r="J557" t="s">
        <v>1142</v>
      </c>
      <c r="K557" t="s">
        <v>526</v>
      </c>
      <c r="L557" t="s">
        <v>525</v>
      </c>
      <c r="M557" t="s">
        <v>2193</v>
      </c>
      <c r="N557" t="s">
        <v>2181</v>
      </c>
      <c r="O557" t="s">
        <v>2194</v>
      </c>
    </row>
    <row r="558" spans="1:15" ht="15.75">
      <c r="A558" t="s">
        <v>582</v>
      </c>
      <c r="B558" t="s">
        <v>1181</v>
      </c>
      <c r="C558" t="s">
        <v>1407</v>
      </c>
      <c r="D558" t="s">
        <v>21</v>
      </c>
      <c r="E558">
        <v>20</v>
      </c>
      <c r="F558" t="s">
        <v>1164</v>
      </c>
      <c r="G558" t="s">
        <v>2299</v>
      </c>
      <c r="H558" t="s">
        <v>2300</v>
      </c>
      <c r="I558" s="2">
        <v>45071</v>
      </c>
      <c r="J558" t="s">
        <v>1121</v>
      </c>
      <c r="K558" t="s">
        <v>526</v>
      </c>
      <c r="L558" t="s">
        <v>525</v>
      </c>
      <c r="M558" t="s">
        <v>2180</v>
      </c>
      <c r="N558" t="s">
        <v>2181</v>
      </c>
      <c r="O558" t="s">
        <v>2182</v>
      </c>
    </row>
    <row r="559" spans="1:15" ht="15.75">
      <c r="A559" t="s">
        <v>583</v>
      </c>
      <c r="B559" t="s">
        <v>1148</v>
      </c>
      <c r="C559" t="s">
        <v>1407</v>
      </c>
      <c r="D559" t="s">
        <v>21</v>
      </c>
      <c r="E559">
        <v>41</v>
      </c>
      <c r="F559" t="s">
        <v>1139</v>
      </c>
      <c r="G559" t="s">
        <v>2301</v>
      </c>
      <c r="H559" t="s">
        <v>2302</v>
      </c>
      <c r="I559" s="2">
        <v>44373</v>
      </c>
      <c r="J559" t="s">
        <v>1128</v>
      </c>
      <c r="K559" t="s">
        <v>526</v>
      </c>
      <c r="L559" t="s">
        <v>525</v>
      </c>
      <c r="M559" t="s">
        <v>2185</v>
      </c>
      <c r="N559" t="s">
        <v>2181</v>
      </c>
      <c r="O559" t="s">
        <v>2186</v>
      </c>
    </row>
    <row r="560" spans="1:15" ht="15.75">
      <c r="A560" t="s">
        <v>584</v>
      </c>
      <c r="B560" t="s">
        <v>1186</v>
      </c>
      <c r="C560" t="s">
        <v>1407</v>
      </c>
      <c r="D560" t="s">
        <v>21</v>
      </c>
      <c r="E560">
        <v>40</v>
      </c>
      <c r="F560" t="s">
        <v>1139</v>
      </c>
      <c r="G560" t="s">
        <v>2303</v>
      </c>
      <c r="H560" t="s">
        <v>2304</v>
      </c>
      <c r="I560" s="2">
        <v>44769</v>
      </c>
      <c r="J560" t="s">
        <v>1135</v>
      </c>
      <c r="K560" t="s">
        <v>526</v>
      </c>
      <c r="L560" t="s">
        <v>525</v>
      </c>
      <c r="M560" t="s">
        <v>2189</v>
      </c>
      <c r="N560" t="s">
        <v>2181</v>
      </c>
      <c r="O560" t="s">
        <v>2190</v>
      </c>
    </row>
    <row r="561" spans="1:15" ht="15.75">
      <c r="A561" t="s">
        <v>585</v>
      </c>
      <c r="B561" t="s">
        <v>1246</v>
      </c>
      <c r="C561" t="s">
        <v>1407</v>
      </c>
      <c r="D561" t="s">
        <v>21</v>
      </c>
      <c r="E561">
        <v>25</v>
      </c>
      <c r="F561" t="s">
        <v>1164</v>
      </c>
      <c r="G561" t="s">
        <v>2305</v>
      </c>
      <c r="H561" t="s">
        <v>2306</v>
      </c>
      <c r="I561" s="2">
        <v>45166</v>
      </c>
      <c r="J561" t="s">
        <v>1142</v>
      </c>
      <c r="K561" t="s">
        <v>526</v>
      </c>
      <c r="L561" t="s">
        <v>525</v>
      </c>
      <c r="M561" t="s">
        <v>2193</v>
      </c>
      <c r="N561" t="s">
        <v>2181</v>
      </c>
      <c r="O561" t="s">
        <v>2194</v>
      </c>
    </row>
    <row r="562" spans="1:15" ht="15.75">
      <c r="A562" t="s">
        <v>586</v>
      </c>
      <c r="B562" t="s">
        <v>1191</v>
      </c>
      <c r="C562" t="s">
        <v>1407</v>
      </c>
      <c r="D562" t="s">
        <v>21</v>
      </c>
      <c r="E562">
        <v>64</v>
      </c>
      <c r="F562" t="s">
        <v>1132</v>
      </c>
      <c r="G562" t="s">
        <v>2307</v>
      </c>
      <c r="H562" t="s">
        <v>2308</v>
      </c>
      <c r="I562" s="2">
        <v>44440</v>
      </c>
      <c r="J562" t="s">
        <v>1121</v>
      </c>
      <c r="K562" t="s">
        <v>526</v>
      </c>
      <c r="L562" t="s">
        <v>525</v>
      </c>
      <c r="M562" t="s">
        <v>2180</v>
      </c>
      <c r="N562" t="s">
        <v>2181</v>
      </c>
      <c r="O562" t="s">
        <v>2182</v>
      </c>
    </row>
    <row r="563" spans="1:15" ht="15.75">
      <c r="A563" t="s">
        <v>587</v>
      </c>
      <c r="B563" t="s">
        <v>1194</v>
      </c>
      <c r="C563" t="s">
        <v>1407</v>
      </c>
      <c r="D563" t="s">
        <v>16</v>
      </c>
      <c r="E563">
        <v>54</v>
      </c>
      <c r="F563" t="s">
        <v>1132</v>
      </c>
      <c r="G563" t="s">
        <v>2309</v>
      </c>
      <c r="H563" t="s">
        <v>2310</v>
      </c>
      <c r="I563" s="2">
        <v>44836</v>
      </c>
      <c r="J563" t="s">
        <v>1128</v>
      </c>
      <c r="K563" t="s">
        <v>526</v>
      </c>
      <c r="L563" t="s">
        <v>525</v>
      </c>
      <c r="M563" t="s">
        <v>2185</v>
      </c>
      <c r="N563" t="s">
        <v>2181</v>
      </c>
      <c r="O563" t="s">
        <v>2186</v>
      </c>
    </row>
    <row r="564" spans="1:15" ht="15.75">
      <c r="A564" t="s">
        <v>588</v>
      </c>
      <c r="B564" t="s">
        <v>1163</v>
      </c>
      <c r="C564" t="s">
        <v>1407</v>
      </c>
      <c r="D564" t="s">
        <v>16</v>
      </c>
      <c r="E564">
        <v>20</v>
      </c>
      <c r="F564" t="s">
        <v>1164</v>
      </c>
      <c r="G564" t="s">
        <v>2311</v>
      </c>
      <c r="H564" t="s">
        <v>2312</v>
      </c>
      <c r="I564" s="2">
        <v>45233</v>
      </c>
      <c r="J564" t="s">
        <v>1135</v>
      </c>
      <c r="K564" t="s">
        <v>526</v>
      </c>
      <c r="L564" t="s">
        <v>525</v>
      </c>
      <c r="M564" t="s">
        <v>2189</v>
      </c>
      <c r="N564" t="s">
        <v>2181</v>
      </c>
      <c r="O564" t="s">
        <v>2190</v>
      </c>
    </row>
    <row r="565" spans="1:15" ht="15.75">
      <c r="A565" t="s">
        <v>589</v>
      </c>
      <c r="B565" t="s">
        <v>1167</v>
      </c>
      <c r="C565" t="s">
        <v>1407</v>
      </c>
      <c r="D565" t="s">
        <v>16</v>
      </c>
      <c r="E565">
        <v>50</v>
      </c>
      <c r="F565" t="s">
        <v>1132</v>
      </c>
      <c r="G565" t="s">
        <v>2313</v>
      </c>
      <c r="H565" t="s">
        <v>2314</v>
      </c>
      <c r="I565" s="2">
        <v>44534</v>
      </c>
      <c r="J565" t="s">
        <v>1142</v>
      </c>
      <c r="K565" t="s">
        <v>526</v>
      </c>
      <c r="L565" t="s">
        <v>525</v>
      </c>
      <c r="M565" t="s">
        <v>2193</v>
      </c>
      <c r="N565" t="s">
        <v>2181</v>
      </c>
      <c r="O565" t="s">
        <v>2194</v>
      </c>
    </row>
    <row r="566" spans="1:15" ht="15.75">
      <c r="A566" t="s">
        <v>590</v>
      </c>
      <c r="B566" t="s">
        <v>1203</v>
      </c>
      <c r="C566" t="s">
        <v>1432</v>
      </c>
      <c r="D566" t="s">
        <v>21</v>
      </c>
      <c r="E566">
        <v>45</v>
      </c>
      <c r="F566" t="s">
        <v>1139</v>
      </c>
      <c r="G566" t="s">
        <v>2315</v>
      </c>
      <c r="H566" t="s">
        <v>2316</v>
      </c>
      <c r="I566" s="2">
        <v>44566</v>
      </c>
      <c r="J566" t="s">
        <v>1121</v>
      </c>
      <c r="K566" t="s">
        <v>526</v>
      </c>
      <c r="L566" t="s">
        <v>525</v>
      </c>
      <c r="M566" t="s">
        <v>2180</v>
      </c>
      <c r="N566" t="s">
        <v>2181</v>
      </c>
      <c r="O566" t="s">
        <v>2182</v>
      </c>
    </row>
    <row r="567" spans="1:15" ht="15.75">
      <c r="A567" t="s">
        <v>591</v>
      </c>
      <c r="B567" t="s">
        <v>1125</v>
      </c>
      <c r="C567" t="s">
        <v>1432</v>
      </c>
      <c r="D567" t="s">
        <v>21</v>
      </c>
      <c r="E567">
        <v>64</v>
      </c>
      <c r="F567" t="s">
        <v>1132</v>
      </c>
      <c r="G567" t="s">
        <v>2317</v>
      </c>
      <c r="H567" t="s">
        <v>2318</v>
      </c>
      <c r="I567" s="2">
        <v>44963</v>
      </c>
      <c r="J567" t="s">
        <v>1128</v>
      </c>
      <c r="K567" t="s">
        <v>526</v>
      </c>
      <c r="L567" t="s">
        <v>525</v>
      </c>
      <c r="M567" t="s">
        <v>2185</v>
      </c>
      <c r="N567" t="s">
        <v>2181</v>
      </c>
      <c r="O567" t="s">
        <v>2186</v>
      </c>
    </row>
    <row r="568" spans="1:15" ht="15.75">
      <c r="A568" t="s">
        <v>592</v>
      </c>
      <c r="B568" t="s">
        <v>1176</v>
      </c>
      <c r="C568" t="s">
        <v>1432</v>
      </c>
      <c r="D568" t="s">
        <v>21</v>
      </c>
      <c r="E568">
        <v>25</v>
      </c>
      <c r="F568" t="s">
        <v>1164</v>
      </c>
      <c r="G568" t="s">
        <v>2319</v>
      </c>
      <c r="H568" t="s">
        <v>2320</v>
      </c>
      <c r="I568" s="2">
        <v>44262</v>
      </c>
      <c r="J568" t="s">
        <v>1135</v>
      </c>
      <c r="K568" t="s">
        <v>526</v>
      </c>
      <c r="L568" t="s">
        <v>525</v>
      </c>
      <c r="M568" t="s">
        <v>2189</v>
      </c>
      <c r="N568" t="s">
        <v>2181</v>
      </c>
      <c r="O568" t="s">
        <v>2190</v>
      </c>
    </row>
    <row r="569" spans="1:15" ht="15.75">
      <c r="A569" t="s">
        <v>593</v>
      </c>
      <c r="B569" t="s">
        <v>1211</v>
      </c>
      <c r="C569" t="s">
        <v>1432</v>
      </c>
      <c r="D569" t="s">
        <v>21</v>
      </c>
      <c r="E569">
        <v>51</v>
      </c>
      <c r="F569" t="s">
        <v>1132</v>
      </c>
      <c r="G569" t="s">
        <v>2321</v>
      </c>
      <c r="H569" t="s">
        <v>2322</v>
      </c>
      <c r="I569" s="2">
        <v>44659</v>
      </c>
      <c r="J569" t="s">
        <v>1142</v>
      </c>
      <c r="K569" t="s">
        <v>526</v>
      </c>
      <c r="L569" t="s">
        <v>525</v>
      </c>
      <c r="M569" t="s">
        <v>2193</v>
      </c>
      <c r="N569" t="s">
        <v>2181</v>
      </c>
      <c r="O569" t="s">
        <v>2194</v>
      </c>
    </row>
    <row r="570" spans="1:15" ht="15.75">
      <c r="A570" t="s">
        <v>594</v>
      </c>
      <c r="B570" t="s">
        <v>1145</v>
      </c>
      <c r="C570" t="s">
        <v>1432</v>
      </c>
      <c r="D570" t="s">
        <v>16</v>
      </c>
      <c r="E570">
        <v>52</v>
      </c>
      <c r="F570" t="s">
        <v>1132</v>
      </c>
      <c r="G570" t="s">
        <v>2323</v>
      </c>
      <c r="H570" t="s">
        <v>2324</v>
      </c>
      <c r="I570" s="2">
        <v>45055</v>
      </c>
      <c r="J570" t="s">
        <v>1121</v>
      </c>
      <c r="K570" t="s">
        <v>526</v>
      </c>
      <c r="L570" t="s">
        <v>525</v>
      </c>
      <c r="M570" t="s">
        <v>2180</v>
      </c>
      <c r="N570" t="s">
        <v>2181</v>
      </c>
      <c r="O570" t="s">
        <v>2182</v>
      </c>
    </row>
    <row r="571" spans="1:15" ht="15.75">
      <c r="A571" t="s">
        <v>595</v>
      </c>
      <c r="B571" t="s">
        <v>1241</v>
      </c>
      <c r="C571" t="s">
        <v>1432</v>
      </c>
      <c r="D571" t="s">
        <v>16</v>
      </c>
      <c r="E571">
        <v>49</v>
      </c>
      <c r="F571" t="s">
        <v>1132</v>
      </c>
      <c r="G571" t="s">
        <v>2325</v>
      </c>
      <c r="H571" t="s">
        <v>2326</v>
      </c>
      <c r="I571" s="2">
        <v>44357</v>
      </c>
      <c r="J571" t="s">
        <v>1128</v>
      </c>
      <c r="K571" t="s">
        <v>526</v>
      </c>
      <c r="L571" t="s">
        <v>525</v>
      </c>
      <c r="M571" t="s">
        <v>2185</v>
      </c>
      <c r="N571" t="s">
        <v>2181</v>
      </c>
      <c r="O571" t="s">
        <v>2186</v>
      </c>
    </row>
    <row r="572" spans="1:15" ht="15.75">
      <c r="A572" t="s">
        <v>596</v>
      </c>
      <c r="B572" t="s">
        <v>1186</v>
      </c>
      <c r="C572" t="s">
        <v>1432</v>
      </c>
      <c r="D572" t="s">
        <v>21</v>
      </c>
      <c r="E572">
        <v>41</v>
      </c>
      <c r="F572" t="s">
        <v>1139</v>
      </c>
      <c r="G572" t="s">
        <v>2327</v>
      </c>
      <c r="H572" t="s">
        <v>2328</v>
      </c>
      <c r="I572" s="2">
        <v>44753</v>
      </c>
      <c r="J572" t="s">
        <v>1135</v>
      </c>
      <c r="K572" t="s">
        <v>526</v>
      </c>
      <c r="L572" t="s">
        <v>525</v>
      </c>
      <c r="M572" t="s">
        <v>2189</v>
      </c>
      <c r="N572" t="s">
        <v>2181</v>
      </c>
      <c r="O572" t="s">
        <v>2190</v>
      </c>
    </row>
    <row r="573" spans="1:15" ht="15.75">
      <c r="A573" t="s">
        <v>597</v>
      </c>
      <c r="B573" t="s">
        <v>1154</v>
      </c>
      <c r="C573" t="s">
        <v>1432</v>
      </c>
      <c r="D573" t="s">
        <v>16</v>
      </c>
      <c r="E573">
        <v>31</v>
      </c>
      <c r="F573" t="s">
        <v>1118</v>
      </c>
      <c r="G573" t="s">
        <v>2329</v>
      </c>
      <c r="H573" t="s">
        <v>2330</v>
      </c>
      <c r="I573" s="2">
        <v>45150</v>
      </c>
      <c r="J573" t="s">
        <v>1142</v>
      </c>
      <c r="K573" t="s">
        <v>526</v>
      </c>
      <c r="L573" t="s">
        <v>525</v>
      </c>
      <c r="M573" t="s">
        <v>2193</v>
      </c>
      <c r="N573" t="s">
        <v>2181</v>
      </c>
      <c r="O573" t="s">
        <v>2194</v>
      </c>
    </row>
    <row r="574" spans="1:15" ht="15.75">
      <c r="A574" t="s">
        <v>598</v>
      </c>
      <c r="B574" t="s">
        <v>1157</v>
      </c>
      <c r="C574" t="s">
        <v>1432</v>
      </c>
      <c r="D574" t="s">
        <v>16</v>
      </c>
      <c r="E574">
        <v>49</v>
      </c>
      <c r="F574" t="s">
        <v>1132</v>
      </c>
      <c r="G574" t="s">
        <v>2331</v>
      </c>
      <c r="H574" t="s">
        <v>2332</v>
      </c>
      <c r="I574" s="2">
        <v>44452</v>
      </c>
      <c r="J574" t="s">
        <v>1121</v>
      </c>
      <c r="K574" t="s">
        <v>526</v>
      </c>
      <c r="L574" t="s">
        <v>525</v>
      </c>
      <c r="M574" t="s">
        <v>2180</v>
      </c>
      <c r="N574" t="s">
        <v>2181</v>
      </c>
      <c r="O574" t="s">
        <v>2182</v>
      </c>
    </row>
    <row r="575" spans="1:15" ht="15.75">
      <c r="A575" t="s">
        <v>599</v>
      </c>
      <c r="B575" t="s">
        <v>1160</v>
      </c>
      <c r="C575" t="s">
        <v>1432</v>
      </c>
      <c r="D575" t="s">
        <v>21</v>
      </c>
      <c r="E575">
        <v>63</v>
      </c>
      <c r="F575" t="s">
        <v>1132</v>
      </c>
      <c r="G575" t="s">
        <v>2333</v>
      </c>
      <c r="H575" t="s">
        <v>2334</v>
      </c>
      <c r="I575" s="2">
        <v>44848</v>
      </c>
      <c r="J575" t="s">
        <v>1128</v>
      </c>
      <c r="K575" t="s">
        <v>526</v>
      </c>
      <c r="L575" t="s">
        <v>525</v>
      </c>
      <c r="M575" t="s">
        <v>2185</v>
      </c>
      <c r="N575" t="s">
        <v>2181</v>
      </c>
      <c r="O575" t="s">
        <v>2186</v>
      </c>
    </row>
    <row r="576" spans="1:15" ht="15.75">
      <c r="A576" t="s">
        <v>600</v>
      </c>
      <c r="B576" t="s">
        <v>1163</v>
      </c>
      <c r="C576" t="s">
        <v>1432</v>
      </c>
      <c r="D576" t="s">
        <v>16</v>
      </c>
      <c r="E576">
        <v>60</v>
      </c>
      <c r="F576" t="s">
        <v>1132</v>
      </c>
      <c r="G576" t="s">
        <v>2335</v>
      </c>
      <c r="H576" t="s">
        <v>2336</v>
      </c>
      <c r="I576" s="2">
        <v>45245</v>
      </c>
      <c r="J576" t="s">
        <v>1135</v>
      </c>
      <c r="K576" t="s">
        <v>526</v>
      </c>
      <c r="L576" t="s">
        <v>525</v>
      </c>
      <c r="M576" t="s">
        <v>2189</v>
      </c>
      <c r="N576" t="s">
        <v>2181</v>
      </c>
      <c r="O576" t="s">
        <v>2190</v>
      </c>
    </row>
    <row r="577" spans="1:15" ht="15.75">
      <c r="A577" t="s">
        <v>601</v>
      </c>
      <c r="B577" t="s">
        <v>1200</v>
      </c>
      <c r="C577" t="s">
        <v>1432</v>
      </c>
      <c r="D577" t="s">
        <v>21</v>
      </c>
      <c r="E577">
        <v>33</v>
      </c>
      <c r="F577" t="s">
        <v>1118</v>
      </c>
      <c r="G577" t="s">
        <v>2337</v>
      </c>
      <c r="H577" t="s">
        <v>2338</v>
      </c>
      <c r="I577" s="2">
        <v>44546</v>
      </c>
      <c r="J577" t="s">
        <v>1142</v>
      </c>
      <c r="K577" t="s">
        <v>526</v>
      </c>
      <c r="L577" t="s">
        <v>525</v>
      </c>
      <c r="M577" t="s">
        <v>2193</v>
      </c>
      <c r="N577" t="s">
        <v>2181</v>
      </c>
      <c r="O577" t="s">
        <v>2194</v>
      </c>
    </row>
    <row r="578" spans="1:15" ht="15.75">
      <c r="A578" t="s">
        <v>602</v>
      </c>
      <c r="B578" t="s">
        <v>1116</v>
      </c>
      <c r="C578" t="s">
        <v>1117</v>
      </c>
      <c r="D578" t="s">
        <v>16</v>
      </c>
      <c r="E578">
        <v>21</v>
      </c>
      <c r="F578" t="s">
        <v>1164</v>
      </c>
      <c r="G578" t="s">
        <v>2339</v>
      </c>
      <c r="H578" t="s">
        <v>2340</v>
      </c>
      <c r="I578" s="2">
        <v>44578</v>
      </c>
      <c r="J578" t="s">
        <v>1121</v>
      </c>
      <c r="K578" t="s">
        <v>526</v>
      </c>
      <c r="L578" t="s">
        <v>525</v>
      </c>
      <c r="M578" t="s">
        <v>2180</v>
      </c>
      <c r="N578" t="s">
        <v>2181</v>
      </c>
      <c r="O578" t="s">
        <v>2182</v>
      </c>
    </row>
    <row r="579" spans="1:15" ht="15.75">
      <c r="A579" t="s">
        <v>603</v>
      </c>
      <c r="B579" t="s">
        <v>1125</v>
      </c>
      <c r="C579" t="s">
        <v>1117</v>
      </c>
      <c r="D579" t="s">
        <v>21</v>
      </c>
      <c r="E579">
        <v>54</v>
      </c>
      <c r="F579" t="s">
        <v>1132</v>
      </c>
      <c r="G579" t="s">
        <v>2341</v>
      </c>
      <c r="H579" t="s">
        <v>2342</v>
      </c>
      <c r="I579" s="2">
        <v>44975</v>
      </c>
      <c r="J579" t="s">
        <v>1128</v>
      </c>
      <c r="K579" t="s">
        <v>526</v>
      </c>
      <c r="L579" t="s">
        <v>525</v>
      </c>
      <c r="M579" t="s">
        <v>2185</v>
      </c>
      <c r="N579" t="s">
        <v>2181</v>
      </c>
      <c r="O579" t="s">
        <v>2186</v>
      </c>
    </row>
    <row r="580" spans="1:15" ht="15.75">
      <c r="A580" t="s">
        <v>604</v>
      </c>
      <c r="B580" t="s">
        <v>1176</v>
      </c>
      <c r="C580" t="s">
        <v>1117</v>
      </c>
      <c r="D580" t="s">
        <v>21</v>
      </c>
      <c r="E580">
        <v>38</v>
      </c>
      <c r="F580" t="s">
        <v>1139</v>
      </c>
      <c r="G580" t="s">
        <v>2343</v>
      </c>
      <c r="H580" t="s">
        <v>2344</v>
      </c>
      <c r="I580" s="2">
        <v>44274</v>
      </c>
      <c r="J580" t="s">
        <v>1135</v>
      </c>
      <c r="K580" t="s">
        <v>526</v>
      </c>
      <c r="L580" t="s">
        <v>525</v>
      </c>
      <c r="M580" t="s">
        <v>2189</v>
      </c>
      <c r="N580" t="s">
        <v>2181</v>
      </c>
      <c r="O580" t="s">
        <v>2190</v>
      </c>
    </row>
    <row r="581" spans="1:15" ht="15.75">
      <c r="A581" t="s">
        <v>605</v>
      </c>
      <c r="B581" t="s">
        <v>1211</v>
      </c>
      <c r="C581" t="s">
        <v>1117</v>
      </c>
      <c r="D581" t="s">
        <v>21</v>
      </c>
      <c r="E581">
        <v>31</v>
      </c>
      <c r="F581" t="s">
        <v>1118</v>
      </c>
      <c r="G581" t="s">
        <v>2345</v>
      </c>
      <c r="H581" t="s">
        <v>2346</v>
      </c>
      <c r="I581" s="2">
        <v>44671</v>
      </c>
      <c r="J581" t="s">
        <v>1142</v>
      </c>
      <c r="K581" t="s">
        <v>526</v>
      </c>
      <c r="L581" t="s">
        <v>525</v>
      </c>
      <c r="M581" t="s">
        <v>2193</v>
      </c>
      <c r="N581" t="s">
        <v>2181</v>
      </c>
      <c r="O581" t="s">
        <v>2194</v>
      </c>
    </row>
    <row r="582" spans="1:15" ht="15.75">
      <c r="A582" t="s">
        <v>606</v>
      </c>
      <c r="B582" t="s">
        <v>1181</v>
      </c>
      <c r="C582" t="s">
        <v>1117</v>
      </c>
      <c r="D582" t="s">
        <v>21</v>
      </c>
      <c r="E582">
        <v>48</v>
      </c>
      <c r="F582" t="s">
        <v>1132</v>
      </c>
      <c r="G582" t="s">
        <v>2347</v>
      </c>
      <c r="H582" t="s">
        <v>2348</v>
      </c>
      <c r="I582" s="2">
        <v>45067</v>
      </c>
      <c r="J582" t="s">
        <v>1121</v>
      </c>
      <c r="K582" t="s">
        <v>526</v>
      </c>
      <c r="L582" t="s">
        <v>525</v>
      </c>
      <c r="M582" t="s">
        <v>2180</v>
      </c>
      <c r="N582" t="s">
        <v>2181</v>
      </c>
      <c r="O582" t="s">
        <v>2182</v>
      </c>
    </row>
    <row r="583" spans="1:15" ht="15.75">
      <c r="A583" t="s">
        <v>607</v>
      </c>
      <c r="B583" t="s">
        <v>1241</v>
      </c>
      <c r="C583" t="s">
        <v>1117</v>
      </c>
      <c r="D583" t="s">
        <v>16</v>
      </c>
      <c r="E583">
        <v>35</v>
      </c>
      <c r="F583" t="s">
        <v>1118</v>
      </c>
      <c r="G583" t="s">
        <v>2349</v>
      </c>
      <c r="H583" t="s">
        <v>2350</v>
      </c>
      <c r="I583" s="2">
        <v>44369</v>
      </c>
      <c r="J583" t="s">
        <v>1128</v>
      </c>
      <c r="K583" t="s">
        <v>526</v>
      </c>
      <c r="L583" t="s">
        <v>525</v>
      </c>
      <c r="M583" t="s">
        <v>2185</v>
      </c>
      <c r="N583" t="s">
        <v>2181</v>
      </c>
      <c r="O583" t="s">
        <v>2186</v>
      </c>
    </row>
    <row r="584" spans="1:15" ht="15.75">
      <c r="A584" t="s">
        <v>608</v>
      </c>
      <c r="B584" t="s">
        <v>1186</v>
      </c>
      <c r="C584" t="s">
        <v>1117</v>
      </c>
      <c r="D584" t="s">
        <v>21</v>
      </c>
      <c r="E584">
        <v>24</v>
      </c>
      <c r="F584" t="s">
        <v>1164</v>
      </c>
      <c r="G584" t="s">
        <v>2351</v>
      </c>
      <c r="H584" t="s">
        <v>2352</v>
      </c>
      <c r="I584" s="2">
        <v>44765</v>
      </c>
      <c r="J584" t="s">
        <v>1135</v>
      </c>
      <c r="K584" t="s">
        <v>526</v>
      </c>
      <c r="L584" t="s">
        <v>525</v>
      </c>
      <c r="M584" t="s">
        <v>2189</v>
      </c>
      <c r="N584" t="s">
        <v>2181</v>
      </c>
      <c r="O584" t="s">
        <v>2190</v>
      </c>
    </row>
    <row r="585" spans="1:15" ht="15.75">
      <c r="A585" t="s">
        <v>609</v>
      </c>
      <c r="B585" t="s">
        <v>1246</v>
      </c>
      <c r="C585" t="s">
        <v>1117</v>
      </c>
      <c r="D585" t="s">
        <v>21</v>
      </c>
      <c r="E585">
        <v>27</v>
      </c>
      <c r="F585" t="s">
        <v>1118</v>
      </c>
      <c r="G585" t="s">
        <v>2353</v>
      </c>
      <c r="H585" t="s">
        <v>2354</v>
      </c>
      <c r="I585" s="2">
        <v>45162</v>
      </c>
      <c r="J585" t="s">
        <v>1142</v>
      </c>
      <c r="K585" t="s">
        <v>526</v>
      </c>
      <c r="L585" t="s">
        <v>525</v>
      </c>
      <c r="M585" t="s">
        <v>2193</v>
      </c>
      <c r="N585" t="s">
        <v>2181</v>
      </c>
      <c r="O585" t="s">
        <v>2194</v>
      </c>
    </row>
    <row r="586" spans="1:15" ht="15.75">
      <c r="A586" t="s">
        <v>610</v>
      </c>
      <c r="B586" t="s">
        <v>1191</v>
      </c>
      <c r="C586" t="s">
        <v>1117</v>
      </c>
      <c r="D586" t="s">
        <v>21</v>
      </c>
      <c r="E586">
        <v>24</v>
      </c>
      <c r="F586" t="s">
        <v>1164</v>
      </c>
      <c r="G586" t="s">
        <v>2355</v>
      </c>
      <c r="H586" t="s">
        <v>2356</v>
      </c>
      <c r="I586" s="2">
        <v>44464</v>
      </c>
      <c r="J586" t="s">
        <v>1121</v>
      </c>
      <c r="K586" t="s">
        <v>526</v>
      </c>
      <c r="L586" t="s">
        <v>525</v>
      </c>
      <c r="M586" t="s">
        <v>2180</v>
      </c>
      <c r="N586" t="s">
        <v>2181</v>
      </c>
      <c r="O586" t="s">
        <v>2182</v>
      </c>
    </row>
    <row r="587" spans="1:15" ht="15.75">
      <c r="A587" t="s">
        <v>611</v>
      </c>
      <c r="B587" t="s">
        <v>1194</v>
      </c>
      <c r="C587" t="s">
        <v>1117</v>
      </c>
      <c r="D587" t="s">
        <v>16</v>
      </c>
      <c r="E587">
        <v>50</v>
      </c>
      <c r="F587" t="s">
        <v>1132</v>
      </c>
      <c r="G587" t="s">
        <v>2357</v>
      </c>
      <c r="H587" t="s">
        <v>2358</v>
      </c>
      <c r="I587" s="2">
        <v>44860</v>
      </c>
      <c r="J587" t="s">
        <v>1128</v>
      </c>
      <c r="K587" t="s">
        <v>526</v>
      </c>
      <c r="L587" t="s">
        <v>525</v>
      </c>
      <c r="M587" t="s">
        <v>2185</v>
      </c>
      <c r="N587" t="s">
        <v>2181</v>
      </c>
      <c r="O587" t="s">
        <v>2186</v>
      </c>
    </row>
    <row r="588" spans="1:15" ht="15.75">
      <c r="A588" t="s">
        <v>612</v>
      </c>
      <c r="B588" t="s">
        <v>1197</v>
      </c>
      <c r="C588" t="s">
        <v>1117</v>
      </c>
      <c r="D588" t="s">
        <v>21</v>
      </c>
      <c r="E588">
        <v>40</v>
      </c>
      <c r="F588" t="s">
        <v>1139</v>
      </c>
      <c r="G588" t="s">
        <v>2359</v>
      </c>
      <c r="H588" t="s">
        <v>2360</v>
      </c>
      <c r="I588" s="2">
        <v>45257</v>
      </c>
      <c r="J588" t="s">
        <v>1135</v>
      </c>
      <c r="K588" t="s">
        <v>526</v>
      </c>
      <c r="L588" t="s">
        <v>525</v>
      </c>
      <c r="M588" t="s">
        <v>2189</v>
      </c>
      <c r="N588" t="s">
        <v>2181</v>
      </c>
      <c r="O588" t="s">
        <v>2190</v>
      </c>
    </row>
    <row r="589" spans="1:15" ht="15.75">
      <c r="A589" t="s">
        <v>613</v>
      </c>
      <c r="B589" t="s">
        <v>1167</v>
      </c>
      <c r="C589" t="s">
        <v>1117</v>
      </c>
      <c r="D589" t="s">
        <v>16</v>
      </c>
      <c r="E589">
        <v>38</v>
      </c>
      <c r="F589" t="s">
        <v>1139</v>
      </c>
      <c r="G589" t="s">
        <v>2361</v>
      </c>
      <c r="H589" t="s">
        <v>2362</v>
      </c>
      <c r="I589" s="2">
        <v>44558</v>
      </c>
      <c r="J589" t="s">
        <v>1142</v>
      </c>
      <c r="K589" t="s">
        <v>526</v>
      </c>
      <c r="L589" t="s">
        <v>525</v>
      </c>
      <c r="M589" t="s">
        <v>2193</v>
      </c>
      <c r="N589" t="s">
        <v>2181</v>
      </c>
      <c r="O589" t="s">
        <v>2194</v>
      </c>
    </row>
    <row r="590" spans="1:15" ht="15.75">
      <c r="A590" t="s">
        <v>614</v>
      </c>
      <c r="B590" t="s">
        <v>1203</v>
      </c>
      <c r="C590" t="s">
        <v>1170</v>
      </c>
      <c r="D590" t="s">
        <v>21</v>
      </c>
      <c r="E590">
        <v>36</v>
      </c>
      <c r="F590" t="s">
        <v>1139</v>
      </c>
      <c r="G590" t="s">
        <v>2363</v>
      </c>
      <c r="H590" t="s">
        <v>2364</v>
      </c>
      <c r="I590" s="2">
        <v>44562</v>
      </c>
      <c r="J590" t="s">
        <v>1121</v>
      </c>
      <c r="K590" t="s">
        <v>526</v>
      </c>
      <c r="L590" t="s">
        <v>525</v>
      </c>
      <c r="M590" t="s">
        <v>2180</v>
      </c>
      <c r="N590" t="s">
        <v>2181</v>
      </c>
      <c r="O590" t="s">
        <v>2182</v>
      </c>
    </row>
    <row r="591" spans="1:15" ht="15.75">
      <c r="A591" t="s">
        <v>615</v>
      </c>
      <c r="B591" t="s">
        <v>1173</v>
      </c>
      <c r="C591" t="s">
        <v>1170</v>
      </c>
      <c r="D591" t="s">
        <v>16</v>
      </c>
      <c r="E591">
        <v>36</v>
      </c>
      <c r="F591" t="s">
        <v>1139</v>
      </c>
      <c r="G591" t="s">
        <v>2365</v>
      </c>
      <c r="H591" t="s">
        <v>2366</v>
      </c>
      <c r="I591" s="2">
        <v>44959</v>
      </c>
      <c r="J591" t="s">
        <v>1128</v>
      </c>
      <c r="K591" t="s">
        <v>526</v>
      </c>
      <c r="L591" t="s">
        <v>525</v>
      </c>
      <c r="M591" t="s">
        <v>2185</v>
      </c>
      <c r="N591" t="s">
        <v>2181</v>
      </c>
      <c r="O591" t="s">
        <v>2186</v>
      </c>
    </row>
    <row r="592" spans="1:15" ht="15.75">
      <c r="A592" t="s">
        <v>616</v>
      </c>
      <c r="B592" t="s">
        <v>1131</v>
      </c>
      <c r="C592" t="s">
        <v>1170</v>
      </c>
      <c r="D592" t="s">
        <v>16</v>
      </c>
      <c r="E592">
        <v>53</v>
      </c>
      <c r="F592" t="s">
        <v>1132</v>
      </c>
      <c r="G592" t="s">
        <v>2367</v>
      </c>
      <c r="H592" t="s">
        <v>2368</v>
      </c>
      <c r="I592" s="2">
        <v>44258</v>
      </c>
      <c r="J592" t="s">
        <v>1135</v>
      </c>
      <c r="K592" t="s">
        <v>526</v>
      </c>
      <c r="L592" t="s">
        <v>525</v>
      </c>
      <c r="M592" t="s">
        <v>2189</v>
      </c>
      <c r="N592" t="s">
        <v>2181</v>
      </c>
      <c r="O592" t="s">
        <v>2190</v>
      </c>
    </row>
    <row r="593" spans="1:15" ht="15.75">
      <c r="A593" t="s">
        <v>617</v>
      </c>
      <c r="B593" t="s">
        <v>1211</v>
      </c>
      <c r="C593" t="s">
        <v>1170</v>
      </c>
      <c r="D593" t="s">
        <v>21</v>
      </c>
      <c r="E593">
        <v>46</v>
      </c>
      <c r="F593" t="s">
        <v>1132</v>
      </c>
      <c r="G593" t="s">
        <v>2369</v>
      </c>
      <c r="H593" t="s">
        <v>2370</v>
      </c>
      <c r="I593" s="2">
        <v>44655</v>
      </c>
      <c r="J593" t="s">
        <v>1142</v>
      </c>
      <c r="K593" t="s">
        <v>526</v>
      </c>
      <c r="L593" t="s">
        <v>525</v>
      </c>
      <c r="M593" t="s">
        <v>2193</v>
      </c>
      <c r="N593" t="s">
        <v>2181</v>
      </c>
      <c r="O593" t="s">
        <v>2194</v>
      </c>
    </row>
    <row r="594" spans="1:15" ht="15.75">
      <c r="A594" t="s">
        <v>618</v>
      </c>
      <c r="B594" t="s">
        <v>1145</v>
      </c>
      <c r="C594" t="s">
        <v>1170</v>
      </c>
      <c r="D594" t="s">
        <v>16</v>
      </c>
      <c r="E594">
        <v>35</v>
      </c>
      <c r="F594" t="s">
        <v>1118</v>
      </c>
      <c r="G594" t="s">
        <v>2371</v>
      </c>
      <c r="H594" t="s">
        <v>2372</v>
      </c>
      <c r="I594" s="2">
        <v>45051</v>
      </c>
      <c r="J594" t="s">
        <v>1121</v>
      </c>
      <c r="K594" t="s">
        <v>526</v>
      </c>
      <c r="L594" t="s">
        <v>525</v>
      </c>
      <c r="M594" t="s">
        <v>2180</v>
      </c>
      <c r="N594" t="s">
        <v>2181</v>
      </c>
      <c r="O594" t="s">
        <v>2182</v>
      </c>
    </row>
    <row r="595" spans="1:15" ht="15.75">
      <c r="A595" t="s">
        <v>619</v>
      </c>
      <c r="B595" t="s">
        <v>1148</v>
      </c>
      <c r="C595" t="s">
        <v>1170</v>
      </c>
      <c r="D595" t="s">
        <v>21</v>
      </c>
      <c r="E595">
        <v>19</v>
      </c>
      <c r="F595" t="s">
        <v>1164</v>
      </c>
      <c r="G595" t="s">
        <v>2373</v>
      </c>
      <c r="H595" t="s">
        <v>2374</v>
      </c>
      <c r="I595" s="2">
        <v>44353</v>
      </c>
      <c r="J595" t="s">
        <v>1128</v>
      </c>
      <c r="K595" t="s">
        <v>526</v>
      </c>
      <c r="L595" t="s">
        <v>525</v>
      </c>
      <c r="M595" t="s">
        <v>2185</v>
      </c>
      <c r="N595" t="s">
        <v>2181</v>
      </c>
      <c r="O595" t="s">
        <v>2186</v>
      </c>
    </row>
    <row r="596" spans="1:15" ht="15.75">
      <c r="A596" t="s">
        <v>620</v>
      </c>
      <c r="B596" t="s">
        <v>1186</v>
      </c>
      <c r="C596" t="s">
        <v>1170</v>
      </c>
      <c r="D596" t="s">
        <v>21</v>
      </c>
      <c r="E596">
        <v>18</v>
      </c>
      <c r="F596" t="s">
        <v>1164</v>
      </c>
      <c r="G596" t="s">
        <v>2375</v>
      </c>
      <c r="H596" t="s">
        <v>2376</v>
      </c>
      <c r="I596" s="2">
        <v>44749</v>
      </c>
      <c r="J596" t="s">
        <v>1135</v>
      </c>
      <c r="K596" t="s">
        <v>526</v>
      </c>
      <c r="L596" t="s">
        <v>525</v>
      </c>
      <c r="M596" t="s">
        <v>2189</v>
      </c>
      <c r="N596" t="s">
        <v>2181</v>
      </c>
      <c r="O596" t="s">
        <v>2190</v>
      </c>
    </row>
    <row r="597" spans="1:15" ht="15.75">
      <c r="A597" t="s">
        <v>621</v>
      </c>
      <c r="B597" t="s">
        <v>1246</v>
      </c>
      <c r="C597" t="s">
        <v>1170</v>
      </c>
      <c r="D597" t="s">
        <v>21</v>
      </c>
      <c r="E597">
        <v>64</v>
      </c>
      <c r="F597" t="s">
        <v>1132</v>
      </c>
      <c r="G597" t="s">
        <v>2377</v>
      </c>
      <c r="H597" t="s">
        <v>2378</v>
      </c>
      <c r="I597" s="2">
        <v>45146</v>
      </c>
      <c r="J597" t="s">
        <v>1142</v>
      </c>
      <c r="K597" t="s">
        <v>526</v>
      </c>
      <c r="L597" t="s">
        <v>525</v>
      </c>
      <c r="M597" t="s">
        <v>2193</v>
      </c>
      <c r="N597" t="s">
        <v>2181</v>
      </c>
      <c r="O597" t="s">
        <v>2194</v>
      </c>
    </row>
    <row r="598" spans="1:15" ht="15.75">
      <c r="A598" t="s">
        <v>622</v>
      </c>
      <c r="B598" t="s">
        <v>1157</v>
      </c>
      <c r="C598" t="s">
        <v>1170</v>
      </c>
      <c r="D598" t="s">
        <v>16</v>
      </c>
      <c r="E598">
        <v>22</v>
      </c>
      <c r="F598" t="s">
        <v>1164</v>
      </c>
      <c r="G598" t="s">
        <v>2379</v>
      </c>
      <c r="H598" t="s">
        <v>2380</v>
      </c>
      <c r="I598" s="2">
        <v>44448</v>
      </c>
      <c r="J598" t="s">
        <v>1121</v>
      </c>
      <c r="K598" t="s">
        <v>526</v>
      </c>
      <c r="L598" t="s">
        <v>525</v>
      </c>
      <c r="M598" t="s">
        <v>2180</v>
      </c>
      <c r="N598" t="s">
        <v>2181</v>
      </c>
      <c r="O598" t="s">
        <v>2182</v>
      </c>
    </row>
    <row r="599" spans="1:15" ht="15.75">
      <c r="A599" t="s">
        <v>623</v>
      </c>
      <c r="B599" t="s">
        <v>1194</v>
      </c>
      <c r="C599" t="s">
        <v>1170</v>
      </c>
      <c r="D599" t="s">
        <v>16</v>
      </c>
      <c r="E599">
        <v>37</v>
      </c>
      <c r="F599" t="s">
        <v>1139</v>
      </c>
      <c r="G599" t="s">
        <v>2381</v>
      </c>
      <c r="H599" t="s">
        <v>2382</v>
      </c>
      <c r="I599" s="2">
        <v>44844</v>
      </c>
      <c r="J599" t="s">
        <v>1128</v>
      </c>
      <c r="K599" t="s">
        <v>526</v>
      </c>
      <c r="L599" t="s">
        <v>525</v>
      </c>
      <c r="M599" t="s">
        <v>2185</v>
      </c>
      <c r="N599" t="s">
        <v>2181</v>
      </c>
      <c r="O599" t="s">
        <v>2186</v>
      </c>
    </row>
    <row r="600" spans="1:15" ht="15.75">
      <c r="A600" t="s">
        <v>624</v>
      </c>
      <c r="B600" t="s">
        <v>1197</v>
      </c>
      <c r="C600" t="s">
        <v>1170</v>
      </c>
      <c r="D600" t="s">
        <v>21</v>
      </c>
      <c r="E600">
        <v>28</v>
      </c>
      <c r="F600" t="s">
        <v>1118</v>
      </c>
      <c r="G600" t="s">
        <v>2383</v>
      </c>
      <c r="H600" t="s">
        <v>2384</v>
      </c>
      <c r="I600" s="2">
        <v>45241</v>
      </c>
      <c r="J600" t="s">
        <v>1135</v>
      </c>
      <c r="K600" t="s">
        <v>526</v>
      </c>
      <c r="L600" t="s">
        <v>525</v>
      </c>
      <c r="M600" t="s">
        <v>2189</v>
      </c>
      <c r="N600" t="s">
        <v>2181</v>
      </c>
      <c r="O600" t="s">
        <v>2190</v>
      </c>
    </row>
    <row r="601" spans="1:15" ht="15.75">
      <c r="A601" t="s">
        <v>625</v>
      </c>
      <c r="B601" t="s">
        <v>1200</v>
      </c>
      <c r="C601" t="s">
        <v>1170</v>
      </c>
      <c r="D601" t="s">
        <v>21</v>
      </c>
      <c r="E601">
        <v>59</v>
      </c>
      <c r="F601" t="s">
        <v>1132</v>
      </c>
      <c r="G601" t="s">
        <v>2385</v>
      </c>
      <c r="H601" t="s">
        <v>2386</v>
      </c>
      <c r="I601" s="2">
        <v>44542</v>
      </c>
      <c r="J601" t="s">
        <v>1142</v>
      </c>
      <c r="K601" t="s">
        <v>526</v>
      </c>
      <c r="L601" t="s">
        <v>525</v>
      </c>
      <c r="M601" t="s">
        <v>2193</v>
      </c>
      <c r="N601" t="s">
        <v>2181</v>
      </c>
      <c r="O601" t="s">
        <v>2194</v>
      </c>
    </row>
    <row r="602" spans="1:15" ht="15.75">
      <c r="A602" t="s">
        <v>626</v>
      </c>
      <c r="B602" t="s">
        <v>1116</v>
      </c>
      <c r="C602" t="s">
        <v>1204</v>
      </c>
      <c r="D602" t="s">
        <v>16</v>
      </c>
      <c r="E602">
        <v>19</v>
      </c>
      <c r="F602" t="s">
        <v>1164</v>
      </c>
      <c r="G602" t="s">
        <v>2387</v>
      </c>
      <c r="H602" t="s">
        <v>2388</v>
      </c>
      <c r="I602" s="2">
        <v>44574</v>
      </c>
      <c r="J602" t="s">
        <v>1121</v>
      </c>
      <c r="K602" t="s">
        <v>526</v>
      </c>
      <c r="L602" t="s">
        <v>525</v>
      </c>
      <c r="M602" t="s">
        <v>2180</v>
      </c>
      <c r="N602" t="s">
        <v>2181</v>
      </c>
      <c r="O602" t="s">
        <v>2182</v>
      </c>
    </row>
    <row r="603" spans="1:15" ht="15.75">
      <c r="A603" t="s">
        <v>627</v>
      </c>
      <c r="B603" t="s">
        <v>1125</v>
      </c>
      <c r="C603" t="s">
        <v>1204</v>
      </c>
      <c r="D603" t="s">
        <v>21</v>
      </c>
      <c r="E603">
        <v>20</v>
      </c>
      <c r="F603" t="s">
        <v>1164</v>
      </c>
      <c r="G603" t="s">
        <v>2389</v>
      </c>
      <c r="H603" t="s">
        <v>2390</v>
      </c>
      <c r="I603" s="2">
        <v>44971</v>
      </c>
      <c r="J603" t="s">
        <v>1128</v>
      </c>
      <c r="K603" t="s">
        <v>526</v>
      </c>
      <c r="L603" t="s">
        <v>525</v>
      </c>
      <c r="M603" t="s">
        <v>2185</v>
      </c>
      <c r="N603" t="s">
        <v>2181</v>
      </c>
      <c r="O603" t="s">
        <v>2186</v>
      </c>
    </row>
    <row r="604" spans="1:15" ht="15.75">
      <c r="A604" t="s">
        <v>628</v>
      </c>
      <c r="B604" t="s">
        <v>1176</v>
      </c>
      <c r="C604" t="s">
        <v>1204</v>
      </c>
      <c r="D604" t="s">
        <v>21</v>
      </c>
      <c r="E604">
        <v>40</v>
      </c>
      <c r="F604" t="s">
        <v>1139</v>
      </c>
      <c r="G604" t="s">
        <v>2391</v>
      </c>
      <c r="H604" t="s">
        <v>2392</v>
      </c>
      <c r="I604" s="2">
        <v>44270</v>
      </c>
      <c r="J604" t="s">
        <v>1135</v>
      </c>
      <c r="K604" t="s">
        <v>526</v>
      </c>
      <c r="L604" t="s">
        <v>525</v>
      </c>
      <c r="M604" t="s">
        <v>2189</v>
      </c>
      <c r="N604" t="s">
        <v>2181</v>
      </c>
      <c r="O604" t="s">
        <v>2190</v>
      </c>
    </row>
    <row r="605" spans="1:15" ht="15.75">
      <c r="A605" t="s">
        <v>629</v>
      </c>
      <c r="B605" t="s">
        <v>1211</v>
      </c>
      <c r="C605" t="s">
        <v>1204</v>
      </c>
      <c r="D605" t="s">
        <v>21</v>
      </c>
      <c r="E605">
        <v>29</v>
      </c>
      <c r="F605" t="s">
        <v>1118</v>
      </c>
      <c r="G605" t="s">
        <v>2393</v>
      </c>
      <c r="H605" t="s">
        <v>2394</v>
      </c>
      <c r="I605" s="2">
        <v>44667</v>
      </c>
      <c r="J605" t="s">
        <v>1142</v>
      </c>
      <c r="K605" t="s">
        <v>526</v>
      </c>
      <c r="L605" t="s">
        <v>525</v>
      </c>
      <c r="M605" t="s">
        <v>2193</v>
      </c>
      <c r="N605" t="s">
        <v>2181</v>
      </c>
      <c r="O605" t="s">
        <v>2194</v>
      </c>
    </row>
    <row r="606" spans="1:15" ht="15.75">
      <c r="A606" t="s">
        <v>630</v>
      </c>
      <c r="B606" t="s">
        <v>1145</v>
      </c>
      <c r="C606" t="s">
        <v>1204</v>
      </c>
      <c r="D606" t="s">
        <v>16</v>
      </c>
      <c r="E606">
        <v>37</v>
      </c>
      <c r="F606" t="s">
        <v>1139</v>
      </c>
      <c r="G606" t="s">
        <v>2395</v>
      </c>
      <c r="H606" t="s">
        <v>2396</v>
      </c>
      <c r="I606" s="2">
        <v>45063</v>
      </c>
      <c r="J606" t="s">
        <v>1121</v>
      </c>
      <c r="K606" t="s">
        <v>526</v>
      </c>
      <c r="L606" t="s">
        <v>525</v>
      </c>
      <c r="M606" t="s">
        <v>2180</v>
      </c>
      <c r="N606" t="s">
        <v>2181</v>
      </c>
      <c r="O606" t="s">
        <v>2182</v>
      </c>
    </row>
    <row r="607" spans="1:15" ht="15.75">
      <c r="A607" t="s">
        <v>631</v>
      </c>
      <c r="B607" t="s">
        <v>1241</v>
      </c>
      <c r="C607" t="s">
        <v>1204</v>
      </c>
      <c r="D607" t="s">
        <v>16</v>
      </c>
      <c r="E607">
        <v>22</v>
      </c>
      <c r="F607" t="s">
        <v>1164</v>
      </c>
      <c r="G607" t="s">
        <v>2397</v>
      </c>
      <c r="H607" t="s">
        <v>2398</v>
      </c>
      <c r="I607" s="2">
        <v>44365</v>
      </c>
      <c r="J607" t="s">
        <v>1128</v>
      </c>
      <c r="K607" t="s">
        <v>526</v>
      </c>
      <c r="L607" t="s">
        <v>525</v>
      </c>
      <c r="M607" t="s">
        <v>2185</v>
      </c>
      <c r="N607" t="s">
        <v>2181</v>
      </c>
      <c r="O607" t="s">
        <v>2186</v>
      </c>
    </row>
    <row r="608" spans="1:15" ht="15.75">
      <c r="A608" t="s">
        <v>632</v>
      </c>
      <c r="B608" t="s">
        <v>1151</v>
      </c>
      <c r="C608" t="s">
        <v>1204</v>
      </c>
      <c r="D608" t="s">
        <v>16</v>
      </c>
      <c r="E608">
        <v>54</v>
      </c>
      <c r="F608" t="s">
        <v>1132</v>
      </c>
      <c r="G608" t="s">
        <v>2399</v>
      </c>
      <c r="H608" t="s">
        <v>2400</v>
      </c>
      <c r="I608" s="2">
        <v>44761</v>
      </c>
      <c r="J608" t="s">
        <v>1135</v>
      </c>
      <c r="K608" t="s">
        <v>526</v>
      </c>
      <c r="L608" t="s">
        <v>525</v>
      </c>
      <c r="M608" t="s">
        <v>2189</v>
      </c>
      <c r="N608" t="s">
        <v>2181</v>
      </c>
      <c r="O608" t="s">
        <v>2190</v>
      </c>
    </row>
    <row r="609" spans="1:15" ht="15.75">
      <c r="A609" t="s">
        <v>633</v>
      </c>
      <c r="B609" t="s">
        <v>1246</v>
      </c>
      <c r="C609" t="s">
        <v>1204</v>
      </c>
      <c r="D609" t="s">
        <v>21</v>
      </c>
      <c r="E609">
        <v>55</v>
      </c>
      <c r="F609" t="s">
        <v>1132</v>
      </c>
      <c r="G609" t="s">
        <v>2401</v>
      </c>
      <c r="H609" t="s">
        <v>2402</v>
      </c>
      <c r="I609" s="2">
        <v>45158</v>
      </c>
      <c r="J609" t="s">
        <v>1142</v>
      </c>
      <c r="K609" t="s">
        <v>526</v>
      </c>
      <c r="L609" t="s">
        <v>525</v>
      </c>
      <c r="M609" t="s">
        <v>2193</v>
      </c>
      <c r="N609" t="s">
        <v>2181</v>
      </c>
      <c r="O609" t="s">
        <v>2194</v>
      </c>
    </row>
    <row r="610" spans="1:15" ht="15.75">
      <c r="A610" t="s">
        <v>634</v>
      </c>
      <c r="B610" t="s">
        <v>1191</v>
      </c>
      <c r="C610" t="s">
        <v>1204</v>
      </c>
      <c r="D610" t="s">
        <v>21</v>
      </c>
      <c r="E610">
        <v>47</v>
      </c>
      <c r="F610" t="s">
        <v>1132</v>
      </c>
      <c r="G610" t="s">
        <v>2403</v>
      </c>
      <c r="H610" t="s">
        <v>2404</v>
      </c>
      <c r="I610" s="2">
        <v>44460</v>
      </c>
      <c r="J610" t="s">
        <v>1121</v>
      </c>
      <c r="K610" t="s">
        <v>526</v>
      </c>
      <c r="L610" t="s">
        <v>525</v>
      </c>
      <c r="M610" t="s">
        <v>2180</v>
      </c>
      <c r="N610" t="s">
        <v>2181</v>
      </c>
      <c r="O610" t="s">
        <v>2182</v>
      </c>
    </row>
    <row r="611" spans="1:15" ht="15.75">
      <c r="A611" t="s">
        <v>635</v>
      </c>
      <c r="B611" t="s">
        <v>1160</v>
      </c>
      <c r="C611" t="s">
        <v>1204</v>
      </c>
      <c r="D611" t="s">
        <v>21</v>
      </c>
      <c r="E611">
        <v>26</v>
      </c>
      <c r="F611" t="s">
        <v>1118</v>
      </c>
      <c r="G611" t="s">
        <v>2405</v>
      </c>
      <c r="H611" t="s">
        <v>2406</v>
      </c>
      <c r="I611" s="2">
        <v>44856</v>
      </c>
      <c r="J611" t="s">
        <v>1128</v>
      </c>
      <c r="K611" t="s">
        <v>526</v>
      </c>
      <c r="L611" t="s">
        <v>525</v>
      </c>
      <c r="M611" t="s">
        <v>2185</v>
      </c>
      <c r="N611" t="s">
        <v>2181</v>
      </c>
      <c r="O611" t="s">
        <v>2186</v>
      </c>
    </row>
    <row r="612" spans="1:15" ht="15.75">
      <c r="A612" t="s">
        <v>636</v>
      </c>
      <c r="B612" t="s">
        <v>1163</v>
      </c>
      <c r="C612" t="s">
        <v>1204</v>
      </c>
      <c r="D612" t="s">
        <v>16</v>
      </c>
      <c r="E612">
        <v>51</v>
      </c>
      <c r="F612" t="s">
        <v>1132</v>
      </c>
      <c r="G612" t="s">
        <v>2407</v>
      </c>
      <c r="H612" t="s">
        <v>2408</v>
      </c>
      <c r="I612" s="2">
        <v>45253</v>
      </c>
      <c r="J612" t="s">
        <v>1135</v>
      </c>
      <c r="K612" t="s">
        <v>526</v>
      </c>
      <c r="L612" t="s">
        <v>525</v>
      </c>
      <c r="M612" t="s">
        <v>2189</v>
      </c>
      <c r="N612" t="s">
        <v>2181</v>
      </c>
      <c r="O612" t="s">
        <v>2190</v>
      </c>
    </row>
    <row r="613" spans="1:15" ht="15.75">
      <c r="A613" t="s">
        <v>637</v>
      </c>
      <c r="B613" t="s">
        <v>1200</v>
      </c>
      <c r="C613" t="s">
        <v>1204</v>
      </c>
      <c r="D613" t="s">
        <v>21</v>
      </c>
      <c r="E613">
        <v>61</v>
      </c>
      <c r="F613" t="s">
        <v>1132</v>
      </c>
      <c r="G613" t="s">
        <v>2409</v>
      </c>
      <c r="H613" t="s">
        <v>2410</v>
      </c>
      <c r="I613" s="2">
        <v>44554</v>
      </c>
      <c r="J613" t="s">
        <v>1142</v>
      </c>
      <c r="K613" t="s">
        <v>526</v>
      </c>
      <c r="L613" t="s">
        <v>525</v>
      </c>
      <c r="M613" t="s">
        <v>2193</v>
      </c>
      <c r="N613" t="s">
        <v>2181</v>
      </c>
      <c r="O613" t="s">
        <v>2194</v>
      </c>
    </row>
    <row r="614" spans="1:15" ht="15.75">
      <c r="A614" t="s">
        <v>638</v>
      </c>
      <c r="B614" t="s">
        <v>1203</v>
      </c>
      <c r="C614" t="s">
        <v>1230</v>
      </c>
      <c r="D614" t="s">
        <v>21</v>
      </c>
      <c r="E614">
        <v>52</v>
      </c>
      <c r="F614" t="s">
        <v>1132</v>
      </c>
      <c r="G614" t="s">
        <v>2411</v>
      </c>
      <c r="H614" t="s">
        <v>2412</v>
      </c>
      <c r="I614" s="2">
        <v>44586</v>
      </c>
      <c r="J614" t="s">
        <v>1121</v>
      </c>
      <c r="K614" t="s">
        <v>526</v>
      </c>
      <c r="L614" t="s">
        <v>525</v>
      </c>
      <c r="M614" t="s">
        <v>2180</v>
      </c>
      <c r="N614" t="s">
        <v>2181</v>
      </c>
      <c r="O614" t="s">
        <v>2182</v>
      </c>
    </row>
    <row r="615" spans="1:15" ht="15.75">
      <c r="A615" t="s">
        <v>639</v>
      </c>
      <c r="B615" t="s">
        <v>1125</v>
      </c>
      <c r="C615" t="s">
        <v>1230</v>
      </c>
      <c r="D615" t="s">
        <v>21</v>
      </c>
      <c r="E615">
        <v>39</v>
      </c>
      <c r="F615" t="s">
        <v>1139</v>
      </c>
      <c r="G615" t="s">
        <v>2413</v>
      </c>
      <c r="H615" t="s">
        <v>2414</v>
      </c>
      <c r="I615" s="2">
        <v>44983</v>
      </c>
      <c r="J615" t="s">
        <v>1128</v>
      </c>
      <c r="K615" t="s">
        <v>526</v>
      </c>
      <c r="L615" t="s">
        <v>525</v>
      </c>
      <c r="M615" t="s">
        <v>2185</v>
      </c>
      <c r="N615" t="s">
        <v>2181</v>
      </c>
      <c r="O615" t="s">
        <v>2186</v>
      </c>
    </row>
    <row r="616" spans="1:15" ht="15.75">
      <c r="A616" t="s">
        <v>640</v>
      </c>
      <c r="B616" t="s">
        <v>1176</v>
      </c>
      <c r="C616" t="s">
        <v>1230</v>
      </c>
      <c r="D616" t="s">
        <v>21</v>
      </c>
      <c r="E616">
        <v>61</v>
      </c>
      <c r="F616" t="s">
        <v>1132</v>
      </c>
      <c r="G616" t="s">
        <v>2415</v>
      </c>
      <c r="H616" t="s">
        <v>2416</v>
      </c>
      <c r="I616" s="2">
        <v>44282</v>
      </c>
      <c r="J616" t="s">
        <v>1135</v>
      </c>
      <c r="K616" t="s">
        <v>526</v>
      </c>
      <c r="L616" t="s">
        <v>525</v>
      </c>
      <c r="M616" t="s">
        <v>2189</v>
      </c>
      <c r="N616" t="s">
        <v>2181</v>
      </c>
      <c r="O616" t="s">
        <v>2190</v>
      </c>
    </row>
    <row r="617" spans="1:15" ht="15.75">
      <c r="A617" t="s">
        <v>641</v>
      </c>
      <c r="B617" t="s">
        <v>1138</v>
      </c>
      <c r="C617" t="s">
        <v>1230</v>
      </c>
      <c r="D617" t="s">
        <v>16</v>
      </c>
      <c r="E617">
        <v>41</v>
      </c>
      <c r="F617" t="s">
        <v>1139</v>
      </c>
      <c r="G617" t="s">
        <v>2417</v>
      </c>
      <c r="H617" t="s">
        <v>2418</v>
      </c>
      <c r="I617" s="2">
        <v>44679</v>
      </c>
      <c r="J617" t="s">
        <v>1142</v>
      </c>
      <c r="K617" t="s">
        <v>526</v>
      </c>
      <c r="L617" t="s">
        <v>525</v>
      </c>
      <c r="M617" t="s">
        <v>2193</v>
      </c>
      <c r="N617" t="s">
        <v>2181</v>
      </c>
      <c r="O617" t="s">
        <v>2194</v>
      </c>
    </row>
    <row r="618" spans="1:15" ht="15.75">
      <c r="A618" t="s">
        <v>642</v>
      </c>
      <c r="B618" t="s">
        <v>1145</v>
      </c>
      <c r="C618" t="s">
        <v>1230</v>
      </c>
      <c r="D618" t="s">
        <v>16</v>
      </c>
      <c r="E618">
        <v>34</v>
      </c>
      <c r="F618" t="s">
        <v>1118</v>
      </c>
      <c r="G618" t="s">
        <v>2419</v>
      </c>
      <c r="H618" t="s">
        <v>2420</v>
      </c>
      <c r="I618" s="2">
        <v>45047</v>
      </c>
      <c r="J618" t="s">
        <v>1121</v>
      </c>
      <c r="K618" t="s">
        <v>526</v>
      </c>
      <c r="L618" t="s">
        <v>525</v>
      </c>
      <c r="M618" t="s">
        <v>2180</v>
      </c>
      <c r="N618" t="s">
        <v>2181</v>
      </c>
      <c r="O618" t="s">
        <v>2182</v>
      </c>
    </row>
    <row r="619" spans="1:15" ht="15.75">
      <c r="A619" t="s">
        <v>643</v>
      </c>
      <c r="B619" t="s">
        <v>1148</v>
      </c>
      <c r="C619" t="s">
        <v>1230</v>
      </c>
      <c r="D619" t="s">
        <v>21</v>
      </c>
      <c r="E619">
        <v>27</v>
      </c>
      <c r="F619" t="s">
        <v>1118</v>
      </c>
      <c r="G619" t="s">
        <v>2421</v>
      </c>
      <c r="H619" t="s">
        <v>2422</v>
      </c>
      <c r="I619" s="2">
        <v>44349</v>
      </c>
      <c r="J619" t="s">
        <v>1128</v>
      </c>
      <c r="K619" t="s">
        <v>526</v>
      </c>
      <c r="L619" t="s">
        <v>525</v>
      </c>
      <c r="M619" t="s">
        <v>2185</v>
      </c>
      <c r="N619" t="s">
        <v>2181</v>
      </c>
      <c r="O619" t="s">
        <v>2186</v>
      </c>
    </row>
    <row r="620" spans="1:15" ht="15.75">
      <c r="A620" t="s">
        <v>644</v>
      </c>
      <c r="B620" t="s">
        <v>1151</v>
      </c>
      <c r="C620" t="s">
        <v>1230</v>
      </c>
      <c r="D620" t="s">
        <v>16</v>
      </c>
      <c r="E620">
        <v>47</v>
      </c>
      <c r="F620" t="s">
        <v>1132</v>
      </c>
      <c r="G620" t="s">
        <v>2423</v>
      </c>
      <c r="H620" t="s">
        <v>2424</v>
      </c>
      <c r="I620" s="2">
        <v>44745</v>
      </c>
      <c r="J620" t="s">
        <v>1135</v>
      </c>
      <c r="K620" t="s">
        <v>526</v>
      </c>
      <c r="L620" t="s">
        <v>525</v>
      </c>
      <c r="M620" t="s">
        <v>2189</v>
      </c>
      <c r="N620" t="s">
        <v>2181</v>
      </c>
      <c r="O620" t="s">
        <v>2190</v>
      </c>
    </row>
    <row r="621" spans="1:15" ht="15.75">
      <c r="A621" t="s">
        <v>645</v>
      </c>
      <c r="B621" t="s">
        <v>1154</v>
      </c>
      <c r="C621" t="s">
        <v>1230</v>
      </c>
      <c r="D621" t="s">
        <v>16</v>
      </c>
      <c r="E621">
        <v>63</v>
      </c>
      <c r="F621" t="s">
        <v>1132</v>
      </c>
      <c r="G621" t="s">
        <v>2425</v>
      </c>
      <c r="H621" t="s">
        <v>2426</v>
      </c>
      <c r="I621" s="2">
        <v>45142</v>
      </c>
      <c r="J621" t="s">
        <v>1142</v>
      </c>
      <c r="K621" t="s">
        <v>526</v>
      </c>
      <c r="L621" t="s">
        <v>525</v>
      </c>
      <c r="M621" t="s">
        <v>2193</v>
      </c>
      <c r="N621" t="s">
        <v>2181</v>
      </c>
      <c r="O621" t="s">
        <v>2194</v>
      </c>
    </row>
    <row r="622" spans="1:15" ht="15.75">
      <c r="A622" t="s">
        <v>646</v>
      </c>
      <c r="B622" t="s">
        <v>1191</v>
      </c>
      <c r="C622" t="s">
        <v>1230</v>
      </c>
      <c r="D622" t="s">
        <v>21</v>
      </c>
      <c r="E622">
        <v>40</v>
      </c>
      <c r="F622" t="s">
        <v>1139</v>
      </c>
      <c r="G622" t="s">
        <v>2427</v>
      </c>
      <c r="H622" t="s">
        <v>2428</v>
      </c>
      <c r="I622" s="2">
        <v>44444</v>
      </c>
      <c r="J622" t="s">
        <v>1121</v>
      </c>
      <c r="K622" t="s">
        <v>526</v>
      </c>
      <c r="L622" t="s">
        <v>525</v>
      </c>
      <c r="M622" t="s">
        <v>2180</v>
      </c>
      <c r="N622" t="s">
        <v>2181</v>
      </c>
      <c r="O622" t="s">
        <v>2182</v>
      </c>
    </row>
    <row r="623" spans="1:15" ht="15.75">
      <c r="A623" t="s">
        <v>647</v>
      </c>
      <c r="B623" t="s">
        <v>1160</v>
      </c>
      <c r="C623" t="s">
        <v>1230</v>
      </c>
      <c r="D623" t="s">
        <v>21</v>
      </c>
      <c r="E623">
        <v>49</v>
      </c>
      <c r="F623" t="s">
        <v>1132</v>
      </c>
      <c r="G623" t="s">
        <v>2429</v>
      </c>
      <c r="H623" t="s">
        <v>2430</v>
      </c>
      <c r="I623" s="2">
        <v>44840</v>
      </c>
      <c r="J623" t="s">
        <v>1128</v>
      </c>
      <c r="K623" t="s">
        <v>526</v>
      </c>
      <c r="L623" t="s">
        <v>525</v>
      </c>
      <c r="M623" t="s">
        <v>2185</v>
      </c>
      <c r="N623" t="s">
        <v>2181</v>
      </c>
      <c r="O623" t="s">
        <v>2186</v>
      </c>
    </row>
    <row r="624" spans="1:15" ht="15.75">
      <c r="A624" t="s">
        <v>648</v>
      </c>
      <c r="B624" t="s">
        <v>1163</v>
      </c>
      <c r="C624" t="s">
        <v>1230</v>
      </c>
      <c r="D624" t="s">
        <v>16</v>
      </c>
      <c r="E624">
        <v>34</v>
      </c>
      <c r="F624" t="s">
        <v>1118</v>
      </c>
      <c r="G624" t="s">
        <v>2431</v>
      </c>
      <c r="H624" t="s">
        <v>2432</v>
      </c>
      <c r="I624" s="2">
        <v>45237</v>
      </c>
      <c r="J624" t="s">
        <v>1135</v>
      </c>
      <c r="K624" t="s">
        <v>526</v>
      </c>
      <c r="L624" t="s">
        <v>525</v>
      </c>
      <c r="M624" t="s">
        <v>2189</v>
      </c>
      <c r="N624" t="s">
        <v>2181</v>
      </c>
      <c r="O624" t="s">
        <v>2190</v>
      </c>
    </row>
    <row r="625" spans="1:15" ht="15.75">
      <c r="A625" t="s">
        <v>649</v>
      </c>
      <c r="B625" t="s">
        <v>1200</v>
      </c>
      <c r="C625" t="s">
        <v>1230</v>
      </c>
      <c r="D625" t="s">
        <v>21</v>
      </c>
      <c r="E625">
        <v>34</v>
      </c>
      <c r="F625" t="s">
        <v>1118</v>
      </c>
      <c r="G625" t="s">
        <v>2433</v>
      </c>
      <c r="H625" t="s">
        <v>2434</v>
      </c>
      <c r="I625" s="2">
        <v>44538</v>
      </c>
      <c r="J625" t="s">
        <v>1142</v>
      </c>
      <c r="K625" t="s">
        <v>526</v>
      </c>
      <c r="L625" t="s">
        <v>525</v>
      </c>
      <c r="M625" t="s">
        <v>2193</v>
      </c>
      <c r="N625" t="s">
        <v>2181</v>
      </c>
      <c r="O625" t="s">
        <v>2194</v>
      </c>
    </row>
    <row r="626" spans="1:15" ht="15.75">
      <c r="A626" t="s">
        <v>650</v>
      </c>
      <c r="B626" t="s">
        <v>1116</v>
      </c>
      <c r="C626" t="s">
        <v>1257</v>
      </c>
      <c r="D626" t="s">
        <v>16</v>
      </c>
      <c r="E626">
        <v>31</v>
      </c>
      <c r="F626" t="s">
        <v>1118</v>
      </c>
      <c r="G626" t="s">
        <v>2435</v>
      </c>
      <c r="H626" t="s">
        <v>2436</v>
      </c>
      <c r="I626" s="2">
        <v>44570</v>
      </c>
      <c r="J626" t="s">
        <v>1121</v>
      </c>
      <c r="K626" t="s">
        <v>526</v>
      </c>
      <c r="L626" t="s">
        <v>525</v>
      </c>
      <c r="M626" t="s">
        <v>2180</v>
      </c>
      <c r="N626" t="s">
        <v>2181</v>
      </c>
      <c r="O626" t="s">
        <v>2182</v>
      </c>
    </row>
    <row r="627" spans="1:15" ht="15.75">
      <c r="A627" t="s">
        <v>651</v>
      </c>
      <c r="B627" t="s">
        <v>1125</v>
      </c>
      <c r="C627" t="s">
        <v>1257</v>
      </c>
      <c r="D627" t="s">
        <v>21</v>
      </c>
      <c r="E627">
        <v>26</v>
      </c>
      <c r="F627" t="s">
        <v>1118</v>
      </c>
      <c r="G627" t="s">
        <v>2437</v>
      </c>
      <c r="H627" t="s">
        <v>2438</v>
      </c>
      <c r="I627" s="2">
        <v>44967</v>
      </c>
      <c r="J627" t="s">
        <v>1128</v>
      </c>
      <c r="K627" t="s">
        <v>526</v>
      </c>
      <c r="L627" t="s">
        <v>525</v>
      </c>
      <c r="M627" t="s">
        <v>2185</v>
      </c>
      <c r="N627" t="s">
        <v>2181</v>
      </c>
      <c r="O627" t="s">
        <v>2186</v>
      </c>
    </row>
    <row r="628" spans="1:15" ht="15.75">
      <c r="A628" t="s">
        <v>652</v>
      </c>
      <c r="B628" t="s">
        <v>1131</v>
      </c>
      <c r="C628" t="s">
        <v>1257</v>
      </c>
      <c r="D628" t="s">
        <v>16</v>
      </c>
      <c r="E628">
        <v>57</v>
      </c>
      <c r="F628" t="s">
        <v>1132</v>
      </c>
      <c r="G628" t="s">
        <v>2439</v>
      </c>
      <c r="H628" t="s">
        <v>2440</v>
      </c>
      <c r="I628" s="2">
        <v>44266</v>
      </c>
      <c r="J628" t="s">
        <v>1135</v>
      </c>
      <c r="K628" t="s">
        <v>526</v>
      </c>
      <c r="L628" t="s">
        <v>525</v>
      </c>
      <c r="M628" t="s">
        <v>2189</v>
      </c>
      <c r="N628" t="s">
        <v>2181</v>
      </c>
      <c r="O628" t="s">
        <v>2190</v>
      </c>
    </row>
    <row r="629" spans="1:15" ht="15.75">
      <c r="A629" t="s">
        <v>653</v>
      </c>
      <c r="B629" t="s">
        <v>1211</v>
      </c>
      <c r="C629" t="s">
        <v>1257</v>
      </c>
      <c r="D629" t="s">
        <v>21</v>
      </c>
      <c r="E629">
        <v>19</v>
      </c>
      <c r="F629" t="s">
        <v>1164</v>
      </c>
      <c r="G629" t="s">
        <v>2441</v>
      </c>
      <c r="H629" t="s">
        <v>2442</v>
      </c>
      <c r="I629" s="2">
        <v>44663</v>
      </c>
      <c r="J629" t="s">
        <v>1142</v>
      </c>
      <c r="K629" t="s">
        <v>526</v>
      </c>
      <c r="L629" t="s">
        <v>525</v>
      </c>
      <c r="M629" t="s">
        <v>2193</v>
      </c>
      <c r="N629" t="s">
        <v>2181</v>
      </c>
      <c r="O629" t="s">
        <v>2194</v>
      </c>
    </row>
    <row r="630" spans="1:15" ht="15.75">
      <c r="A630" t="s">
        <v>654</v>
      </c>
      <c r="B630" t="s">
        <v>1145</v>
      </c>
      <c r="C630" t="s">
        <v>1257</v>
      </c>
      <c r="D630" t="s">
        <v>16</v>
      </c>
      <c r="E630">
        <v>62</v>
      </c>
      <c r="F630" t="s">
        <v>1132</v>
      </c>
      <c r="G630" t="s">
        <v>2443</v>
      </c>
      <c r="H630" t="s">
        <v>2444</v>
      </c>
      <c r="I630" s="2">
        <v>45059</v>
      </c>
      <c r="J630" t="s">
        <v>1121</v>
      </c>
      <c r="K630" t="s">
        <v>526</v>
      </c>
      <c r="L630" t="s">
        <v>525</v>
      </c>
      <c r="M630" t="s">
        <v>2180</v>
      </c>
      <c r="N630" t="s">
        <v>2181</v>
      </c>
      <c r="O630" t="s">
        <v>2182</v>
      </c>
    </row>
    <row r="631" spans="1:15" ht="15.75">
      <c r="A631" t="s">
        <v>655</v>
      </c>
      <c r="B631" t="s">
        <v>1241</v>
      </c>
      <c r="C631" t="s">
        <v>1257</v>
      </c>
      <c r="D631" t="s">
        <v>16</v>
      </c>
      <c r="E631">
        <v>42</v>
      </c>
      <c r="F631" t="s">
        <v>1139</v>
      </c>
      <c r="G631" t="s">
        <v>2445</v>
      </c>
      <c r="H631" t="s">
        <v>2446</v>
      </c>
      <c r="I631" s="2">
        <v>44361</v>
      </c>
      <c r="J631" t="s">
        <v>1128</v>
      </c>
      <c r="K631" t="s">
        <v>526</v>
      </c>
      <c r="L631" t="s">
        <v>525</v>
      </c>
      <c r="M631" t="s">
        <v>2185</v>
      </c>
      <c r="N631" t="s">
        <v>2181</v>
      </c>
      <c r="O631" t="s">
        <v>2186</v>
      </c>
    </row>
    <row r="632" spans="1:15" ht="15.75">
      <c r="A632" t="s">
        <v>656</v>
      </c>
      <c r="B632" t="s">
        <v>1151</v>
      </c>
      <c r="C632" t="s">
        <v>1257</v>
      </c>
      <c r="D632" t="s">
        <v>16</v>
      </c>
      <c r="E632">
        <v>56</v>
      </c>
      <c r="F632" t="s">
        <v>1132</v>
      </c>
      <c r="G632" t="s">
        <v>2447</v>
      </c>
      <c r="H632" t="s">
        <v>2448</v>
      </c>
      <c r="I632" s="2">
        <v>44757</v>
      </c>
      <c r="J632" t="s">
        <v>1135</v>
      </c>
      <c r="K632" t="s">
        <v>526</v>
      </c>
      <c r="L632" t="s">
        <v>525</v>
      </c>
      <c r="M632" t="s">
        <v>2189</v>
      </c>
      <c r="N632" t="s">
        <v>2181</v>
      </c>
      <c r="O632" t="s">
        <v>2190</v>
      </c>
    </row>
    <row r="633" spans="1:15" ht="15.75">
      <c r="A633" t="s">
        <v>657</v>
      </c>
      <c r="B633" t="s">
        <v>1246</v>
      </c>
      <c r="C633" t="s">
        <v>1257</v>
      </c>
      <c r="D633" t="s">
        <v>21</v>
      </c>
      <c r="E633">
        <v>26</v>
      </c>
      <c r="F633" t="s">
        <v>1118</v>
      </c>
      <c r="G633" t="s">
        <v>2449</v>
      </c>
      <c r="H633" t="s">
        <v>2450</v>
      </c>
      <c r="I633" s="2">
        <v>45154</v>
      </c>
      <c r="J633" t="s">
        <v>1142</v>
      </c>
      <c r="K633" t="s">
        <v>526</v>
      </c>
      <c r="L633" t="s">
        <v>525</v>
      </c>
      <c r="M633" t="s">
        <v>2193</v>
      </c>
      <c r="N633" t="s">
        <v>2181</v>
      </c>
      <c r="O633" t="s">
        <v>2194</v>
      </c>
    </row>
    <row r="634" spans="1:15" ht="15.75">
      <c r="A634" t="s">
        <v>658</v>
      </c>
      <c r="B634" t="s">
        <v>1157</v>
      </c>
      <c r="C634" t="s">
        <v>1257</v>
      </c>
      <c r="D634" t="s">
        <v>16</v>
      </c>
      <c r="E634">
        <v>39</v>
      </c>
      <c r="F634" t="s">
        <v>1139</v>
      </c>
      <c r="G634" t="s">
        <v>2451</v>
      </c>
      <c r="H634" t="s">
        <v>2452</v>
      </c>
      <c r="I634" s="2">
        <v>44456</v>
      </c>
      <c r="J634" t="s">
        <v>1121</v>
      </c>
      <c r="K634" t="s">
        <v>526</v>
      </c>
      <c r="L634" t="s">
        <v>525</v>
      </c>
      <c r="M634" t="s">
        <v>2180</v>
      </c>
      <c r="N634" t="s">
        <v>2181</v>
      </c>
      <c r="O634" t="s">
        <v>2182</v>
      </c>
    </row>
    <row r="635" spans="1:15" ht="15.75">
      <c r="A635" t="s">
        <v>659</v>
      </c>
      <c r="B635" t="s">
        <v>1194</v>
      </c>
      <c r="C635" t="s">
        <v>1257</v>
      </c>
      <c r="D635" t="s">
        <v>16</v>
      </c>
      <c r="E635">
        <v>60</v>
      </c>
      <c r="F635" t="s">
        <v>1132</v>
      </c>
      <c r="G635" t="s">
        <v>2453</v>
      </c>
      <c r="H635" t="s">
        <v>2454</v>
      </c>
      <c r="I635" s="2">
        <v>44852</v>
      </c>
      <c r="J635" t="s">
        <v>1128</v>
      </c>
      <c r="K635" t="s">
        <v>526</v>
      </c>
      <c r="L635" t="s">
        <v>525</v>
      </c>
      <c r="M635" t="s">
        <v>2185</v>
      </c>
      <c r="N635" t="s">
        <v>2181</v>
      </c>
      <c r="O635" t="s">
        <v>2186</v>
      </c>
    </row>
    <row r="636" spans="1:15" ht="15.75">
      <c r="A636" t="s">
        <v>660</v>
      </c>
      <c r="B636" t="s">
        <v>1197</v>
      </c>
      <c r="C636" t="s">
        <v>1257</v>
      </c>
      <c r="D636" t="s">
        <v>21</v>
      </c>
      <c r="E636">
        <v>63</v>
      </c>
      <c r="F636" t="s">
        <v>1132</v>
      </c>
      <c r="G636" t="s">
        <v>2455</v>
      </c>
      <c r="H636" t="s">
        <v>2456</v>
      </c>
      <c r="I636" s="2">
        <v>45249</v>
      </c>
      <c r="J636" t="s">
        <v>1135</v>
      </c>
      <c r="K636" t="s">
        <v>526</v>
      </c>
      <c r="L636" t="s">
        <v>525</v>
      </c>
      <c r="M636" t="s">
        <v>2189</v>
      </c>
      <c r="N636" t="s">
        <v>2181</v>
      </c>
      <c r="O636" t="s">
        <v>2190</v>
      </c>
    </row>
    <row r="637" spans="1:15" ht="15.75">
      <c r="A637" t="s">
        <v>661</v>
      </c>
      <c r="B637" t="s">
        <v>1200</v>
      </c>
      <c r="C637" t="s">
        <v>1257</v>
      </c>
      <c r="D637" t="s">
        <v>21</v>
      </c>
      <c r="E637">
        <v>21</v>
      </c>
      <c r="F637" t="s">
        <v>1164</v>
      </c>
      <c r="G637" t="s">
        <v>2457</v>
      </c>
      <c r="H637" t="s">
        <v>2458</v>
      </c>
      <c r="I637" s="2">
        <v>44550</v>
      </c>
      <c r="J637" t="s">
        <v>1142</v>
      </c>
      <c r="K637" t="s">
        <v>526</v>
      </c>
      <c r="L637" t="s">
        <v>525</v>
      </c>
      <c r="M637" t="s">
        <v>2193</v>
      </c>
      <c r="N637" t="s">
        <v>2181</v>
      </c>
      <c r="O637" t="s">
        <v>2194</v>
      </c>
    </row>
    <row r="638" spans="1:15" ht="15.75">
      <c r="A638" t="s">
        <v>662</v>
      </c>
      <c r="B638" t="s">
        <v>1116</v>
      </c>
      <c r="C638" t="s">
        <v>1282</v>
      </c>
      <c r="D638" t="s">
        <v>16</v>
      </c>
      <c r="E638">
        <v>43</v>
      </c>
      <c r="F638" t="s">
        <v>1139</v>
      </c>
      <c r="G638" t="s">
        <v>2459</v>
      </c>
      <c r="H638" t="s">
        <v>2460</v>
      </c>
      <c r="I638" s="2">
        <v>44582</v>
      </c>
      <c r="J638" t="s">
        <v>1121</v>
      </c>
      <c r="K638" t="s">
        <v>526</v>
      </c>
      <c r="L638" t="s">
        <v>525</v>
      </c>
      <c r="M638" t="s">
        <v>2180</v>
      </c>
      <c r="N638" t="s">
        <v>2181</v>
      </c>
      <c r="O638" t="s">
        <v>2182</v>
      </c>
    </row>
    <row r="639" spans="1:15" ht="15.75">
      <c r="A639" t="s">
        <v>663</v>
      </c>
      <c r="B639" t="s">
        <v>1173</v>
      </c>
      <c r="C639" t="s">
        <v>1282</v>
      </c>
      <c r="D639" t="s">
        <v>16</v>
      </c>
      <c r="E639">
        <v>46</v>
      </c>
      <c r="F639" t="s">
        <v>1132</v>
      </c>
      <c r="G639" t="s">
        <v>2461</v>
      </c>
      <c r="H639" t="s">
        <v>2462</v>
      </c>
      <c r="I639" s="2">
        <v>44979</v>
      </c>
      <c r="J639" t="s">
        <v>1128</v>
      </c>
      <c r="K639" t="s">
        <v>526</v>
      </c>
      <c r="L639" t="s">
        <v>525</v>
      </c>
      <c r="M639" t="s">
        <v>2185</v>
      </c>
      <c r="N639" t="s">
        <v>2181</v>
      </c>
      <c r="O639" t="s">
        <v>2186</v>
      </c>
    </row>
    <row r="640" spans="1:15" ht="15.75">
      <c r="A640" t="s">
        <v>664</v>
      </c>
      <c r="B640" t="s">
        <v>1176</v>
      </c>
      <c r="C640" t="s">
        <v>1282</v>
      </c>
      <c r="D640" t="s">
        <v>21</v>
      </c>
      <c r="E640">
        <v>62</v>
      </c>
      <c r="F640" t="s">
        <v>1132</v>
      </c>
      <c r="G640" t="s">
        <v>2463</v>
      </c>
      <c r="H640" t="s">
        <v>2464</v>
      </c>
      <c r="I640" s="2">
        <v>44278</v>
      </c>
      <c r="J640" t="s">
        <v>1135</v>
      </c>
      <c r="K640" t="s">
        <v>526</v>
      </c>
      <c r="L640" t="s">
        <v>525</v>
      </c>
      <c r="M640" t="s">
        <v>2189</v>
      </c>
      <c r="N640" t="s">
        <v>2181</v>
      </c>
      <c r="O640" t="s">
        <v>2190</v>
      </c>
    </row>
    <row r="641" spans="1:15" ht="15.75">
      <c r="A641" t="s">
        <v>665</v>
      </c>
      <c r="B641" t="s">
        <v>1211</v>
      </c>
      <c r="C641" t="s">
        <v>1282</v>
      </c>
      <c r="D641" t="s">
        <v>21</v>
      </c>
      <c r="E641">
        <v>51</v>
      </c>
      <c r="F641" t="s">
        <v>1132</v>
      </c>
      <c r="G641" t="s">
        <v>2465</v>
      </c>
      <c r="H641" t="s">
        <v>2466</v>
      </c>
      <c r="I641" s="2">
        <v>44675</v>
      </c>
      <c r="J641" t="s">
        <v>1142</v>
      </c>
      <c r="K641" t="s">
        <v>526</v>
      </c>
      <c r="L641" t="s">
        <v>525</v>
      </c>
      <c r="M641" t="s">
        <v>2193</v>
      </c>
      <c r="N641" t="s">
        <v>2181</v>
      </c>
      <c r="O641" t="s">
        <v>2194</v>
      </c>
    </row>
    <row r="642" spans="1:15" ht="15.75">
      <c r="A642" t="s">
        <v>666</v>
      </c>
      <c r="B642" t="s">
        <v>1181</v>
      </c>
      <c r="C642" t="s">
        <v>1282</v>
      </c>
      <c r="D642" t="s">
        <v>21</v>
      </c>
      <c r="E642">
        <v>40</v>
      </c>
      <c r="F642" t="s">
        <v>1139</v>
      </c>
      <c r="G642" t="s">
        <v>2467</v>
      </c>
      <c r="H642" t="s">
        <v>2468</v>
      </c>
      <c r="I642" s="2">
        <v>45071</v>
      </c>
      <c r="J642" t="s">
        <v>1121</v>
      </c>
      <c r="K642" t="s">
        <v>526</v>
      </c>
      <c r="L642" t="s">
        <v>525</v>
      </c>
      <c r="M642" t="s">
        <v>2180</v>
      </c>
      <c r="N642" t="s">
        <v>2181</v>
      </c>
      <c r="O642" t="s">
        <v>2182</v>
      </c>
    </row>
    <row r="643" spans="1:15" ht="15.75">
      <c r="A643" t="s">
        <v>667</v>
      </c>
      <c r="B643" t="s">
        <v>1148</v>
      </c>
      <c r="C643" t="s">
        <v>1282</v>
      </c>
      <c r="D643" t="s">
        <v>21</v>
      </c>
      <c r="E643">
        <v>54</v>
      </c>
      <c r="F643" t="s">
        <v>1132</v>
      </c>
      <c r="G643" t="s">
        <v>2469</v>
      </c>
      <c r="H643" t="s">
        <v>2470</v>
      </c>
      <c r="I643" s="2">
        <v>44373</v>
      </c>
      <c r="J643" t="s">
        <v>1128</v>
      </c>
      <c r="K643" t="s">
        <v>526</v>
      </c>
      <c r="L643" t="s">
        <v>525</v>
      </c>
      <c r="M643" t="s">
        <v>2185</v>
      </c>
      <c r="N643" t="s">
        <v>2181</v>
      </c>
      <c r="O643" t="s">
        <v>2186</v>
      </c>
    </row>
    <row r="644" spans="1:15" ht="15.75">
      <c r="A644" t="s">
        <v>668</v>
      </c>
      <c r="B644" t="s">
        <v>1186</v>
      </c>
      <c r="C644" t="s">
        <v>1282</v>
      </c>
      <c r="D644" t="s">
        <v>21</v>
      </c>
      <c r="E644">
        <v>28</v>
      </c>
      <c r="F644" t="s">
        <v>1118</v>
      </c>
      <c r="G644" t="s">
        <v>2471</v>
      </c>
      <c r="H644" t="s">
        <v>2472</v>
      </c>
      <c r="I644" s="2">
        <v>44769</v>
      </c>
      <c r="J644" t="s">
        <v>1135</v>
      </c>
      <c r="K644" t="s">
        <v>526</v>
      </c>
      <c r="L644" t="s">
        <v>525</v>
      </c>
      <c r="M644" t="s">
        <v>2189</v>
      </c>
      <c r="N644" t="s">
        <v>2181</v>
      </c>
      <c r="O644" t="s">
        <v>2190</v>
      </c>
    </row>
    <row r="645" spans="1:15" ht="15.75">
      <c r="A645" t="s">
        <v>669</v>
      </c>
      <c r="B645" t="s">
        <v>1154</v>
      </c>
      <c r="C645" t="s">
        <v>1282</v>
      </c>
      <c r="D645" t="s">
        <v>16</v>
      </c>
      <c r="E645">
        <v>23</v>
      </c>
      <c r="F645" t="s">
        <v>1164</v>
      </c>
      <c r="G645" t="s">
        <v>2473</v>
      </c>
      <c r="H645" t="s">
        <v>2474</v>
      </c>
      <c r="I645" s="2">
        <v>45166</v>
      </c>
      <c r="J645" t="s">
        <v>1142</v>
      </c>
      <c r="K645" t="s">
        <v>526</v>
      </c>
      <c r="L645" t="s">
        <v>525</v>
      </c>
      <c r="M645" t="s">
        <v>2193</v>
      </c>
      <c r="N645" t="s">
        <v>2181</v>
      </c>
      <c r="O645" t="s">
        <v>2194</v>
      </c>
    </row>
    <row r="646" spans="1:15" ht="15.75">
      <c r="A646" t="s">
        <v>670</v>
      </c>
      <c r="B646" t="s">
        <v>1191</v>
      </c>
      <c r="C646" t="s">
        <v>1282</v>
      </c>
      <c r="D646" t="s">
        <v>21</v>
      </c>
      <c r="E646">
        <v>35</v>
      </c>
      <c r="F646" t="s">
        <v>1118</v>
      </c>
      <c r="G646" t="s">
        <v>2475</v>
      </c>
      <c r="H646" t="s">
        <v>2476</v>
      </c>
      <c r="I646" s="2">
        <v>44440</v>
      </c>
      <c r="J646" t="s">
        <v>1121</v>
      </c>
      <c r="K646" t="s">
        <v>526</v>
      </c>
      <c r="L646" t="s">
        <v>525</v>
      </c>
      <c r="M646" t="s">
        <v>2180</v>
      </c>
      <c r="N646" t="s">
        <v>2181</v>
      </c>
      <c r="O646" t="s">
        <v>2182</v>
      </c>
    </row>
    <row r="647" spans="1:15" ht="15.75">
      <c r="A647" t="s">
        <v>671</v>
      </c>
      <c r="B647" t="s">
        <v>1194</v>
      </c>
      <c r="C647" t="s">
        <v>1282</v>
      </c>
      <c r="D647" t="s">
        <v>16</v>
      </c>
      <c r="E647">
        <v>38</v>
      </c>
      <c r="F647" t="s">
        <v>1139</v>
      </c>
      <c r="G647" t="s">
        <v>2477</v>
      </c>
      <c r="H647" t="s">
        <v>2478</v>
      </c>
      <c r="I647" s="2">
        <v>44836</v>
      </c>
      <c r="J647" t="s">
        <v>1128</v>
      </c>
      <c r="K647" t="s">
        <v>526</v>
      </c>
      <c r="L647" t="s">
        <v>525</v>
      </c>
      <c r="M647" t="s">
        <v>2185</v>
      </c>
      <c r="N647" t="s">
        <v>2181</v>
      </c>
      <c r="O647" t="s">
        <v>2186</v>
      </c>
    </row>
    <row r="648" spans="1:15" ht="15.75">
      <c r="A648" t="s">
        <v>672</v>
      </c>
      <c r="B648" t="s">
        <v>1163</v>
      </c>
      <c r="C648" t="s">
        <v>1282</v>
      </c>
      <c r="D648" t="s">
        <v>16</v>
      </c>
      <c r="E648">
        <v>59</v>
      </c>
      <c r="F648" t="s">
        <v>1132</v>
      </c>
      <c r="G648" t="s">
        <v>2479</v>
      </c>
      <c r="H648" t="s">
        <v>2480</v>
      </c>
      <c r="I648" s="2">
        <v>45233</v>
      </c>
      <c r="J648" t="s">
        <v>1135</v>
      </c>
      <c r="K648" t="s">
        <v>526</v>
      </c>
      <c r="L648" t="s">
        <v>525</v>
      </c>
      <c r="M648" t="s">
        <v>2189</v>
      </c>
      <c r="N648" t="s">
        <v>2181</v>
      </c>
      <c r="O648" t="s">
        <v>2190</v>
      </c>
    </row>
    <row r="649" spans="1:15" ht="15.75">
      <c r="A649" t="s">
        <v>673</v>
      </c>
      <c r="B649" t="s">
        <v>1167</v>
      </c>
      <c r="C649" t="s">
        <v>1282</v>
      </c>
      <c r="D649" t="s">
        <v>16</v>
      </c>
      <c r="E649">
        <v>53</v>
      </c>
      <c r="F649" t="s">
        <v>1132</v>
      </c>
      <c r="G649" t="s">
        <v>2481</v>
      </c>
      <c r="H649" t="s">
        <v>2482</v>
      </c>
      <c r="I649" s="2">
        <v>44534</v>
      </c>
      <c r="J649" t="s">
        <v>1142</v>
      </c>
      <c r="K649" t="s">
        <v>526</v>
      </c>
      <c r="L649" t="s">
        <v>525</v>
      </c>
      <c r="M649" t="s">
        <v>2193</v>
      </c>
      <c r="N649" t="s">
        <v>2181</v>
      </c>
      <c r="O649" t="s">
        <v>2194</v>
      </c>
    </row>
    <row r="650" spans="1:15" ht="15.75">
      <c r="A650" t="s">
        <v>674</v>
      </c>
      <c r="B650" t="s">
        <v>1203</v>
      </c>
      <c r="C650" t="s">
        <v>1307</v>
      </c>
      <c r="D650" t="s">
        <v>21</v>
      </c>
      <c r="E650">
        <v>58</v>
      </c>
      <c r="F650" t="s">
        <v>1132</v>
      </c>
      <c r="G650" t="s">
        <v>2483</v>
      </c>
      <c r="H650" t="s">
        <v>2484</v>
      </c>
      <c r="I650" s="2">
        <v>44566</v>
      </c>
      <c r="J650" t="s">
        <v>1121</v>
      </c>
      <c r="K650" t="s">
        <v>526</v>
      </c>
      <c r="L650" t="s">
        <v>525</v>
      </c>
      <c r="M650" t="s">
        <v>2180</v>
      </c>
      <c r="N650" t="s">
        <v>2181</v>
      </c>
      <c r="O650" t="s">
        <v>2182</v>
      </c>
    </row>
    <row r="651" spans="1:15" ht="15.75">
      <c r="A651" t="s">
        <v>675</v>
      </c>
      <c r="B651" t="s">
        <v>1173</v>
      </c>
      <c r="C651" t="s">
        <v>1307</v>
      </c>
      <c r="D651" t="s">
        <v>16</v>
      </c>
      <c r="E651">
        <v>55</v>
      </c>
      <c r="F651" t="s">
        <v>1132</v>
      </c>
      <c r="G651" t="s">
        <v>2485</v>
      </c>
      <c r="H651" t="s">
        <v>2486</v>
      </c>
      <c r="I651" s="2">
        <v>44963</v>
      </c>
      <c r="J651" t="s">
        <v>1128</v>
      </c>
      <c r="K651" t="s">
        <v>526</v>
      </c>
      <c r="L651" t="s">
        <v>525</v>
      </c>
      <c r="M651" t="s">
        <v>2185</v>
      </c>
      <c r="N651" t="s">
        <v>2181</v>
      </c>
      <c r="O651" t="s">
        <v>2186</v>
      </c>
    </row>
    <row r="652" spans="1:15" ht="15.75">
      <c r="A652" t="s">
        <v>676</v>
      </c>
      <c r="B652" t="s">
        <v>1131</v>
      </c>
      <c r="C652" t="s">
        <v>1307</v>
      </c>
      <c r="D652" t="s">
        <v>16</v>
      </c>
      <c r="E652">
        <v>51</v>
      </c>
      <c r="F652" t="s">
        <v>1132</v>
      </c>
      <c r="G652" t="s">
        <v>2487</v>
      </c>
      <c r="H652" t="s">
        <v>2488</v>
      </c>
      <c r="I652" s="2">
        <v>44262</v>
      </c>
      <c r="J652" t="s">
        <v>1135</v>
      </c>
      <c r="K652" t="s">
        <v>526</v>
      </c>
      <c r="L652" t="s">
        <v>525</v>
      </c>
      <c r="M652" t="s">
        <v>2189</v>
      </c>
      <c r="N652" t="s">
        <v>2181</v>
      </c>
      <c r="O652" t="s">
        <v>2190</v>
      </c>
    </row>
    <row r="653" spans="1:15" ht="15.75">
      <c r="A653" t="s">
        <v>677</v>
      </c>
      <c r="B653" t="s">
        <v>1211</v>
      </c>
      <c r="C653" t="s">
        <v>1307</v>
      </c>
      <c r="D653" t="s">
        <v>21</v>
      </c>
      <c r="E653">
        <v>34</v>
      </c>
      <c r="F653" t="s">
        <v>1118</v>
      </c>
      <c r="G653" t="s">
        <v>2489</v>
      </c>
      <c r="H653" t="s">
        <v>2490</v>
      </c>
      <c r="I653" s="2">
        <v>44659</v>
      </c>
      <c r="J653" t="s">
        <v>1142</v>
      </c>
      <c r="K653" t="s">
        <v>526</v>
      </c>
      <c r="L653" t="s">
        <v>525</v>
      </c>
      <c r="M653" t="s">
        <v>2193</v>
      </c>
      <c r="N653" t="s">
        <v>2181</v>
      </c>
      <c r="O653" t="s">
        <v>2194</v>
      </c>
    </row>
    <row r="654" spans="1:15" ht="15.75">
      <c r="A654" t="s">
        <v>678</v>
      </c>
      <c r="B654" t="s">
        <v>1145</v>
      </c>
      <c r="C654" t="s">
        <v>1307</v>
      </c>
      <c r="D654" t="s">
        <v>16</v>
      </c>
      <c r="E654">
        <v>54</v>
      </c>
      <c r="F654" t="s">
        <v>1132</v>
      </c>
      <c r="G654" t="s">
        <v>2491</v>
      </c>
      <c r="H654" t="s">
        <v>2492</v>
      </c>
      <c r="I654" s="2">
        <v>45055</v>
      </c>
      <c r="J654" t="s">
        <v>1121</v>
      </c>
      <c r="K654" t="s">
        <v>526</v>
      </c>
      <c r="L654" t="s">
        <v>525</v>
      </c>
      <c r="M654" t="s">
        <v>2180</v>
      </c>
      <c r="N654" t="s">
        <v>2181</v>
      </c>
      <c r="O654" t="s">
        <v>2182</v>
      </c>
    </row>
    <row r="655" spans="1:15" ht="15.75">
      <c r="A655" t="s">
        <v>679</v>
      </c>
      <c r="B655" t="s">
        <v>1241</v>
      </c>
      <c r="C655" t="s">
        <v>1307</v>
      </c>
      <c r="D655" t="s">
        <v>16</v>
      </c>
      <c r="E655">
        <v>42</v>
      </c>
      <c r="F655" t="s">
        <v>1139</v>
      </c>
      <c r="G655" t="s">
        <v>2493</v>
      </c>
      <c r="H655" t="s">
        <v>2494</v>
      </c>
      <c r="I655" s="2">
        <v>44357</v>
      </c>
      <c r="J655" t="s">
        <v>1128</v>
      </c>
      <c r="K655" t="s">
        <v>526</v>
      </c>
      <c r="L655" t="s">
        <v>525</v>
      </c>
      <c r="M655" t="s">
        <v>2185</v>
      </c>
      <c r="N655" t="s">
        <v>2181</v>
      </c>
      <c r="O655" t="s">
        <v>2186</v>
      </c>
    </row>
    <row r="656" spans="1:15" ht="15.75">
      <c r="A656" t="s">
        <v>680</v>
      </c>
      <c r="B656" t="s">
        <v>1186</v>
      </c>
      <c r="C656" t="s">
        <v>1307</v>
      </c>
      <c r="D656" t="s">
        <v>21</v>
      </c>
      <c r="E656">
        <v>55</v>
      </c>
      <c r="F656" t="s">
        <v>1132</v>
      </c>
      <c r="G656" t="s">
        <v>2495</v>
      </c>
      <c r="H656" t="s">
        <v>2496</v>
      </c>
      <c r="I656" s="2">
        <v>44753</v>
      </c>
      <c r="J656" t="s">
        <v>1135</v>
      </c>
      <c r="K656" t="s">
        <v>526</v>
      </c>
      <c r="L656" t="s">
        <v>525</v>
      </c>
      <c r="M656" t="s">
        <v>2189</v>
      </c>
      <c r="N656" t="s">
        <v>2181</v>
      </c>
      <c r="O656" t="s">
        <v>2190</v>
      </c>
    </row>
    <row r="657" spans="1:15" ht="15.75">
      <c r="A657" t="s">
        <v>681</v>
      </c>
      <c r="B657" t="s">
        <v>1154</v>
      </c>
      <c r="C657" t="s">
        <v>1307</v>
      </c>
      <c r="D657" t="s">
        <v>16</v>
      </c>
      <c r="E657">
        <v>29</v>
      </c>
      <c r="F657" t="s">
        <v>1118</v>
      </c>
      <c r="G657" t="s">
        <v>2497</v>
      </c>
      <c r="H657" t="s">
        <v>2498</v>
      </c>
      <c r="I657" s="2">
        <v>45150</v>
      </c>
      <c r="J657" t="s">
        <v>1142</v>
      </c>
      <c r="K657" t="s">
        <v>526</v>
      </c>
      <c r="L657" t="s">
        <v>525</v>
      </c>
      <c r="M657" t="s">
        <v>2193</v>
      </c>
      <c r="N657" t="s">
        <v>2181</v>
      </c>
      <c r="O657" t="s">
        <v>2194</v>
      </c>
    </row>
    <row r="658" spans="1:15" ht="15.75">
      <c r="A658" t="s">
        <v>682</v>
      </c>
      <c r="B658" t="s">
        <v>1157</v>
      </c>
      <c r="C658" t="s">
        <v>1307</v>
      </c>
      <c r="D658" t="s">
        <v>16</v>
      </c>
      <c r="E658">
        <v>40</v>
      </c>
      <c r="F658" t="s">
        <v>1139</v>
      </c>
      <c r="G658" t="s">
        <v>2499</v>
      </c>
      <c r="H658" t="s">
        <v>2500</v>
      </c>
      <c r="I658" s="2">
        <v>44452</v>
      </c>
      <c r="J658" t="s">
        <v>1121</v>
      </c>
      <c r="K658" t="s">
        <v>526</v>
      </c>
      <c r="L658" t="s">
        <v>525</v>
      </c>
      <c r="M658" t="s">
        <v>2180</v>
      </c>
      <c r="N658" t="s">
        <v>2181</v>
      </c>
      <c r="O658" t="s">
        <v>2182</v>
      </c>
    </row>
    <row r="659" spans="1:15" ht="15.75">
      <c r="A659" t="s">
        <v>683</v>
      </c>
      <c r="B659" t="s">
        <v>1194</v>
      </c>
      <c r="C659" t="s">
        <v>1307</v>
      </c>
      <c r="D659" t="s">
        <v>16</v>
      </c>
      <c r="E659">
        <v>59</v>
      </c>
      <c r="F659" t="s">
        <v>1132</v>
      </c>
      <c r="G659" t="s">
        <v>2501</v>
      </c>
      <c r="H659" t="s">
        <v>2502</v>
      </c>
      <c r="I659" s="2">
        <v>44848</v>
      </c>
      <c r="J659" t="s">
        <v>1128</v>
      </c>
      <c r="K659" t="s">
        <v>526</v>
      </c>
      <c r="L659" t="s">
        <v>525</v>
      </c>
      <c r="M659" t="s">
        <v>2185</v>
      </c>
      <c r="N659" t="s">
        <v>2181</v>
      </c>
      <c r="O659" t="s">
        <v>2186</v>
      </c>
    </row>
    <row r="660" spans="1:15" ht="15.75">
      <c r="A660" t="s">
        <v>684</v>
      </c>
      <c r="B660" t="s">
        <v>1197</v>
      </c>
      <c r="C660" t="s">
        <v>1307</v>
      </c>
      <c r="D660" t="s">
        <v>21</v>
      </c>
      <c r="E660">
        <v>39</v>
      </c>
      <c r="F660" t="s">
        <v>1139</v>
      </c>
      <c r="G660" t="s">
        <v>2503</v>
      </c>
      <c r="H660" t="s">
        <v>2504</v>
      </c>
      <c r="I660" s="2">
        <v>45245</v>
      </c>
      <c r="J660" t="s">
        <v>1135</v>
      </c>
      <c r="K660" t="s">
        <v>526</v>
      </c>
      <c r="L660" t="s">
        <v>525</v>
      </c>
      <c r="M660" t="s">
        <v>2189</v>
      </c>
      <c r="N660" t="s">
        <v>2181</v>
      </c>
      <c r="O660" t="s">
        <v>2190</v>
      </c>
    </row>
    <row r="661" spans="1:15" ht="15.75">
      <c r="A661" t="s">
        <v>685</v>
      </c>
      <c r="B661" t="s">
        <v>1200</v>
      </c>
      <c r="C661" t="s">
        <v>1307</v>
      </c>
      <c r="D661" t="s">
        <v>21</v>
      </c>
      <c r="E661">
        <v>38</v>
      </c>
      <c r="F661" t="s">
        <v>1139</v>
      </c>
      <c r="G661" t="s">
        <v>2505</v>
      </c>
      <c r="H661" t="s">
        <v>2506</v>
      </c>
      <c r="I661" s="2">
        <v>44546</v>
      </c>
      <c r="J661" t="s">
        <v>1142</v>
      </c>
      <c r="K661" t="s">
        <v>526</v>
      </c>
      <c r="L661" t="s">
        <v>525</v>
      </c>
      <c r="M661" t="s">
        <v>2193</v>
      </c>
      <c r="N661" t="s">
        <v>2181</v>
      </c>
      <c r="O661" t="s">
        <v>2194</v>
      </c>
    </row>
    <row r="662" spans="1:15" ht="15.75">
      <c r="A662" t="s">
        <v>686</v>
      </c>
      <c r="B662" t="s">
        <v>1203</v>
      </c>
      <c r="C662" t="s">
        <v>1332</v>
      </c>
      <c r="D662" t="s">
        <v>21</v>
      </c>
      <c r="E662">
        <v>44</v>
      </c>
      <c r="F662" t="s">
        <v>1139</v>
      </c>
      <c r="G662" t="s">
        <v>2507</v>
      </c>
      <c r="H662" t="s">
        <v>2508</v>
      </c>
      <c r="I662" s="2">
        <v>44578</v>
      </c>
      <c r="J662" t="s">
        <v>1121</v>
      </c>
      <c r="K662" t="s">
        <v>526</v>
      </c>
      <c r="L662" t="s">
        <v>525</v>
      </c>
      <c r="M662" t="s">
        <v>2180</v>
      </c>
      <c r="N662" t="s">
        <v>2181</v>
      </c>
      <c r="O662" t="s">
        <v>2182</v>
      </c>
    </row>
    <row r="663" spans="1:15" ht="15.75">
      <c r="A663" t="s">
        <v>687</v>
      </c>
      <c r="B663" t="s">
        <v>1173</v>
      </c>
      <c r="C663" t="s">
        <v>1332</v>
      </c>
      <c r="D663" t="s">
        <v>16</v>
      </c>
      <c r="E663">
        <v>48</v>
      </c>
      <c r="F663" t="s">
        <v>1132</v>
      </c>
      <c r="G663" t="s">
        <v>2509</v>
      </c>
      <c r="H663" t="s">
        <v>2510</v>
      </c>
      <c r="I663" s="2">
        <v>44975</v>
      </c>
      <c r="J663" t="s">
        <v>1128</v>
      </c>
      <c r="K663" t="s">
        <v>526</v>
      </c>
      <c r="L663" t="s">
        <v>525</v>
      </c>
      <c r="M663" t="s">
        <v>2185</v>
      </c>
      <c r="N663" t="s">
        <v>2181</v>
      </c>
      <c r="O663" t="s">
        <v>2186</v>
      </c>
    </row>
    <row r="664" spans="1:15" ht="15.75">
      <c r="A664" t="s">
        <v>688</v>
      </c>
      <c r="B664" t="s">
        <v>1131</v>
      </c>
      <c r="C664" t="s">
        <v>1332</v>
      </c>
      <c r="D664" t="s">
        <v>16</v>
      </c>
      <c r="E664">
        <v>23</v>
      </c>
      <c r="F664" t="s">
        <v>1164</v>
      </c>
      <c r="G664" t="s">
        <v>2511</v>
      </c>
      <c r="H664" t="s">
        <v>2512</v>
      </c>
      <c r="I664" s="2">
        <v>44274</v>
      </c>
      <c r="J664" t="s">
        <v>1135</v>
      </c>
      <c r="K664" t="s">
        <v>526</v>
      </c>
      <c r="L664" t="s">
        <v>525</v>
      </c>
      <c r="M664" t="s">
        <v>2189</v>
      </c>
      <c r="N664" t="s">
        <v>2181</v>
      </c>
      <c r="O664" t="s">
        <v>2190</v>
      </c>
    </row>
    <row r="665" spans="1:15" ht="15.75">
      <c r="A665" t="s">
        <v>689</v>
      </c>
      <c r="B665" t="s">
        <v>1211</v>
      </c>
      <c r="C665" t="s">
        <v>1332</v>
      </c>
      <c r="D665" t="s">
        <v>21</v>
      </c>
      <c r="E665">
        <v>44</v>
      </c>
      <c r="F665" t="s">
        <v>1139</v>
      </c>
      <c r="G665" t="s">
        <v>2513</v>
      </c>
      <c r="H665" t="s">
        <v>2514</v>
      </c>
      <c r="I665" s="2">
        <v>44671</v>
      </c>
      <c r="J665" t="s">
        <v>1142</v>
      </c>
      <c r="K665" t="s">
        <v>526</v>
      </c>
      <c r="L665" t="s">
        <v>525</v>
      </c>
      <c r="M665" t="s">
        <v>2193</v>
      </c>
      <c r="N665" t="s">
        <v>2181</v>
      </c>
      <c r="O665" t="s">
        <v>2194</v>
      </c>
    </row>
    <row r="666" spans="1:15" ht="15.75">
      <c r="A666" t="s">
        <v>690</v>
      </c>
      <c r="B666" t="s">
        <v>1145</v>
      </c>
      <c r="C666" t="s">
        <v>1332</v>
      </c>
      <c r="D666" t="s">
        <v>16</v>
      </c>
      <c r="E666">
        <v>57</v>
      </c>
      <c r="F666" t="s">
        <v>1132</v>
      </c>
      <c r="G666" t="s">
        <v>2515</v>
      </c>
      <c r="H666" t="s">
        <v>2516</v>
      </c>
      <c r="I666" s="2">
        <v>45067</v>
      </c>
      <c r="J666" t="s">
        <v>1121</v>
      </c>
      <c r="K666" t="s">
        <v>526</v>
      </c>
      <c r="L666" t="s">
        <v>525</v>
      </c>
      <c r="M666" t="s">
        <v>2180</v>
      </c>
      <c r="N666" t="s">
        <v>2181</v>
      </c>
      <c r="O666" t="s">
        <v>2182</v>
      </c>
    </row>
    <row r="667" spans="1:15" ht="15.75">
      <c r="A667" t="s">
        <v>691</v>
      </c>
      <c r="B667" t="s">
        <v>1241</v>
      </c>
      <c r="C667" t="s">
        <v>1332</v>
      </c>
      <c r="D667" t="s">
        <v>16</v>
      </c>
      <c r="E667">
        <v>51</v>
      </c>
      <c r="F667" t="s">
        <v>1132</v>
      </c>
      <c r="G667" t="s">
        <v>2517</v>
      </c>
      <c r="H667" t="s">
        <v>2518</v>
      </c>
      <c r="I667" s="2">
        <v>44369</v>
      </c>
      <c r="J667" t="s">
        <v>1128</v>
      </c>
      <c r="K667" t="s">
        <v>526</v>
      </c>
      <c r="L667" t="s">
        <v>525</v>
      </c>
      <c r="M667" t="s">
        <v>2185</v>
      </c>
      <c r="N667" t="s">
        <v>2181</v>
      </c>
      <c r="O667" t="s">
        <v>2186</v>
      </c>
    </row>
    <row r="668" spans="1:15" ht="15.75">
      <c r="A668" t="s">
        <v>692</v>
      </c>
      <c r="B668" t="s">
        <v>1186</v>
      </c>
      <c r="C668" t="s">
        <v>1332</v>
      </c>
      <c r="D668" t="s">
        <v>21</v>
      </c>
      <c r="E668">
        <v>29</v>
      </c>
      <c r="F668" t="s">
        <v>1118</v>
      </c>
      <c r="G668" t="s">
        <v>2519</v>
      </c>
      <c r="H668" t="s">
        <v>2520</v>
      </c>
      <c r="I668" s="2">
        <v>44765</v>
      </c>
      <c r="J668" t="s">
        <v>1135</v>
      </c>
      <c r="K668" t="s">
        <v>526</v>
      </c>
      <c r="L668" t="s">
        <v>525</v>
      </c>
      <c r="M668" t="s">
        <v>2189</v>
      </c>
      <c r="N668" t="s">
        <v>2181</v>
      </c>
      <c r="O668" t="s">
        <v>2190</v>
      </c>
    </row>
    <row r="669" spans="1:15" ht="15.75">
      <c r="A669" t="s">
        <v>693</v>
      </c>
      <c r="B669" t="s">
        <v>1246</v>
      </c>
      <c r="C669" t="s">
        <v>1332</v>
      </c>
      <c r="D669" t="s">
        <v>21</v>
      </c>
      <c r="E669">
        <v>62</v>
      </c>
      <c r="F669" t="s">
        <v>1132</v>
      </c>
      <c r="G669" t="s">
        <v>2521</v>
      </c>
      <c r="H669" t="s">
        <v>2522</v>
      </c>
      <c r="I669" s="2">
        <v>45162</v>
      </c>
      <c r="J669" t="s">
        <v>1142</v>
      </c>
      <c r="K669" t="s">
        <v>526</v>
      </c>
      <c r="L669" t="s">
        <v>525</v>
      </c>
      <c r="M669" t="s">
        <v>2193</v>
      </c>
      <c r="N669" t="s">
        <v>2181</v>
      </c>
      <c r="O669" t="s">
        <v>2194</v>
      </c>
    </row>
    <row r="670" spans="1:15" ht="15.75">
      <c r="A670" t="s">
        <v>694</v>
      </c>
      <c r="B670" t="s">
        <v>1157</v>
      </c>
      <c r="C670" t="s">
        <v>1332</v>
      </c>
      <c r="D670" t="s">
        <v>16</v>
      </c>
      <c r="E670">
        <v>24</v>
      </c>
      <c r="F670" t="s">
        <v>1164</v>
      </c>
      <c r="G670" t="s">
        <v>2523</v>
      </c>
      <c r="H670" t="s">
        <v>2524</v>
      </c>
      <c r="I670" s="2">
        <v>44464</v>
      </c>
      <c r="J670" t="s">
        <v>1121</v>
      </c>
      <c r="K670" t="s">
        <v>526</v>
      </c>
      <c r="L670" t="s">
        <v>525</v>
      </c>
      <c r="M670" t="s">
        <v>2180</v>
      </c>
      <c r="N670" t="s">
        <v>2181</v>
      </c>
      <c r="O670" t="s">
        <v>2182</v>
      </c>
    </row>
    <row r="671" spans="1:15" ht="15.75">
      <c r="A671" t="s">
        <v>695</v>
      </c>
      <c r="B671" t="s">
        <v>1194</v>
      </c>
      <c r="C671" t="s">
        <v>1332</v>
      </c>
      <c r="D671" t="s">
        <v>16</v>
      </c>
      <c r="E671">
        <v>27</v>
      </c>
      <c r="F671" t="s">
        <v>1118</v>
      </c>
      <c r="G671" t="s">
        <v>2525</v>
      </c>
      <c r="H671" t="s">
        <v>2526</v>
      </c>
      <c r="I671" s="2">
        <v>44860</v>
      </c>
      <c r="J671" t="s">
        <v>1128</v>
      </c>
      <c r="K671" t="s">
        <v>526</v>
      </c>
      <c r="L671" t="s">
        <v>525</v>
      </c>
      <c r="M671" t="s">
        <v>2185</v>
      </c>
      <c r="N671" t="s">
        <v>2181</v>
      </c>
      <c r="O671" t="s">
        <v>2186</v>
      </c>
    </row>
    <row r="672" spans="1:15" ht="15.75">
      <c r="A672" t="s">
        <v>696</v>
      </c>
      <c r="B672" t="s">
        <v>1163</v>
      </c>
      <c r="C672" t="s">
        <v>1332</v>
      </c>
      <c r="D672" t="s">
        <v>16</v>
      </c>
      <c r="E672">
        <v>62</v>
      </c>
      <c r="F672" t="s">
        <v>1132</v>
      </c>
      <c r="G672" t="s">
        <v>2527</v>
      </c>
      <c r="H672" t="s">
        <v>2528</v>
      </c>
      <c r="I672" s="2">
        <v>45257</v>
      </c>
      <c r="J672" t="s">
        <v>1135</v>
      </c>
      <c r="K672" t="s">
        <v>526</v>
      </c>
      <c r="L672" t="s">
        <v>525</v>
      </c>
      <c r="M672" t="s">
        <v>2189</v>
      </c>
      <c r="N672" t="s">
        <v>2181</v>
      </c>
      <c r="O672" t="s">
        <v>2190</v>
      </c>
    </row>
    <row r="673" spans="1:15" ht="15.75">
      <c r="A673" t="s">
        <v>697</v>
      </c>
      <c r="B673" t="s">
        <v>1200</v>
      </c>
      <c r="C673" t="s">
        <v>1332</v>
      </c>
      <c r="D673" t="s">
        <v>21</v>
      </c>
      <c r="E673">
        <v>34</v>
      </c>
      <c r="F673" t="s">
        <v>1118</v>
      </c>
      <c r="G673" t="s">
        <v>2529</v>
      </c>
      <c r="H673" t="s">
        <v>2530</v>
      </c>
      <c r="I673" s="2">
        <v>44558</v>
      </c>
      <c r="J673" t="s">
        <v>1142</v>
      </c>
      <c r="K673" t="s">
        <v>526</v>
      </c>
      <c r="L673" t="s">
        <v>525</v>
      </c>
      <c r="M673" t="s">
        <v>2193</v>
      </c>
      <c r="N673" t="s">
        <v>2181</v>
      </c>
      <c r="O673" t="s">
        <v>2194</v>
      </c>
    </row>
    <row r="674" spans="1:15" ht="15.75">
      <c r="A674" t="s">
        <v>698</v>
      </c>
      <c r="B674" t="s">
        <v>1203</v>
      </c>
      <c r="C674" t="s">
        <v>1357</v>
      </c>
      <c r="D674" t="s">
        <v>21</v>
      </c>
      <c r="E674">
        <v>43</v>
      </c>
      <c r="F674" t="s">
        <v>1139</v>
      </c>
      <c r="G674" t="s">
        <v>2531</v>
      </c>
      <c r="H674" t="s">
        <v>2532</v>
      </c>
      <c r="I674" s="2">
        <v>44562</v>
      </c>
      <c r="J674" t="s">
        <v>1121</v>
      </c>
      <c r="K674" t="s">
        <v>526</v>
      </c>
      <c r="L674" t="s">
        <v>525</v>
      </c>
      <c r="M674" t="s">
        <v>2180</v>
      </c>
      <c r="N674" t="s">
        <v>2181</v>
      </c>
      <c r="O674" t="s">
        <v>2182</v>
      </c>
    </row>
    <row r="675" spans="1:15" ht="15.75">
      <c r="A675" t="s">
        <v>699</v>
      </c>
      <c r="B675" t="s">
        <v>1125</v>
      </c>
      <c r="C675" t="s">
        <v>1357</v>
      </c>
      <c r="D675" t="s">
        <v>21</v>
      </c>
      <c r="E675">
        <v>38</v>
      </c>
      <c r="F675" t="s">
        <v>1139</v>
      </c>
      <c r="G675" t="s">
        <v>2533</v>
      </c>
      <c r="H675" t="s">
        <v>2534</v>
      </c>
      <c r="I675" s="2">
        <v>44959</v>
      </c>
      <c r="J675" t="s">
        <v>1128</v>
      </c>
      <c r="K675" t="s">
        <v>526</v>
      </c>
      <c r="L675" t="s">
        <v>525</v>
      </c>
      <c r="M675" t="s">
        <v>2185</v>
      </c>
      <c r="N675" t="s">
        <v>2181</v>
      </c>
      <c r="O675" t="s">
        <v>2186</v>
      </c>
    </row>
    <row r="676" spans="1:15" ht="15.75">
      <c r="A676" t="s">
        <v>700</v>
      </c>
      <c r="B676" t="s">
        <v>1176</v>
      </c>
      <c r="C676" t="s">
        <v>1357</v>
      </c>
      <c r="D676" t="s">
        <v>21</v>
      </c>
      <c r="E676">
        <v>45</v>
      </c>
      <c r="F676" t="s">
        <v>1139</v>
      </c>
      <c r="G676" t="s">
        <v>2535</v>
      </c>
      <c r="H676" t="s">
        <v>2536</v>
      </c>
      <c r="I676" s="2">
        <v>44258</v>
      </c>
      <c r="J676" t="s">
        <v>1135</v>
      </c>
      <c r="K676" t="s">
        <v>526</v>
      </c>
      <c r="L676" t="s">
        <v>525</v>
      </c>
      <c r="M676" t="s">
        <v>2189</v>
      </c>
      <c r="N676" t="s">
        <v>2181</v>
      </c>
      <c r="O676" t="s">
        <v>2190</v>
      </c>
    </row>
    <row r="677" spans="1:15" ht="15.75">
      <c r="A677" t="s">
        <v>701</v>
      </c>
      <c r="B677" t="s">
        <v>1138</v>
      </c>
      <c r="C677" t="s">
        <v>1357</v>
      </c>
      <c r="D677" t="s">
        <v>16</v>
      </c>
      <c r="E677">
        <v>63</v>
      </c>
      <c r="F677" t="s">
        <v>1132</v>
      </c>
      <c r="G677" t="s">
        <v>2537</v>
      </c>
      <c r="H677" t="s">
        <v>2538</v>
      </c>
      <c r="I677" s="2">
        <v>44655</v>
      </c>
      <c r="J677" t="s">
        <v>1142</v>
      </c>
      <c r="K677" t="s">
        <v>526</v>
      </c>
      <c r="L677" t="s">
        <v>525</v>
      </c>
      <c r="M677" t="s">
        <v>2193</v>
      </c>
      <c r="N677" t="s">
        <v>2181</v>
      </c>
      <c r="O677" t="s">
        <v>2194</v>
      </c>
    </row>
    <row r="678" spans="1:15" ht="15.75">
      <c r="A678" t="s">
        <v>702</v>
      </c>
      <c r="B678" t="s">
        <v>1181</v>
      </c>
      <c r="C678" t="s">
        <v>1357</v>
      </c>
      <c r="D678" t="s">
        <v>21</v>
      </c>
      <c r="E678">
        <v>19</v>
      </c>
      <c r="F678" t="s">
        <v>1164</v>
      </c>
      <c r="G678" t="s">
        <v>2539</v>
      </c>
      <c r="H678" t="s">
        <v>2540</v>
      </c>
      <c r="I678" s="2">
        <v>45051</v>
      </c>
      <c r="J678" t="s">
        <v>1121</v>
      </c>
      <c r="K678" t="s">
        <v>526</v>
      </c>
      <c r="L678" t="s">
        <v>525</v>
      </c>
      <c r="M678" t="s">
        <v>2180</v>
      </c>
      <c r="N678" t="s">
        <v>2181</v>
      </c>
      <c r="O678" t="s">
        <v>2182</v>
      </c>
    </row>
    <row r="679" spans="1:15" ht="15.75">
      <c r="A679" t="s">
        <v>703</v>
      </c>
      <c r="B679" t="s">
        <v>1148</v>
      </c>
      <c r="C679" t="s">
        <v>1357</v>
      </c>
      <c r="D679" t="s">
        <v>21</v>
      </c>
      <c r="E679">
        <v>60</v>
      </c>
      <c r="F679" t="s">
        <v>1132</v>
      </c>
      <c r="G679" t="s">
        <v>2541</v>
      </c>
      <c r="H679" t="s">
        <v>2542</v>
      </c>
      <c r="I679" s="2">
        <v>44353</v>
      </c>
      <c r="J679" t="s">
        <v>1128</v>
      </c>
      <c r="K679" t="s">
        <v>526</v>
      </c>
      <c r="L679" t="s">
        <v>525</v>
      </c>
      <c r="M679" t="s">
        <v>2185</v>
      </c>
      <c r="N679" t="s">
        <v>2181</v>
      </c>
      <c r="O679" t="s">
        <v>2186</v>
      </c>
    </row>
    <row r="680" spans="1:15" ht="15.75">
      <c r="A680" t="s">
        <v>704</v>
      </c>
      <c r="B680" t="s">
        <v>1186</v>
      </c>
      <c r="C680" t="s">
        <v>1357</v>
      </c>
      <c r="D680" t="s">
        <v>21</v>
      </c>
      <c r="E680">
        <v>18</v>
      </c>
      <c r="F680" t="s">
        <v>1164</v>
      </c>
      <c r="G680" t="s">
        <v>2543</v>
      </c>
      <c r="H680" t="s">
        <v>2544</v>
      </c>
      <c r="I680" s="2">
        <v>44749</v>
      </c>
      <c r="J680" t="s">
        <v>1135</v>
      </c>
      <c r="K680" t="s">
        <v>526</v>
      </c>
      <c r="L680" t="s">
        <v>525</v>
      </c>
      <c r="M680" t="s">
        <v>2189</v>
      </c>
      <c r="N680" t="s">
        <v>2181</v>
      </c>
      <c r="O680" t="s">
        <v>2190</v>
      </c>
    </row>
    <row r="681" spans="1:15" ht="15.75">
      <c r="A681" t="s">
        <v>705</v>
      </c>
      <c r="B681" t="s">
        <v>1246</v>
      </c>
      <c r="C681" t="s">
        <v>1357</v>
      </c>
      <c r="D681" t="s">
        <v>21</v>
      </c>
      <c r="E681">
        <v>53</v>
      </c>
      <c r="F681" t="s">
        <v>1132</v>
      </c>
      <c r="G681" t="s">
        <v>2545</v>
      </c>
      <c r="H681" t="s">
        <v>2546</v>
      </c>
      <c r="I681" s="2">
        <v>45146</v>
      </c>
      <c r="J681" t="s">
        <v>1142</v>
      </c>
      <c r="K681" t="s">
        <v>526</v>
      </c>
      <c r="L681" t="s">
        <v>525</v>
      </c>
      <c r="M681" t="s">
        <v>2193</v>
      </c>
      <c r="N681" t="s">
        <v>2181</v>
      </c>
      <c r="O681" t="s">
        <v>2194</v>
      </c>
    </row>
    <row r="682" spans="1:15" ht="15.75">
      <c r="A682" t="s">
        <v>706</v>
      </c>
      <c r="B682" t="s">
        <v>1191</v>
      </c>
      <c r="C682" t="s">
        <v>1357</v>
      </c>
      <c r="D682" t="s">
        <v>21</v>
      </c>
      <c r="E682">
        <v>43</v>
      </c>
      <c r="F682" t="s">
        <v>1139</v>
      </c>
      <c r="G682" t="s">
        <v>2547</v>
      </c>
      <c r="H682" t="s">
        <v>2548</v>
      </c>
      <c r="I682" s="2">
        <v>44448</v>
      </c>
      <c r="J682" t="s">
        <v>1121</v>
      </c>
      <c r="K682" t="s">
        <v>526</v>
      </c>
      <c r="L682" t="s">
        <v>525</v>
      </c>
      <c r="M682" t="s">
        <v>2180</v>
      </c>
      <c r="N682" t="s">
        <v>2181</v>
      </c>
      <c r="O682" t="s">
        <v>2182</v>
      </c>
    </row>
    <row r="683" spans="1:15" ht="15.75">
      <c r="A683" t="s">
        <v>707</v>
      </c>
      <c r="B683" t="s">
        <v>1194</v>
      </c>
      <c r="C683" t="s">
        <v>1357</v>
      </c>
      <c r="D683" t="s">
        <v>16</v>
      </c>
      <c r="E683">
        <v>46</v>
      </c>
      <c r="F683" t="s">
        <v>1132</v>
      </c>
      <c r="G683" t="s">
        <v>2549</v>
      </c>
      <c r="H683" t="s">
        <v>2550</v>
      </c>
      <c r="I683" s="2">
        <v>44844</v>
      </c>
      <c r="J683" t="s">
        <v>1128</v>
      </c>
      <c r="K683" t="s">
        <v>526</v>
      </c>
      <c r="L683" t="s">
        <v>525</v>
      </c>
      <c r="M683" t="s">
        <v>2185</v>
      </c>
      <c r="N683" t="s">
        <v>2181</v>
      </c>
      <c r="O683" t="s">
        <v>2186</v>
      </c>
    </row>
    <row r="684" spans="1:15" ht="15.75">
      <c r="A684" t="s">
        <v>708</v>
      </c>
      <c r="B684" t="s">
        <v>1163</v>
      </c>
      <c r="C684" t="s">
        <v>1357</v>
      </c>
      <c r="D684" t="s">
        <v>16</v>
      </c>
      <c r="E684">
        <v>38</v>
      </c>
      <c r="F684" t="s">
        <v>1139</v>
      </c>
      <c r="G684" t="s">
        <v>2551</v>
      </c>
      <c r="H684" t="s">
        <v>2552</v>
      </c>
      <c r="I684" s="2">
        <v>45241</v>
      </c>
      <c r="J684" t="s">
        <v>1135</v>
      </c>
      <c r="K684" t="s">
        <v>526</v>
      </c>
      <c r="L684" t="s">
        <v>525</v>
      </c>
      <c r="M684" t="s">
        <v>2189</v>
      </c>
      <c r="N684" t="s">
        <v>2181</v>
      </c>
      <c r="O684" t="s">
        <v>2190</v>
      </c>
    </row>
    <row r="685" spans="1:15" ht="15.75">
      <c r="A685" t="s">
        <v>709</v>
      </c>
      <c r="B685" t="s">
        <v>1200</v>
      </c>
      <c r="C685" t="s">
        <v>1357</v>
      </c>
      <c r="D685" t="s">
        <v>21</v>
      </c>
      <c r="E685">
        <v>28</v>
      </c>
      <c r="F685" t="s">
        <v>1118</v>
      </c>
      <c r="G685" t="s">
        <v>2553</v>
      </c>
      <c r="H685" t="s">
        <v>2554</v>
      </c>
      <c r="I685" s="2">
        <v>44542</v>
      </c>
      <c r="J685" t="s">
        <v>1142</v>
      </c>
      <c r="K685" t="s">
        <v>526</v>
      </c>
      <c r="L685" t="s">
        <v>525</v>
      </c>
      <c r="M685" t="s">
        <v>2193</v>
      </c>
      <c r="N685" t="s">
        <v>2181</v>
      </c>
      <c r="O685" t="s">
        <v>2194</v>
      </c>
    </row>
    <row r="686" spans="1:15" ht="15.75">
      <c r="A686" t="s">
        <v>710</v>
      </c>
      <c r="B686" t="s">
        <v>1116</v>
      </c>
      <c r="C686" t="s">
        <v>1382</v>
      </c>
      <c r="D686" t="s">
        <v>16</v>
      </c>
      <c r="E686">
        <v>57</v>
      </c>
      <c r="F686" t="s">
        <v>1132</v>
      </c>
      <c r="G686" t="s">
        <v>2555</v>
      </c>
      <c r="H686" t="s">
        <v>2556</v>
      </c>
      <c r="I686" s="2">
        <v>44574</v>
      </c>
      <c r="J686" t="s">
        <v>1121</v>
      </c>
      <c r="K686" t="s">
        <v>526</v>
      </c>
      <c r="L686" t="s">
        <v>525</v>
      </c>
      <c r="M686" t="s">
        <v>2180</v>
      </c>
      <c r="N686" t="s">
        <v>2181</v>
      </c>
      <c r="O686" t="s">
        <v>2182</v>
      </c>
    </row>
    <row r="687" spans="1:15" ht="15.75">
      <c r="A687" t="s">
        <v>711</v>
      </c>
      <c r="B687" t="s">
        <v>1125</v>
      </c>
      <c r="C687" t="s">
        <v>1382</v>
      </c>
      <c r="D687" t="s">
        <v>21</v>
      </c>
      <c r="E687">
        <v>28</v>
      </c>
      <c r="F687" t="s">
        <v>1118</v>
      </c>
      <c r="G687" t="s">
        <v>2557</v>
      </c>
      <c r="H687" t="s">
        <v>2558</v>
      </c>
      <c r="I687" s="2">
        <v>44971</v>
      </c>
      <c r="J687" t="s">
        <v>1128</v>
      </c>
      <c r="K687" t="s">
        <v>526</v>
      </c>
      <c r="L687" t="s">
        <v>525</v>
      </c>
      <c r="M687" t="s">
        <v>2185</v>
      </c>
      <c r="N687" t="s">
        <v>2181</v>
      </c>
      <c r="O687" t="s">
        <v>2186</v>
      </c>
    </row>
    <row r="688" spans="1:15" ht="15.75">
      <c r="A688" t="s">
        <v>712</v>
      </c>
      <c r="B688" t="s">
        <v>1176</v>
      </c>
      <c r="C688" t="s">
        <v>1382</v>
      </c>
      <c r="D688" t="s">
        <v>21</v>
      </c>
      <c r="E688">
        <v>53</v>
      </c>
      <c r="F688" t="s">
        <v>1132</v>
      </c>
      <c r="G688" t="s">
        <v>2559</v>
      </c>
      <c r="H688" t="s">
        <v>2560</v>
      </c>
      <c r="I688" s="2">
        <v>44270</v>
      </c>
      <c r="J688" t="s">
        <v>1135</v>
      </c>
      <c r="K688" t="s">
        <v>526</v>
      </c>
      <c r="L688" t="s">
        <v>525</v>
      </c>
      <c r="M688" t="s">
        <v>2189</v>
      </c>
      <c r="N688" t="s">
        <v>2181</v>
      </c>
      <c r="O688" t="s">
        <v>2190</v>
      </c>
    </row>
    <row r="689" spans="1:15" ht="15.75">
      <c r="A689" t="s">
        <v>713</v>
      </c>
      <c r="B689" t="s">
        <v>1138</v>
      </c>
      <c r="C689" t="s">
        <v>1382</v>
      </c>
      <c r="D689" t="s">
        <v>16</v>
      </c>
      <c r="E689">
        <v>56</v>
      </c>
      <c r="F689" t="s">
        <v>1132</v>
      </c>
      <c r="G689" t="s">
        <v>2561</v>
      </c>
      <c r="H689" t="s">
        <v>2562</v>
      </c>
      <c r="I689" s="2">
        <v>44667</v>
      </c>
      <c r="J689" t="s">
        <v>1142</v>
      </c>
      <c r="K689" t="s">
        <v>526</v>
      </c>
      <c r="L689" t="s">
        <v>525</v>
      </c>
      <c r="M689" t="s">
        <v>2193</v>
      </c>
      <c r="N689" t="s">
        <v>2181</v>
      </c>
      <c r="O689" t="s">
        <v>2194</v>
      </c>
    </row>
    <row r="690" spans="1:15" ht="15.75">
      <c r="A690" t="s">
        <v>714</v>
      </c>
      <c r="B690" t="s">
        <v>1145</v>
      </c>
      <c r="C690" t="s">
        <v>1382</v>
      </c>
      <c r="D690" t="s">
        <v>16</v>
      </c>
      <c r="E690">
        <v>57</v>
      </c>
      <c r="F690" t="s">
        <v>1132</v>
      </c>
      <c r="G690" t="s">
        <v>2563</v>
      </c>
      <c r="H690" t="s">
        <v>2564</v>
      </c>
      <c r="I690" s="2">
        <v>45063</v>
      </c>
      <c r="J690" t="s">
        <v>1121</v>
      </c>
      <c r="K690" t="s">
        <v>526</v>
      </c>
      <c r="L690" t="s">
        <v>525</v>
      </c>
      <c r="M690" t="s">
        <v>2180</v>
      </c>
      <c r="N690" t="s">
        <v>2181</v>
      </c>
      <c r="O690" t="s">
        <v>2182</v>
      </c>
    </row>
    <row r="691" spans="1:15" ht="15.75">
      <c r="A691" t="s">
        <v>715</v>
      </c>
      <c r="B691" t="s">
        <v>1148</v>
      </c>
      <c r="C691" t="s">
        <v>1382</v>
      </c>
      <c r="D691" t="s">
        <v>21</v>
      </c>
      <c r="E691">
        <v>52</v>
      </c>
      <c r="F691" t="s">
        <v>1132</v>
      </c>
      <c r="G691" t="s">
        <v>2565</v>
      </c>
      <c r="H691" t="s">
        <v>2566</v>
      </c>
      <c r="I691" s="2">
        <v>44365</v>
      </c>
      <c r="J691" t="s">
        <v>1128</v>
      </c>
      <c r="K691" t="s">
        <v>526</v>
      </c>
      <c r="L691" t="s">
        <v>525</v>
      </c>
      <c r="M691" t="s">
        <v>2185</v>
      </c>
      <c r="N691" t="s">
        <v>2181</v>
      </c>
      <c r="O691" t="s">
        <v>2186</v>
      </c>
    </row>
    <row r="692" spans="1:15" ht="15.75">
      <c r="A692" t="s">
        <v>716</v>
      </c>
      <c r="B692" t="s">
        <v>1186</v>
      </c>
      <c r="C692" t="s">
        <v>1382</v>
      </c>
      <c r="D692" t="s">
        <v>21</v>
      </c>
      <c r="E692">
        <v>51</v>
      </c>
      <c r="F692" t="s">
        <v>1132</v>
      </c>
      <c r="G692" t="s">
        <v>2567</v>
      </c>
      <c r="H692" t="s">
        <v>2568</v>
      </c>
      <c r="I692" s="2">
        <v>44761</v>
      </c>
      <c r="J692" t="s">
        <v>1135</v>
      </c>
      <c r="K692" t="s">
        <v>526</v>
      </c>
      <c r="L692" t="s">
        <v>525</v>
      </c>
      <c r="M692" t="s">
        <v>2189</v>
      </c>
      <c r="N692" t="s">
        <v>2181</v>
      </c>
      <c r="O692" t="s">
        <v>2190</v>
      </c>
    </row>
    <row r="693" spans="1:15" ht="15.75">
      <c r="A693" t="s">
        <v>717</v>
      </c>
      <c r="B693" t="s">
        <v>1246</v>
      </c>
      <c r="C693" t="s">
        <v>1382</v>
      </c>
      <c r="D693" t="s">
        <v>21</v>
      </c>
      <c r="E693">
        <v>64</v>
      </c>
      <c r="F693" t="s">
        <v>1132</v>
      </c>
      <c r="G693" t="s">
        <v>2569</v>
      </c>
      <c r="H693" t="s">
        <v>2570</v>
      </c>
      <c r="I693" s="2">
        <v>45158</v>
      </c>
      <c r="J693" t="s">
        <v>1142</v>
      </c>
      <c r="K693" t="s">
        <v>526</v>
      </c>
      <c r="L693" t="s">
        <v>525</v>
      </c>
      <c r="M693" t="s">
        <v>2193</v>
      </c>
      <c r="N693" t="s">
        <v>2181</v>
      </c>
      <c r="O693" t="s">
        <v>2194</v>
      </c>
    </row>
    <row r="694" spans="1:15" ht="15.75">
      <c r="A694" t="s">
        <v>718</v>
      </c>
      <c r="B694" t="s">
        <v>1157</v>
      </c>
      <c r="C694" t="s">
        <v>1382</v>
      </c>
      <c r="D694" t="s">
        <v>16</v>
      </c>
      <c r="E694">
        <v>41</v>
      </c>
      <c r="F694" t="s">
        <v>1139</v>
      </c>
      <c r="G694" t="s">
        <v>2571</v>
      </c>
      <c r="H694" t="s">
        <v>2572</v>
      </c>
      <c r="I694" s="2">
        <v>44460</v>
      </c>
      <c r="J694" t="s">
        <v>1121</v>
      </c>
      <c r="K694" t="s">
        <v>526</v>
      </c>
      <c r="L694" t="s">
        <v>525</v>
      </c>
      <c r="M694" t="s">
        <v>2180</v>
      </c>
      <c r="N694" t="s">
        <v>2181</v>
      </c>
      <c r="O694" t="s">
        <v>2182</v>
      </c>
    </row>
    <row r="695" spans="1:15" ht="15.75">
      <c r="A695" t="s">
        <v>719</v>
      </c>
      <c r="B695" t="s">
        <v>1160</v>
      </c>
      <c r="C695" t="s">
        <v>1382</v>
      </c>
      <c r="D695" t="s">
        <v>21</v>
      </c>
      <c r="E695">
        <v>39</v>
      </c>
      <c r="F695" t="s">
        <v>1139</v>
      </c>
      <c r="G695" t="s">
        <v>2573</v>
      </c>
      <c r="H695" t="s">
        <v>2574</v>
      </c>
      <c r="I695" s="2">
        <v>44856</v>
      </c>
      <c r="J695" t="s">
        <v>1128</v>
      </c>
      <c r="K695" t="s">
        <v>526</v>
      </c>
      <c r="L695" t="s">
        <v>525</v>
      </c>
      <c r="M695" t="s">
        <v>2185</v>
      </c>
      <c r="N695" t="s">
        <v>2181</v>
      </c>
      <c r="O695" t="s">
        <v>2186</v>
      </c>
    </row>
    <row r="696" spans="1:15" ht="15.75">
      <c r="A696" t="s">
        <v>720</v>
      </c>
      <c r="B696" t="s">
        <v>1197</v>
      </c>
      <c r="C696" t="s">
        <v>1382</v>
      </c>
      <c r="D696" t="s">
        <v>21</v>
      </c>
      <c r="E696">
        <v>22</v>
      </c>
      <c r="F696" t="s">
        <v>1164</v>
      </c>
      <c r="G696" t="s">
        <v>2575</v>
      </c>
      <c r="H696" t="s">
        <v>2576</v>
      </c>
      <c r="I696" s="2">
        <v>45253</v>
      </c>
      <c r="J696" t="s">
        <v>1135</v>
      </c>
      <c r="K696" t="s">
        <v>526</v>
      </c>
      <c r="L696" t="s">
        <v>525</v>
      </c>
      <c r="M696" t="s">
        <v>2189</v>
      </c>
      <c r="N696" t="s">
        <v>2181</v>
      </c>
      <c r="O696" t="s">
        <v>2190</v>
      </c>
    </row>
    <row r="697" spans="1:15" ht="15.75">
      <c r="A697" t="s">
        <v>721</v>
      </c>
      <c r="B697" t="s">
        <v>1200</v>
      </c>
      <c r="C697" t="s">
        <v>1382</v>
      </c>
      <c r="D697" t="s">
        <v>21</v>
      </c>
      <c r="E697">
        <v>50</v>
      </c>
      <c r="F697" t="s">
        <v>1132</v>
      </c>
      <c r="G697" t="s">
        <v>2577</v>
      </c>
      <c r="H697" t="s">
        <v>2578</v>
      </c>
      <c r="I697" s="2">
        <v>44554</v>
      </c>
      <c r="J697" t="s">
        <v>1142</v>
      </c>
      <c r="K697" t="s">
        <v>526</v>
      </c>
      <c r="L697" t="s">
        <v>525</v>
      </c>
      <c r="M697" t="s">
        <v>2193</v>
      </c>
      <c r="N697" t="s">
        <v>2181</v>
      </c>
      <c r="O697" t="s">
        <v>2194</v>
      </c>
    </row>
    <row r="698" spans="1:15" ht="15.75">
      <c r="A698" t="s">
        <v>722</v>
      </c>
      <c r="B698" t="s">
        <v>1116</v>
      </c>
      <c r="C698" t="s">
        <v>1407</v>
      </c>
      <c r="D698" t="s">
        <v>16</v>
      </c>
      <c r="E698">
        <v>53</v>
      </c>
      <c r="F698" t="s">
        <v>1132</v>
      </c>
      <c r="G698" t="s">
        <v>2579</v>
      </c>
      <c r="H698" t="s">
        <v>2580</v>
      </c>
      <c r="I698" s="2">
        <v>44586</v>
      </c>
      <c r="J698" t="s">
        <v>1121</v>
      </c>
      <c r="K698" t="s">
        <v>526</v>
      </c>
      <c r="L698" t="s">
        <v>525</v>
      </c>
      <c r="M698" t="s">
        <v>2180</v>
      </c>
      <c r="N698" t="s">
        <v>2181</v>
      </c>
      <c r="O698" t="s">
        <v>2182</v>
      </c>
    </row>
    <row r="699" spans="1:15" ht="15.75">
      <c r="A699" t="s">
        <v>723</v>
      </c>
      <c r="B699" t="s">
        <v>1125</v>
      </c>
      <c r="C699" t="s">
        <v>1407</v>
      </c>
      <c r="D699" t="s">
        <v>21</v>
      </c>
      <c r="E699">
        <v>64</v>
      </c>
      <c r="F699" t="s">
        <v>1132</v>
      </c>
      <c r="G699" t="s">
        <v>2581</v>
      </c>
      <c r="H699" t="s">
        <v>2582</v>
      </c>
      <c r="I699" s="2">
        <v>44983</v>
      </c>
      <c r="J699" t="s">
        <v>1128</v>
      </c>
      <c r="K699" t="s">
        <v>526</v>
      </c>
      <c r="L699" t="s">
        <v>525</v>
      </c>
      <c r="M699" t="s">
        <v>2185</v>
      </c>
      <c r="N699" t="s">
        <v>2181</v>
      </c>
      <c r="O699" t="s">
        <v>2186</v>
      </c>
    </row>
    <row r="700" spans="1:15" ht="15.75">
      <c r="A700" t="s">
        <v>724</v>
      </c>
      <c r="B700" t="s">
        <v>1176</v>
      </c>
      <c r="C700" t="s">
        <v>1407</v>
      </c>
      <c r="D700" t="s">
        <v>21</v>
      </c>
      <c r="E700">
        <v>37</v>
      </c>
      <c r="F700" t="s">
        <v>1139</v>
      </c>
      <c r="G700" t="s">
        <v>2583</v>
      </c>
      <c r="H700" t="s">
        <v>2584</v>
      </c>
      <c r="I700" s="2">
        <v>44282</v>
      </c>
      <c r="J700" t="s">
        <v>1135</v>
      </c>
      <c r="K700" t="s">
        <v>526</v>
      </c>
      <c r="L700" t="s">
        <v>525</v>
      </c>
      <c r="M700" t="s">
        <v>2189</v>
      </c>
      <c r="N700" t="s">
        <v>2181</v>
      </c>
      <c r="O700" t="s">
        <v>2190</v>
      </c>
    </row>
    <row r="701" spans="1:15" ht="15.75">
      <c r="A701" t="s">
        <v>725</v>
      </c>
      <c r="B701" t="s">
        <v>1138</v>
      </c>
      <c r="C701" t="s">
        <v>1407</v>
      </c>
      <c r="D701" t="s">
        <v>16</v>
      </c>
      <c r="E701">
        <v>36</v>
      </c>
      <c r="F701" t="s">
        <v>1139</v>
      </c>
      <c r="G701" t="s">
        <v>2585</v>
      </c>
      <c r="H701" t="s">
        <v>2586</v>
      </c>
      <c r="I701" s="2">
        <v>44679</v>
      </c>
      <c r="J701" t="s">
        <v>1142</v>
      </c>
      <c r="K701" t="s">
        <v>526</v>
      </c>
      <c r="L701" t="s">
        <v>525</v>
      </c>
      <c r="M701" t="s">
        <v>2193</v>
      </c>
      <c r="N701" t="s">
        <v>2181</v>
      </c>
      <c r="O701" t="s">
        <v>2194</v>
      </c>
    </row>
    <row r="702" spans="1:15" ht="15.75">
      <c r="A702" t="s">
        <v>726</v>
      </c>
      <c r="B702" t="s">
        <v>1181</v>
      </c>
      <c r="C702" t="s">
        <v>1407</v>
      </c>
      <c r="D702" t="s">
        <v>21</v>
      </c>
      <c r="E702">
        <v>52</v>
      </c>
      <c r="F702" t="s">
        <v>1132</v>
      </c>
      <c r="G702" t="s">
        <v>2587</v>
      </c>
      <c r="H702" t="s">
        <v>2588</v>
      </c>
      <c r="I702" s="2">
        <v>45047</v>
      </c>
      <c r="J702" t="s">
        <v>1121</v>
      </c>
      <c r="K702" t="s">
        <v>526</v>
      </c>
      <c r="L702" t="s">
        <v>525</v>
      </c>
      <c r="M702" t="s">
        <v>2180</v>
      </c>
      <c r="N702" t="s">
        <v>2181</v>
      </c>
      <c r="O702" t="s">
        <v>2182</v>
      </c>
    </row>
    <row r="703" spans="1:15" ht="15.75">
      <c r="A703" t="s">
        <v>727</v>
      </c>
      <c r="B703" t="s">
        <v>1148</v>
      </c>
      <c r="C703" t="s">
        <v>1407</v>
      </c>
      <c r="D703" t="s">
        <v>21</v>
      </c>
      <c r="E703">
        <v>60</v>
      </c>
      <c r="F703" t="s">
        <v>1132</v>
      </c>
      <c r="G703" t="s">
        <v>2589</v>
      </c>
      <c r="H703" t="s">
        <v>2590</v>
      </c>
      <c r="I703" s="2">
        <v>44349</v>
      </c>
      <c r="J703" t="s">
        <v>1128</v>
      </c>
      <c r="K703" t="s">
        <v>526</v>
      </c>
      <c r="L703" t="s">
        <v>525</v>
      </c>
      <c r="M703" t="s">
        <v>2185</v>
      </c>
      <c r="N703" t="s">
        <v>2181</v>
      </c>
      <c r="O703" t="s">
        <v>2186</v>
      </c>
    </row>
    <row r="704" spans="1:15" ht="15.75">
      <c r="A704" t="s">
        <v>728</v>
      </c>
      <c r="B704" t="s">
        <v>1151</v>
      </c>
      <c r="C704" t="s">
        <v>1407</v>
      </c>
      <c r="D704" t="s">
        <v>16</v>
      </c>
      <c r="E704">
        <v>34</v>
      </c>
      <c r="F704" t="s">
        <v>1118</v>
      </c>
      <c r="G704" t="s">
        <v>2591</v>
      </c>
      <c r="H704" t="s">
        <v>2592</v>
      </c>
      <c r="I704" s="2">
        <v>44745</v>
      </c>
      <c r="J704" t="s">
        <v>1135</v>
      </c>
      <c r="K704" t="s">
        <v>526</v>
      </c>
      <c r="L704" t="s">
        <v>525</v>
      </c>
      <c r="M704" t="s">
        <v>2189</v>
      </c>
      <c r="N704" t="s">
        <v>2181</v>
      </c>
      <c r="O704" t="s">
        <v>2190</v>
      </c>
    </row>
    <row r="705" spans="1:15" ht="15.75">
      <c r="A705" t="s">
        <v>729</v>
      </c>
      <c r="B705" t="s">
        <v>1246</v>
      </c>
      <c r="C705" t="s">
        <v>1407</v>
      </c>
      <c r="D705" t="s">
        <v>21</v>
      </c>
      <c r="E705">
        <v>62</v>
      </c>
      <c r="F705" t="s">
        <v>1132</v>
      </c>
      <c r="G705" t="s">
        <v>2593</v>
      </c>
      <c r="H705" t="s">
        <v>2594</v>
      </c>
      <c r="I705" s="2">
        <v>45142</v>
      </c>
      <c r="J705" t="s">
        <v>1142</v>
      </c>
      <c r="K705" t="s">
        <v>526</v>
      </c>
      <c r="L705" t="s">
        <v>525</v>
      </c>
      <c r="M705" t="s">
        <v>2193</v>
      </c>
      <c r="N705" t="s">
        <v>2181</v>
      </c>
      <c r="O705" t="s">
        <v>2194</v>
      </c>
    </row>
    <row r="706" spans="1:15" ht="15.75">
      <c r="A706" t="s">
        <v>730</v>
      </c>
      <c r="B706" t="s">
        <v>1157</v>
      </c>
      <c r="C706" t="s">
        <v>1407</v>
      </c>
      <c r="D706" t="s">
        <v>16</v>
      </c>
      <c r="E706">
        <v>60</v>
      </c>
      <c r="F706" t="s">
        <v>1132</v>
      </c>
      <c r="G706" t="s">
        <v>2595</v>
      </c>
      <c r="H706" t="s">
        <v>2596</v>
      </c>
      <c r="I706" s="2">
        <v>44444</v>
      </c>
      <c r="J706" t="s">
        <v>1121</v>
      </c>
      <c r="K706" t="s">
        <v>526</v>
      </c>
      <c r="L706" t="s">
        <v>525</v>
      </c>
      <c r="M706" t="s">
        <v>2180</v>
      </c>
      <c r="N706" t="s">
        <v>2181</v>
      </c>
      <c r="O706" t="s">
        <v>2182</v>
      </c>
    </row>
    <row r="707" spans="1:15" ht="15.75">
      <c r="A707" t="s">
        <v>731</v>
      </c>
      <c r="B707" t="s">
        <v>1194</v>
      </c>
      <c r="C707" t="s">
        <v>1407</v>
      </c>
      <c r="D707" t="s">
        <v>16</v>
      </c>
      <c r="E707">
        <v>51</v>
      </c>
      <c r="F707" t="s">
        <v>1132</v>
      </c>
      <c r="G707" t="s">
        <v>2597</v>
      </c>
      <c r="H707" t="s">
        <v>2598</v>
      </c>
      <c r="I707" s="2">
        <v>44840</v>
      </c>
      <c r="J707" t="s">
        <v>1128</v>
      </c>
      <c r="K707" t="s">
        <v>526</v>
      </c>
      <c r="L707" t="s">
        <v>525</v>
      </c>
      <c r="M707" t="s">
        <v>2185</v>
      </c>
      <c r="N707" t="s">
        <v>2181</v>
      </c>
      <c r="O707" t="s">
        <v>2186</v>
      </c>
    </row>
    <row r="708" spans="1:15" ht="15.75">
      <c r="A708" t="s">
        <v>732</v>
      </c>
      <c r="B708" t="s">
        <v>1197</v>
      </c>
      <c r="C708" t="s">
        <v>1407</v>
      </c>
      <c r="D708" t="s">
        <v>21</v>
      </c>
      <c r="E708">
        <v>26</v>
      </c>
      <c r="F708" t="s">
        <v>1118</v>
      </c>
      <c r="G708" t="s">
        <v>2599</v>
      </c>
      <c r="H708" t="s">
        <v>2600</v>
      </c>
      <c r="I708" s="2">
        <v>45237</v>
      </c>
      <c r="J708" t="s">
        <v>1135</v>
      </c>
      <c r="K708" t="s">
        <v>526</v>
      </c>
      <c r="L708" t="s">
        <v>525</v>
      </c>
      <c r="M708" t="s">
        <v>2189</v>
      </c>
      <c r="N708" t="s">
        <v>2181</v>
      </c>
      <c r="O708" t="s">
        <v>2190</v>
      </c>
    </row>
    <row r="709" spans="1:15" ht="15.75">
      <c r="A709" t="s">
        <v>733</v>
      </c>
      <c r="B709" t="s">
        <v>1200</v>
      </c>
      <c r="C709" t="s">
        <v>1407</v>
      </c>
      <c r="D709" t="s">
        <v>21</v>
      </c>
      <c r="E709">
        <v>43</v>
      </c>
      <c r="F709" t="s">
        <v>1139</v>
      </c>
      <c r="G709" t="s">
        <v>2601</v>
      </c>
      <c r="H709" t="s">
        <v>2602</v>
      </c>
      <c r="I709" s="2">
        <v>44538</v>
      </c>
      <c r="J709" t="s">
        <v>1142</v>
      </c>
      <c r="K709" t="s">
        <v>526</v>
      </c>
      <c r="L709" t="s">
        <v>525</v>
      </c>
      <c r="M709" t="s">
        <v>2193</v>
      </c>
      <c r="N709" t="s">
        <v>2181</v>
      </c>
      <c r="O709" t="s">
        <v>2194</v>
      </c>
    </row>
    <row r="710" spans="1:15" ht="15.75">
      <c r="A710" t="s">
        <v>734</v>
      </c>
      <c r="B710" t="s">
        <v>1203</v>
      </c>
      <c r="C710" t="s">
        <v>1432</v>
      </c>
      <c r="D710" t="s">
        <v>21</v>
      </c>
      <c r="E710">
        <v>19</v>
      </c>
      <c r="F710" t="s">
        <v>1164</v>
      </c>
      <c r="G710" t="s">
        <v>2603</v>
      </c>
      <c r="H710" t="s">
        <v>2604</v>
      </c>
      <c r="I710" s="2">
        <v>44570</v>
      </c>
      <c r="J710" t="s">
        <v>1121</v>
      </c>
      <c r="K710" t="s">
        <v>526</v>
      </c>
      <c r="L710" t="s">
        <v>525</v>
      </c>
      <c r="M710" t="s">
        <v>2180</v>
      </c>
      <c r="N710" t="s">
        <v>2181</v>
      </c>
      <c r="O710" t="s">
        <v>2182</v>
      </c>
    </row>
    <row r="711" spans="1:15" ht="15.75">
      <c r="A711" t="s">
        <v>735</v>
      </c>
      <c r="B711" t="s">
        <v>1125</v>
      </c>
      <c r="C711" t="s">
        <v>1432</v>
      </c>
      <c r="D711" t="s">
        <v>21</v>
      </c>
      <c r="E711">
        <v>26</v>
      </c>
      <c r="F711" t="s">
        <v>1118</v>
      </c>
      <c r="G711" t="s">
        <v>2605</v>
      </c>
      <c r="H711" t="s">
        <v>2606</v>
      </c>
      <c r="I711" s="2">
        <v>44967</v>
      </c>
      <c r="J711" t="s">
        <v>1128</v>
      </c>
      <c r="K711" t="s">
        <v>526</v>
      </c>
      <c r="L711" t="s">
        <v>525</v>
      </c>
      <c r="M711" t="s">
        <v>2185</v>
      </c>
      <c r="N711" t="s">
        <v>2181</v>
      </c>
      <c r="O711" t="s">
        <v>2186</v>
      </c>
    </row>
    <row r="712" spans="1:15" ht="15.75">
      <c r="A712" t="s">
        <v>736</v>
      </c>
      <c r="B712" t="s">
        <v>1131</v>
      </c>
      <c r="C712" t="s">
        <v>1432</v>
      </c>
      <c r="D712" t="s">
        <v>16</v>
      </c>
      <c r="E712">
        <v>26</v>
      </c>
      <c r="F712" t="s">
        <v>1118</v>
      </c>
      <c r="G712" t="s">
        <v>2607</v>
      </c>
      <c r="H712" t="s">
        <v>2608</v>
      </c>
      <c r="I712" s="2">
        <v>44266</v>
      </c>
      <c r="J712" t="s">
        <v>1135</v>
      </c>
      <c r="K712" t="s">
        <v>526</v>
      </c>
      <c r="L712" t="s">
        <v>525</v>
      </c>
      <c r="M712" t="s">
        <v>2189</v>
      </c>
      <c r="N712" t="s">
        <v>2181</v>
      </c>
      <c r="O712" t="s">
        <v>2190</v>
      </c>
    </row>
    <row r="713" spans="1:15" ht="15.75">
      <c r="A713" t="s">
        <v>737</v>
      </c>
      <c r="B713" t="s">
        <v>1211</v>
      </c>
      <c r="C713" t="s">
        <v>1432</v>
      </c>
      <c r="D713" t="s">
        <v>21</v>
      </c>
      <c r="E713">
        <v>57</v>
      </c>
      <c r="F713" t="s">
        <v>1132</v>
      </c>
      <c r="G713" t="s">
        <v>2609</v>
      </c>
      <c r="H713" t="s">
        <v>2610</v>
      </c>
      <c r="I713" s="2">
        <v>44663</v>
      </c>
      <c r="J713" t="s">
        <v>1142</v>
      </c>
      <c r="K713" t="s">
        <v>526</v>
      </c>
      <c r="L713" t="s">
        <v>525</v>
      </c>
      <c r="M713" t="s">
        <v>2193</v>
      </c>
      <c r="N713" t="s">
        <v>2181</v>
      </c>
      <c r="O713" t="s">
        <v>2194</v>
      </c>
    </row>
    <row r="714" spans="1:15" ht="15.75">
      <c r="A714" t="s">
        <v>738</v>
      </c>
      <c r="B714" t="s">
        <v>1145</v>
      </c>
      <c r="C714" t="s">
        <v>1432</v>
      </c>
      <c r="D714" t="s">
        <v>16</v>
      </c>
      <c r="E714">
        <v>34</v>
      </c>
      <c r="F714" t="s">
        <v>1118</v>
      </c>
      <c r="G714" t="s">
        <v>2611</v>
      </c>
      <c r="H714" t="s">
        <v>2612</v>
      </c>
      <c r="I714" s="2">
        <v>45059</v>
      </c>
      <c r="J714" t="s">
        <v>1121</v>
      </c>
      <c r="K714" t="s">
        <v>526</v>
      </c>
      <c r="L714" t="s">
        <v>525</v>
      </c>
      <c r="M714" t="s">
        <v>2180</v>
      </c>
      <c r="N714" t="s">
        <v>2181</v>
      </c>
      <c r="O714" t="s">
        <v>2182</v>
      </c>
    </row>
    <row r="715" spans="1:15" ht="15.75">
      <c r="A715" t="s">
        <v>739</v>
      </c>
      <c r="B715" t="s">
        <v>1148</v>
      </c>
      <c r="C715" t="s">
        <v>1432</v>
      </c>
      <c r="D715" t="s">
        <v>21</v>
      </c>
      <c r="E715">
        <v>18</v>
      </c>
      <c r="F715" t="s">
        <v>1164</v>
      </c>
      <c r="G715" t="s">
        <v>2613</v>
      </c>
      <c r="H715" t="s">
        <v>2614</v>
      </c>
      <c r="I715" s="2">
        <v>44361</v>
      </c>
      <c r="J715" t="s">
        <v>1128</v>
      </c>
      <c r="K715" t="s">
        <v>526</v>
      </c>
      <c r="L715" t="s">
        <v>525</v>
      </c>
      <c r="M715" t="s">
        <v>2185</v>
      </c>
      <c r="N715" t="s">
        <v>2181</v>
      </c>
      <c r="O715" t="s">
        <v>2186</v>
      </c>
    </row>
    <row r="716" spans="1:15" ht="15.75">
      <c r="A716" t="s">
        <v>740</v>
      </c>
      <c r="B716" t="s">
        <v>1186</v>
      </c>
      <c r="C716" t="s">
        <v>1432</v>
      </c>
      <c r="D716" t="s">
        <v>21</v>
      </c>
      <c r="E716">
        <v>42</v>
      </c>
      <c r="F716" t="s">
        <v>1139</v>
      </c>
      <c r="G716" t="s">
        <v>2615</v>
      </c>
      <c r="H716" t="s">
        <v>2616</v>
      </c>
      <c r="I716" s="2">
        <v>44757</v>
      </c>
      <c r="J716" t="s">
        <v>1135</v>
      </c>
      <c r="K716" t="s">
        <v>526</v>
      </c>
      <c r="L716" t="s">
        <v>525</v>
      </c>
      <c r="M716" t="s">
        <v>2189</v>
      </c>
      <c r="N716" t="s">
        <v>2181</v>
      </c>
      <c r="O716" t="s">
        <v>2190</v>
      </c>
    </row>
    <row r="717" spans="1:15" ht="15.75">
      <c r="A717" t="s">
        <v>741</v>
      </c>
      <c r="B717" t="s">
        <v>1246</v>
      </c>
      <c r="C717" t="s">
        <v>1432</v>
      </c>
      <c r="D717" t="s">
        <v>21</v>
      </c>
      <c r="E717">
        <v>60</v>
      </c>
      <c r="F717" t="s">
        <v>1132</v>
      </c>
      <c r="G717" t="s">
        <v>2617</v>
      </c>
      <c r="H717" t="s">
        <v>2618</v>
      </c>
      <c r="I717" s="2">
        <v>45154</v>
      </c>
      <c r="J717" t="s">
        <v>1142</v>
      </c>
      <c r="K717" t="s">
        <v>526</v>
      </c>
      <c r="L717" t="s">
        <v>525</v>
      </c>
      <c r="M717" t="s">
        <v>2193</v>
      </c>
      <c r="N717" t="s">
        <v>2181</v>
      </c>
      <c r="O717" t="s">
        <v>2194</v>
      </c>
    </row>
    <row r="718" spans="1:15" ht="15.75">
      <c r="A718" t="s">
        <v>742</v>
      </c>
      <c r="B718" t="s">
        <v>1157</v>
      </c>
      <c r="C718" t="s">
        <v>1432</v>
      </c>
      <c r="D718" t="s">
        <v>16</v>
      </c>
      <c r="E718">
        <v>57</v>
      </c>
      <c r="F718" t="s">
        <v>1132</v>
      </c>
      <c r="G718" t="s">
        <v>2619</v>
      </c>
      <c r="H718" t="s">
        <v>2620</v>
      </c>
      <c r="I718" s="2">
        <v>44456</v>
      </c>
      <c r="J718" t="s">
        <v>1121</v>
      </c>
      <c r="K718" t="s">
        <v>526</v>
      </c>
      <c r="L718" t="s">
        <v>525</v>
      </c>
      <c r="M718" t="s">
        <v>2180</v>
      </c>
      <c r="N718" t="s">
        <v>2181</v>
      </c>
      <c r="O718" t="s">
        <v>2182</v>
      </c>
    </row>
    <row r="719" spans="1:15" ht="15.75">
      <c r="A719" t="s">
        <v>743</v>
      </c>
      <c r="B719" t="s">
        <v>1160</v>
      </c>
      <c r="C719" t="s">
        <v>1432</v>
      </c>
      <c r="D719" t="s">
        <v>21</v>
      </c>
      <c r="E719">
        <v>59</v>
      </c>
      <c r="F719" t="s">
        <v>1132</v>
      </c>
      <c r="G719" t="s">
        <v>2621</v>
      </c>
      <c r="H719" t="s">
        <v>2622</v>
      </c>
      <c r="I719" s="2">
        <v>44852</v>
      </c>
      <c r="J719" t="s">
        <v>1128</v>
      </c>
      <c r="K719" t="s">
        <v>526</v>
      </c>
      <c r="L719" t="s">
        <v>525</v>
      </c>
      <c r="M719" t="s">
        <v>2185</v>
      </c>
      <c r="N719" t="s">
        <v>2181</v>
      </c>
      <c r="O719" t="s">
        <v>2186</v>
      </c>
    </row>
    <row r="720" spans="1:15" ht="15.75">
      <c r="A720" t="s">
        <v>744</v>
      </c>
      <c r="B720" t="s">
        <v>1197</v>
      </c>
      <c r="C720" t="s">
        <v>1432</v>
      </c>
      <c r="D720" t="s">
        <v>21</v>
      </c>
      <c r="E720">
        <v>42</v>
      </c>
      <c r="F720" t="s">
        <v>1139</v>
      </c>
      <c r="G720" t="s">
        <v>2623</v>
      </c>
      <c r="H720" t="s">
        <v>2624</v>
      </c>
      <c r="I720" s="2">
        <v>45249</v>
      </c>
      <c r="J720" t="s">
        <v>1135</v>
      </c>
      <c r="K720" t="s">
        <v>526</v>
      </c>
      <c r="L720" t="s">
        <v>525</v>
      </c>
      <c r="M720" t="s">
        <v>2189</v>
      </c>
      <c r="N720" t="s">
        <v>2181</v>
      </c>
      <c r="O720" t="s">
        <v>2190</v>
      </c>
    </row>
    <row r="721" spans="1:15" ht="15.75">
      <c r="A721" t="s">
        <v>745</v>
      </c>
      <c r="B721" t="s">
        <v>1200</v>
      </c>
      <c r="C721" t="s">
        <v>1432</v>
      </c>
      <c r="D721" t="s">
        <v>21</v>
      </c>
      <c r="E721">
        <v>56</v>
      </c>
      <c r="F721" t="s">
        <v>1132</v>
      </c>
      <c r="G721" t="s">
        <v>2625</v>
      </c>
      <c r="H721" t="s">
        <v>2626</v>
      </c>
      <c r="I721" s="2">
        <v>44550</v>
      </c>
      <c r="J721" t="s">
        <v>1142</v>
      </c>
      <c r="K721" t="s">
        <v>526</v>
      </c>
      <c r="L721" t="s">
        <v>525</v>
      </c>
      <c r="M721" t="s">
        <v>2193</v>
      </c>
      <c r="N721" t="s">
        <v>2181</v>
      </c>
      <c r="O721" t="s">
        <v>2194</v>
      </c>
    </row>
    <row r="722" spans="1:15" ht="15.75">
      <c r="A722" t="s">
        <v>746</v>
      </c>
      <c r="B722" t="s">
        <v>1203</v>
      </c>
      <c r="C722" t="s">
        <v>1117</v>
      </c>
      <c r="D722" t="s">
        <v>21</v>
      </c>
      <c r="E722">
        <v>52</v>
      </c>
      <c r="F722" t="s">
        <v>1132</v>
      </c>
      <c r="G722" t="s">
        <v>2627</v>
      </c>
      <c r="H722" t="s">
        <v>2628</v>
      </c>
      <c r="I722" s="2">
        <v>44582</v>
      </c>
      <c r="J722" t="s">
        <v>1121</v>
      </c>
      <c r="K722" t="s">
        <v>526</v>
      </c>
      <c r="L722" t="s">
        <v>525</v>
      </c>
      <c r="M722" t="s">
        <v>2180</v>
      </c>
      <c r="N722" t="s">
        <v>2181</v>
      </c>
      <c r="O722" t="s">
        <v>2182</v>
      </c>
    </row>
    <row r="723" spans="1:15" ht="15.75">
      <c r="A723" t="s">
        <v>747</v>
      </c>
      <c r="B723" t="s">
        <v>1173</v>
      </c>
      <c r="C723" t="s">
        <v>1117</v>
      </c>
      <c r="D723" t="s">
        <v>16</v>
      </c>
      <c r="E723">
        <v>20</v>
      </c>
      <c r="F723" t="s">
        <v>1164</v>
      </c>
      <c r="G723" t="s">
        <v>2629</v>
      </c>
      <c r="H723" t="s">
        <v>2630</v>
      </c>
      <c r="I723" s="2">
        <v>44979</v>
      </c>
      <c r="J723" t="s">
        <v>1128</v>
      </c>
      <c r="K723" t="s">
        <v>526</v>
      </c>
      <c r="L723" t="s">
        <v>525</v>
      </c>
      <c r="M723" t="s">
        <v>2185</v>
      </c>
      <c r="N723" t="s">
        <v>2181</v>
      </c>
      <c r="O723" t="s">
        <v>2186</v>
      </c>
    </row>
    <row r="724" spans="1:15" ht="15.75">
      <c r="A724" t="s">
        <v>748</v>
      </c>
      <c r="B724" t="s">
        <v>1176</v>
      </c>
      <c r="C724" t="s">
        <v>1117</v>
      </c>
      <c r="D724" t="s">
        <v>21</v>
      </c>
      <c r="E724">
        <v>54</v>
      </c>
      <c r="F724" t="s">
        <v>1132</v>
      </c>
      <c r="G724" t="s">
        <v>2631</v>
      </c>
      <c r="H724" t="s">
        <v>2632</v>
      </c>
      <c r="I724" s="2">
        <v>44278</v>
      </c>
      <c r="J724" t="s">
        <v>1135</v>
      </c>
      <c r="K724" t="s">
        <v>526</v>
      </c>
      <c r="L724" t="s">
        <v>525</v>
      </c>
      <c r="M724" t="s">
        <v>2189</v>
      </c>
      <c r="N724" t="s">
        <v>2181</v>
      </c>
      <c r="O724" t="s">
        <v>2190</v>
      </c>
    </row>
    <row r="725" spans="1:15" ht="15.75">
      <c r="A725" t="s">
        <v>749</v>
      </c>
      <c r="B725" t="s">
        <v>1138</v>
      </c>
      <c r="C725" t="s">
        <v>1117</v>
      </c>
      <c r="D725" t="s">
        <v>16</v>
      </c>
      <c r="E725">
        <v>61</v>
      </c>
      <c r="F725" t="s">
        <v>1132</v>
      </c>
      <c r="G725" t="s">
        <v>2633</v>
      </c>
      <c r="H725" t="s">
        <v>2634</v>
      </c>
      <c r="I725" s="2">
        <v>44675</v>
      </c>
      <c r="J725" t="s">
        <v>1142</v>
      </c>
      <c r="K725" t="s">
        <v>526</v>
      </c>
      <c r="L725" t="s">
        <v>525</v>
      </c>
      <c r="M725" t="s">
        <v>2193</v>
      </c>
      <c r="N725" t="s">
        <v>2181</v>
      </c>
      <c r="O725" t="s">
        <v>2194</v>
      </c>
    </row>
    <row r="726" spans="1:15" ht="15.75">
      <c r="A726" t="s">
        <v>750</v>
      </c>
      <c r="B726" t="s">
        <v>1145</v>
      </c>
      <c r="C726" t="s">
        <v>1117</v>
      </c>
      <c r="D726" t="s">
        <v>16</v>
      </c>
      <c r="E726">
        <v>61</v>
      </c>
      <c r="F726" t="s">
        <v>1132</v>
      </c>
      <c r="G726" t="s">
        <v>2635</v>
      </c>
      <c r="H726" t="s">
        <v>2636</v>
      </c>
      <c r="I726" s="2">
        <v>45071</v>
      </c>
      <c r="J726" t="s">
        <v>1121</v>
      </c>
      <c r="K726" t="s">
        <v>526</v>
      </c>
      <c r="L726" t="s">
        <v>525</v>
      </c>
      <c r="M726" t="s">
        <v>2180</v>
      </c>
      <c r="N726" t="s">
        <v>2181</v>
      </c>
      <c r="O726" t="s">
        <v>2182</v>
      </c>
    </row>
    <row r="727" spans="1:15" ht="15.75">
      <c r="A727" t="s">
        <v>751</v>
      </c>
      <c r="B727" t="s">
        <v>1241</v>
      </c>
      <c r="C727" t="s">
        <v>1117</v>
      </c>
      <c r="D727" t="s">
        <v>16</v>
      </c>
      <c r="E727">
        <v>47</v>
      </c>
      <c r="F727" t="s">
        <v>1132</v>
      </c>
      <c r="G727" t="s">
        <v>2637</v>
      </c>
      <c r="H727" t="s">
        <v>2638</v>
      </c>
      <c r="I727" s="2">
        <v>44373</v>
      </c>
      <c r="J727" t="s">
        <v>1128</v>
      </c>
      <c r="K727" t="s">
        <v>526</v>
      </c>
      <c r="L727" t="s">
        <v>525</v>
      </c>
      <c r="M727" t="s">
        <v>2185</v>
      </c>
      <c r="N727" t="s">
        <v>2181</v>
      </c>
      <c r="O727" t="s">
        <v>2186</v>
      </c>
    </row>
    <row r="728" spans="1:15" ht="15.75">
      <c r="A728" t="s">
        <v>752</v>
      </c>
      <c r="B728" t="s">
        <v>1151</v>
      </c>
      <c r="C728" t="s">
        <v>1117</v>
      </c>
      <c r="D728" t="s">
        <v>16</v>
      </c>
      <c r="E728">
        <v>55</v>
      </c>
      <c r="F728" t="s">
        <v>1132</v>
      </c>
      <c r="G728" t="s">
        <v>2639</v>
      </c>
      <c r="H728" t="s">
        <v>2640</v>
      </c>
      <c r="I728" s="2">
        <v>44769</v>
      </c>
      <c r="J728" t="s">
        <v>1135</v>
      </c>
      <c r="K728" t="s">
        <v>526</v>
      </c>
      <c r="L728" t="s">
        <v>525</v>
      </c>
      <c r="M728" t="s">
        <v>2189</v>
      </c>
      <c r="N728" t="s">
        <v>2181</v>
      </c>
      <c r="O728" t="s">
        <v>2190</v>
      </c>
    </row>
    <row r="729" spans="1:15" ht="15.75">
      <c r="A729" t="s">
        <v>753</v>
      </c>
      <c r="B729" t="s">
        <v>1154</v>
      </c>
      <c r="C729" t="s">
        <v>1117</v>
      </c>
      <c r="D729" t="s">
        <v>16</v>
      </c>
      <c r="E729">
        <v>51</v>
      </c>
      <c r="F729" t="s">
        <v>1132</v>
      </c>
      <c r="G729" t="s">
        <v>2641</v>
      </c>
      <c r="H729" t="s">
        <v>2642</v>
      </c>
      <c r="I729" s="2">
        <v>45166</v>
      </c>
      <c r="J729" t="s">
        <v>1142</v>
      </c>
      <c r="K729" t="s">
        <v>526</v>
      </c>
      <c r="L729" t="s">
        <v>525</v>
      </c>
      <c r="M729" t="s">
        <v>2193</v>
      </c>
      <c r="N729" t="s">
        <v>2181</v>
      </c>
      <c r="O729" t="s">
        <v>2194</v>
      </c>
    </row>
    <row r="730" spans="1:15" ht="15.75">
      <c r="A730" t="s">
        <v>754</v>
      </c>
      <c r="B730" t="s">
        <v>1157</v>
      </c>
      <c r="C730" t="s">
        <v>1117</v>
      </c>
      <c r="D730" t="s">
        <v>16</v>
      </c>
      <c r="E730">
        <v>29</v>
      </c>
      <c r="F730" t="s">
        <v>1118</v>
      </c>
      <c r="G730" t="s">
        <v>2643</v>
      </c>
      <c r="H730" t="s">
        <v>2644</v>
      </c>
      <c r="I730" s="2">
        <v>44440</v>
      </c>
      <c r="J730" t="s">
        <v>1121</v>
      </c>
      <c r="K730" t="s">
        <v>526</v>
      </c>
      <c r="L730" t="s">
        <v>525</v>
      </c>
      <c r="M730" t="s">
        <v>2180</v>
      </c>
      <c r="N730" t="s">
        <v>2181</v>
      </c>
      <c r="O730" t="s">
        <v>2182</v>
      </c>
    </row>
    <row r="731" spans="1:15" ht="15.75">
      <c r="A731" t="s">
        <v>755</v>
      </c>
      <c r="B731" t="s">
        <v>1160</v>
      </c>
      <c r="C731" t="s">
        <v>1117</v>
      </c>
      <c r="D731" t="s">
        <v>21</v>
      </c>
      <c r="E731">
        <v>36</v>
      </c>
      <c r="F731" t="s">
        <v>1139</v>
      </c>
      <c r="G731" t="s">
        <v>2645</v>
      </c>
      <c r="H731" t="s">
        <v>2646</v>
      </c>
      <c r="I731" s="2">
        <v>44836</v>
      </c>
      <c r="J731" t="s">
        <v>1128</v>
      </c>
      <c r="K731" t="s">
        <v>526</v>
      </c>
      <c r="L731" t="s">
        <v>525</v>
      </c>
      <c r="M731" t="s">
        <v>2185</v>
      </c>
      <c r="N731" t="s">
        <v>2181</v>
      </c>
      <c r="O731" t="s">
        <v>2186</v>
      </c>
    </row>
    <row r="732" spans="1:15" ht="15.75">
      <c r="A732" t="s">
        <v>756</v>
      </c>
      <c r="B732" t="s">
        <v>1163</v>
      </c>
      <c r="C732" t="s">
        <v>1117</v>
      </c>
      <c r="D732" t="s">
        <v>16</v>
      </c>
      <c r="E732">
        <v>54</v>
      </c>
      <c r="F732" t="s">
        <v>1132</v>
      </c>
      <c r="G732" t="s">
        <v>2647</v>
      </c>
      <c r="H732" t="s">
        <v>2648</v>
      </c>
      <c r="I732" s="2">
        <v>45233</v>
      </c>
      <c r="J732" t="s">
        <v>1135</v>
      </c>
      <c r="K732" t="s">
        <v>526</v>
      </c>
      <c r="L732" t="s">
        <v>525</v>
      </c>
      <c r="M732" t="s">
        <v>2189</v>
      </c>
      <c r="N732" t="s">
        <v>2181</v>
      </c>
      <c r="O732" t="s">
        <v>2190</v>
      </c>
    </row>
    <row r="733" spans="1:15" ht="15.75">
      <c r="A733" t="s">
        <v>757</v>
      </c>
      <c r="B733" t="s">
        <v>1167</v>
      </c>
      <c r="C733" t="s">
        <v>1117</v>
      </c>
      <c r="D733" t="s">
        <v>16</v>
      </c>
      <c r="E733">
        <v>61</v>
      </c>
      <c r="F733" t="s">
        <v>1132</v>
      </c>
      <c r="G733" t="s">
        <v>2649</v>
      </c>
      <c r="H733" t="s">
        <v>2650</v>
      </c>
      <c r="I733" s="2">
        <v>44534</v>
      </c>
      <c r="J733" t="s">
        <v>1142</v>
      </c>
      <c r="K733" t="s">
        <v>526</v>
      </c>
      <c r="L733" t="s">
        <v>525</v>
      </c>
      <c r="M733" t="s">
        <v>2193</v>
      </c>
      <c r="N733" t="s">
        <v>2181</v>
      </c>
      <c r="O733" t="s">
        <v>2194</v>
      </c>
    </row>
    <row r="734" spans="1:15" ht="15.75">
      <c r="A734" t="s">
        <v>758</v>
      </c>
      <c r="B734" t="s">
        <v>1116</v>
      </c>
      <c r="C734" t="s">
        <v>1170</v>
      </c>
      <c r="D734" t="s">
        <v>16</v>
      </c>
      <c r="E734">
        <v>34</v>
      </c>
      <c r="F734" t="s">
        <v>1118</v>
      </c>
      <c r="G734" t="s">
        <v>2651</v>
      </c>
      <c r="H734" t="s">
        <v>2652</v>
      </c>
      <c r="I734" s="2">
        <v>44566</v>
      </c>
      <c r="J734" t="s">
        <v>1121</v>
      </c>
      <c r="K734" t="s">
        <v>526</v>
      </c>
      <c r="L734" t="s">
        <v>525</v>
      </c>
      <c r="M734" t="s">
        <v>2180</v>
      </c>
      <c r="N734" t="s">
        <v>2181</v>
      </c>
      <c r="O734" t="s">
        <v>2182</v>
      </c>
    </row>
    <row r="735" spans="1:15" ht="15.75">
      <c r="A735" t="s">
        <v>759</v>
      </c>
      <c r="B735" t="s">
        <v>1125</v>
      </c>
      <c r="C735" t="s">
        <v>1170</v>
      </c>
      <c r="D735" t="s">
        <v>21</v>
      </c>
      <c r="E735">
        <v>27</v>
      </c>
      <c r="F735" t="s">
        <v>1118</v>
      </c>
      <c r="G735" t="s">
        <v>2653</v>
      </c>
      <c r="H735" t="s">
        <v>2654</v>
      </c>
      <c r="I735" s="2">
        <v>44963</v>
      </c>
      <c r="J735" t="s">
        <v>1128</v>
      </c>
      <c r="K735" t="s">
        <v>526</v>
      </c>
      <c r="L735" t="s">
        <v>525</v>
      </c>
      <c r="M735" t="s">
        <v>2185</v>
      </c>
      <c r="N735" t="s">
        <v>2181</v>
      </c>
      <c r="O735" t="s">
        <v>2186</v>
      </c>
    </row>
    <row r="736" spans="1:15" ht="15.75">
      <c r="A736" t="s">
        <v>760</v>
      </c>
      <c r="B736" t="s">
        <v>1176</v>
      </c>
      <c r="C736" t="s">
        <v>1170</v>
      </c>
      <c r="D736" t="s">
        <v>21</v>
      </c>
      <c r="E736">
        <v>64</v>
      </c>
      <c r="F736" t="s">
        <v>1132</v>
      </c>
      <c r="G736" t="s">
        <v>2655</v>
      </c>
      <c r="H736" t="s">
        <v>2656</v>
      </c>
      <c r="I736" s="2">
        <v>44262</v>
      </c>
      <c r="J736" t="s">
        <v>1135</v>
      </c>
      <c r="K736" t="s">
        <v>526</v>
      </c>
      <c r="L736" t="s">
        <v>525</v>
      </c>
      <c r="M736" t="s">
        <v>2189</v>
      </c>
      <c r="N736" t="s">
        <v>2181</v>
      </c>
      <c r="O736" t="s">
        <v>2190</v>
      </c>
    </row>
    <row r="737" spans="1:15" ht="15.75">
      <c r="A737" t="s">
        <v>761</v>
      </c>
      <c r="B737" t="s">
        <v>1138</v>
      </c>
      <c r="C737" t="s">
        <v>1170</v>
      </c>
      <c r="D737" t="s">
        <v>16</v>
      </c>
      <c r="E737">
        <v>29</v>
      </c>
      <c r="F737" t="s">
        <v>1118</v>
      </c>
      <c r="G737" t="s">
        <v>2657</v>
      </c>
      <c r="H737" t="s">
        <v>2658</v>
      </c>
      <c r="I737" s="2">
        <v>44659</v>
      </c>
      <c r="J737" t="s">
        <v>1142</v>
      </c>
      <c r="K737" t="s">
        <v>526</v>
      </c>
      <c r="L737" t="s">
        <v>525</v>
      </c>
      <c r="M737" t="s">
        <v>2193</v>
      </c>
      <c r="N737" t="s">
        <v>2181</v>
      </c>
      <c r="O737" t="s">
        <v>2194</v>
      </c>
    </row>
    <row r="738" spans="1:15" ht="15.75">
      <c r="A738" t="s">
        <v>762</v>
      </c>
      <c r="B738" t="s">
        <v>1181</v>
      </c>
      <c r="C738" t="s">
        <v>1170</v>
      </c>
      <c r="D738" t="s">
        <v>21</v>
      </c>
      <c r="E738">
        <v>33</v>
      </c>
      <c r="F738" t="s">
        <v>1118</v>
      </c>
      <c r="G738" t="s">
        <v>2659</v>
      </c>
      <c r="H738" t="s">
        <v>2660</v>
      </c>
      <c r="I738" s="2">
        <v>45055</v>
      </c>
      <c r="J738" t="s">
        <v>1121</v>
      </c>
      <c r="K738" t="s">
        <v>526</v>
      </c>
      <c r="L738" t="s">
        <v>525</v>
      </c>
      <c r="M738" t="s">
        <v>2180</v>
      </c>
      <c r="N738" t="s">
        <v>2181</v>
      </c>
      <c r="O738" t="s">
        <v>2182</v>
      </c>
    </row>
    <row r="739" spans="1:15" ht="15.75">
      <c r="A739" t="s">
        <v>763</v>
      </c>
      <c r="B739" t="s">
        <v>1241</v>
      </c>
      <c r="C739" t="s">
        <v>1170</v>
      </c>
      <c r="D739" t="s">
        <v>16</v>
      </c>
      <c r="E739">
        <v>41</v>
      </c>
      <c r="F739" t="s">
        <v>1139</v>
      </c>
      <c r="G739" t="s">
        <v>2661</v>
      </c>
      <c r="H739" t="s">
        <v>2662</v>
      </c>
      <c r="I739" s="2">
        <v>44357</v>
      </c>
      <c r="J739" t="s">
        <v>1128</v>
      </c>
      <c r="K739" t="s">
        <v>526</v>
      </c>
      <c r="L739" t="s">
        <v>525</v>
      </c>
      <c r="M739" t="s">
        <v>2185</v>
      </c>
      <c r="N739" t="s">
        <v>2181</v>
      </c>
      <c r="O739" t="s">
        <v>2186</v>
      </c>
    </row>
    <row r="740" spans="1:15" ht="15.75">
      <c r="A740" t="s">
        <v>764</v>
      </c>
      <c r="B740" t="s">
        <v>1151</v>
      </c>
      <c r="C740" t="s">
        <v>1170</v>
      </c>
      <c r="D740" t="s">
        <v>16</v>
      </c>
      <c r="E740">
        <v>36</v>
      </c>
      <c r="F740" t="s">
        <v>1139</v>
      </c>
      <c r="G740" t="s">
        <v>2663</v>
      </c>
      <c r="H740" t="s">
        <v>2664</v>
      </c>
      <c r="I740" s="2">
        <v>44753</v>
      </c>
      <c r="J740" t="s">
        <v>1135</v>
      </c>
      <c r="K740" t="s">
        <v>526</v>
      </c>
      <c r="L740" t="s">
        <v>525</v>
      </c>
      <c r="M740" t="s">
        <v>2189</v>
      </c>
      <c r="N740" t="s">
        <v>2181</v>
      </c>
      <c r="O740" t="s">
        <v>2190</v>
      </c>
    </row>
    <row r="741" spans="1:15" ht="15.75">
      <c r="A741" t="s">
        <v>765</v>
      </c>
      <c r="B741" t="s">
        <v>1246</v>
      </c>
      <c r="C741" t="s">
        <v>1170</v>
      </c>
      <c r="D741" t="s">
        <v>21</v>
      </c>
      <c r="E741">
        <v>25</v>
      </c>
      <c r="F741" t="s">
        <v>1164</v>
      </c>
      <c r="G741" t="s">
        <v>2665</v>
      </c>
      <c r="H741" t="s">
        <v>2666</v>
      </c>
      <c r="I741" s="2">
        <v>45150</v>
      </c>
      <c r="J741" t="s">
        <v>1142</v>
      </c>
      <c r="K741" t="s">
        <v>526</v>
      </c>
      <c r="L741" t="s">
        <v>525</v>
      </c>
      <c r="M741" t="s">
        <v>2193</v>
      </c>
      <c r="N741" t="s">
        <v>2181</v>
      </c>
      <c r="O741" t="s">
        <v>2194</v>
      </c>
    </row>
    <row r="742" spans="1:15" ht="15.75">
      <c r="A742" t="s">
        <v>766</v>
      </c>
      <c r="B742" t="s">
        <v>1157</v>
      </c>
      <c r="C742" t="s">
        <v>1170</v>
      </c>
      <c r="D742" t="s">
        <v>16</v>
      </c>
      <c r="E742">
        <v>48</v>
      </c>
      <c r="F742" t="s">
        <v>1132</v>
      </c>
      <c r="G742" t="s">
        <v>2667</v>
      </c>
      <c r="H742" t="s">
        <v>2668</v>
      </c>
      <c r="I742" s="2">
        <v>44452</v>
      </c>
      <c r="J742" t="s">
        <v>1121</v>
      </c>
      <c r="K742" t="s">
        <v>526</v>
      </c>
      <c r="L742" t="s">
        <v>525</v>
      </c>
      <c r="M742" t="s">
        <v>2180</v>
      </c>
      <c r="N742" t="s">
        <v>2181</v>
      </c>
      <c r="O742" t="s">
        <v>2182</v>
      </c>
    </row>
    <row r="743" spans="1:15" ht="15.75">
      <c r="A743" t="s">
        <v>767</v>
      </c>
      <c r="B743" t="s">
        <v>1160</v>
      </c>
      <c r="C743" t="s">
        <v>1170</v>
      </c>
      <c r="D743" t="s">
        <v>21</v>
      </c>
      <c r="E743">
        <v>38</v>
      </c>
      <c r="F743" t="s">
        <v>1139</v>
      </c>
      <c r="G743" t="s">
        <v>2669</v>
      </c>
      <c r="H743" t="s">
        <v>2670</v>
      </c>
      <c r="I743" s="2">
        <v>44848</v>
      </c>
      <c r="J743" t="s">
        <v>1128</v>
      </c>
      <c r="K743" t="s">
        <v>526</v>
      </c>
      <c r="L743" t="s">
        <v>525</v>
      </c>
      <c r="M743" t="s">
        <v>2185</v>
      </c>
      <c r="N743" t="s">
        <v>2181</v>
      </c>
      <c r="O743" t="s">
        <v>2186</v>
      </c>
    </row>
    <row r="744" spans="1:15" ht="15.75">
      <c r="A744" t="s">
        <v>768</v>
      </c>
      <c r="B744" t="s">
        <v>1197</v>
      </c>
      <c r="C744" t="s">
        <v>1170</v>
      </c>
      <c r="D744" t="s">
        <v>21</v>
      </c>
      <c r="E744">
        <v>34</v>
      </c>
      <c r="F744" t="s">
        <v>1118</v>
      </c>
      <c r="G744" t="s">
        <v>2671</v>
      </c>
      <c r="H744" t="s">
        <v>2672</v>
      </c>
      <c r="I744" s="2">
        <v>45245</v>
      </c>
      <c r="J744" t="s">
        <v>1135</v>
      </c>
      <c r="K744" t="s">
        <v>526</v>
      </c>
      <c r="L744" t="s">
        <v>525</v>
      </c>
      <c r="M744" t="s">
        <v>2189</v>
      </c>
      <c r="N744" t="s">
        <v>2181</v>
      </c>
      <c r="O744" t="s">
        <v>2190</v>
      </c>
    </row>
    <row r="745" spans="1:15" ht="15.75">
      <c r="A745" t="s">
        <v>769</v>
      </c>
      <c r="B745" t="s">
        <v>1167</v>
      </c>
      <c r="C745" t="s">
        <v>1170</v>
      </c>
      <c r="D745" t="s">
        <v>16</v>
      </c>
      <c r="E745">
        <v>40</v>
      </c>
      <c r="F745" t="s">
        <v>1139</v>
      </c>
      <c r="G745" t="s">
        <v>2673</v>
      </c>
      <c r="H745" t="s">
        <v>2674</v>
      </c>
      <c r="I745" s="2">
        <v>44546</v>
      </c>
      <c r="J745" t="s">
        <v>1142</v>
      </c>
      <c r="K745" t="s">
        <v>526</v>
      </c>
      <c r="L745" t="s">
        <v>525</v>
      </c>
      <c r="M745" t="s">
        <v>2193</v>
      </c>
      <c r="N745" t="s">
        <v>2181</v>
      </c>
      <c r="O745" t="s">
        <v>2194</v>
      </c>
    </row>
    <row r="746" spans="1:15" ht="15.75">
      <c r="A746" t="s">
        <v>770</v>
      </c>
      <c r="B746" t="s">
        <v>1116</v>
      </c>
      <c r="C746" t="s">
        <v>1204</v>
      </c>
      <c r="D746" t="s">
        <v>16</v>
      </c>
      <c r="E746">
        <v>54</v>
      </c>
      <c r="F746" t="s">
        <v>1132</v>
      </c>
      <c r="G746" t="s">
        <v>2675</v>
      </c>
      <c r="H746" t="s">
        <v>2676</v>
      </c>
      <c r="I746" s="2">
        <v>44578</v>
      </c>
      <c r="J746" t="s">
        <v>1121</v>
      </c>
      <c r="K746" t="s">
        <v>526</v>
      </c>
      <c r="L746" t="s">
        <v>525</v>
      </c>
      <c r="M746" t="s">
        <v>2180</v>
      </c>
      <c r="N746" t="s">
        <v>2181</v>
      </c>
      <c r="O746" t="s">
        <v>2182</v>
      </c>
    </row>
    <row r="747" spans="1:15" ht="15.75">
      <c r="A747" t="s">
        <v>771</v>
      </c>
      <c r="B747" t="s">
        <v>1125</v>
      </c>
      <c r="C747" t="s">
        <v>1204</v>
      </c>
      <c r="D747" t="s">
        <v>21</v>
      </c>
      <c r="E747">
        <v>33</v>
      </c>
      <c r="F747" t="s">
        <v>1118</v>
      </c>
      <c r="G747" t="s">
        <v>2677</v>
      </c>
      <c r="H747" t="s">
        <v>2678</v>
      </c>
      <c r="I747" s="2">
        <v>44975</v>
      </c>
      <c r="J747" t="s">
        <v>1128</v>
      </c>
      <c r="K747" t="s">
        <v>526</v>
      </c>
      <c r="L747" t="s">
        <v>525</v>
      </c>
      <c r="M747" t="s">
        <v>2185</v>
      </c>
      <c r="N747" t="s">
        <v>2181</v>
      </c>
      <c r="O747" t="s">
        <v>2186</v>
      </c>
    </row>
    <row r="748" spans="1:15" ht="15.75">
      <c r="A748" t="s">
        <v>772</v>
      </c>
      <c r="B748" t="s">
        <v>1131</v>
      </c>
      <c r="C748" t="s">
        <v>1204</v>
      </c>
      <c r="D748" t="s">
        <v>16</v>
      </c>
      <c r="E748">
        <v>23</v>
      </c>
      <c r="F748" t="s">
        <v>1164</v>
      </c>
      <c r="G748" t="s">
        <v>2679</v>
      </c>
      <c r="H748" t="s">
        <v>2680</v>
      </c>
      <c r="I748" s="2">
        <v>44274</v>
      </c>
      <c r="J748" t="s">
        <v>1135</v>
      </c>
      <c r="K748" t="s">
        <v>526</v>
      </c>
      <c r="L748" t="s">
        <v>525</v>
      </c>
      <c r="M748" t="s">
        <v>2189</v>
      </c>
      <c r="N748" t="s">
        <v>2181</v>
      </c>
      <c r="O748" t="s">
        <v>2190</v>
      </c>
    </row>
    <row r="749" spans="1:15" ht="15.75">
      <c r="A749" t="s">
        <v>773</v>
      </c>
      <c r="B749" t="s">
        <v>1138</v>
      </c>
      <c r="C749" t="s">
        <v>1204</v>
      </c>
      <c r="D749" t="s">
        <v>16</v>
      </c>
      <c r="E749">
        <v>25</v>
      </c>
      <c r="F749" t="s">
        <v>1164</v>
      </c>
      <c r="G749" t="s">
        <v>2681</v>
      </c>
      <c r="H749" t="s">
        <v>2682</v>
      </c>
      <c r="I749" s="2">
        <v>44671</v>
      </c>
      <c r="J749" t="s">
        <v>1142</v>
      </c>
      <c r="K749" t="s">
        <v>526</v>
      </c>
      <c r="L749" t="s">
        <v>525</v>
      </c>
      <c r="M749" t="s">
        <v>2193</v>
      </c>
      <c r="N749" t="s">
        <v>2181</v>
      </c>
      <c r="O749" t="s">
        <v>2194</v>
      </c>
    </row>
    <row r="750" spans="1:15" ht="15.75">
      <c r="A750" t="s">
        <v>774</v>
      </c>
      <c r="B750" t="s">
        <v>1145</v>
      </c>
      <c r="C750" t="s">
        <v>1204</v>
      </c>
      <c r="D750" t="s">
        <v>16</v>
      </c>
      <c r="E750">
        <v>42</v>
      </c>
      <c r="F750" t="s">
        <v>1139</v>
      </c>
      <c r="G750" t="s">
        <v>2683</v>
      </c>
      <c r="H750" t="s">
        <v>2684</v>
      </c>
      <c r="I750" s="2">
        <v>45067</v>
      </c>
      <c r="J750" t="s">
        <v>1121</v>
      </c>
      <c r="K750" t="s">
        <v>526</v>
      </c>
      <c r="L750" t="s">
        <v>525</v>
      </c>
      <c r="M750" t="s">
        <v>2180</v>
      </c>
      <c r="N750" t="s">
        <v>2181</v>
      </c>
      <c r="O750" t="s">
        <v>2182</v>
      </c>
    </row>
    <row r="751" spans="1:15" ht="15.75">
      <c r="A751" t="s">
        <v>775</v>
      </c>
      <c r="B751" t="s">
        <v>1148</v>
      </c>
      <c r="C751" t="s">
        <v>1204</v>
      </c>
      <c r="D751" t="s">
        <v>21</v>
      </c>
      <c r="E751">
        <v>35</v>
      </c>
      <c r="F751" t="s">
        <v>1118</v>
      </c>
      <c r="G751" t="s">
        <v>2685</v>
      </c>
      <c r="H751" t="s">
        <v>2686</v>
      </c>
      <c r="I751" s="2">
        <v>44369</v>
      </c>
      <c r="J751" t="s">
        <v>1128</v>
      </c>
      <c r="K751" t="s">
        <v>526</v>
      </c>
      <c r="L751" t="s">
        <v>525</v>
      </c>
      <c r="M751" t="s">
        <v>2185</v>
      </c>
      <c r="N751" t="s">
        <v>2181</v>
      </c>
      <c r="O751" t="s">
        <v>2186</v>
      </c>
    </row>
    <row r="752" spans="1:15" ht="15.75">
      <c r="A752" t="s">
        <v>776</v>
      </c>
      <c r="B752" t="s">
        <v>1186</v>
      </c>
      <c r="C752" t="s">
        <v>1204</v>
      </c>
      <c r="D752" t="s">
        <v>21</v>
      </c>
      <c r="E752">
        <v>42</v>
      </c>
      <c r="F752" t="s">
        <v>1139</v>
      </c>
      <c r="G752" t="s">
        <v>2687</v>
      </c>
      <c r="H752" t="s">
        <v>2688</v>
      </c>
      <c r="I752" s="2">
        <v>44765</v>
      </c>
      <c r="J752" t="s">
        <v>1135</v>
      </c>
      <c r="K752" t="s">
        <v>778</v>
      </c>
      <c r="L752" t="s">
        <v>777</v>
      </c>
      <c r="M752" t="s">
        <v>2689</v>
      </c>
      <c r="N752" t="s">
        <v>2690</v>
      </c>
      <c r="O752" t="s">
        <v>2691</v>
      </c>
    </row>
    <row r="753" spans="1:15" ht="15.75">
      <c r="A753" t="s">
        <v>779</v>
      </c>
      <c r="B753" t="s">
        <v>1154</v>
      </c>
      <c r="C753" t="s">
        <v>1204</v>
      </c>
      <c r="D753" t="s">
        <v>16</v>
      </c>
      <c r="E753">
        <v>29</v>
      </c>
      <c r="F753" t="s">
        <v>1118</v>
      </c>
      <c r="G753" t="s">
        <v>2692</v>
      </c>
      <c r="H753" t="s">
        <v>2693</v>
      </c>
      <c r="I753" s="2">
        <v>45162</v>
      </c>
      <c r="J753" t="s">
        <v>1142</v>
      </c>
      <c r="K753" t="s">
        <v>778</v>
      </c>
      <c r="L753" t="s">
        <v>777</v>
      </c>
      <c r="M753" t="s">
        <v>2694</v>
      </c>
      <c r="N753" t="s">
        <v>2690</v>
      </c>
      <c r="O753" t="s">
        <v>2695</v>
      </c>
    </row>
    <row r="754" spans="1:15" ht="15.75">
      <c r="A754" t="s">
        <v>780</v>
      </c>
      <c r="B754" t="s">
        <v>1191</v>
      </c>
      <c r="C754" t="s">
        <v>1204</v>
      </c>
      <c r="D754" t="s">
        <v>21</v>
      </c>
      <c r="E754">
        <v>32</v>
      </c>
      <c r="F754" t="s">
        <v>1118</v>
      </c>
      <c r="G754" t="s">
        <v>2696</v>
      </c>
      <c r="H754" t="s">
        <v>2697</v>
      </c>
      <c r="I754" s="2">
        <v>44464</v>
      </c>
      <c r="J754" t="s">
        <v>1121</v>
      </c>
      <c r="K754" t="s">
        <v>778</v>
      </c>
      <c r="L754" t="s">
        <v>777</v>
      </c>
      <c r="M754" t="s">
        <v>2698</v>
      </c>
      <c r="N754" t="s">
        <v>2690</v>
      </c>
      <c r="O754" t="s">
        <v>2699</v>
      </c>
    </row>
    <row r="755" spans="1:15" ht="15.75">
      <c r="A755" t="s">
        <v>781</v>
      </c>
      <c r="B755" t="s">
        <v>1160</v>
      </c>
      <c r="C755" t="s">
        <v>1204</v>
      </c>
      <c r="D755" t="s">
        <v>21</v>
      </c>
      <c r="E755">
        <v>43</v>
      </c>
      <c r="F755" t="s">
        <v>1139</v>
      </c>
      <c r="G755" t="s">
        <v>2700</v>
      </c>
      <c r="H755" t="s">
        <v>2701</v>
      </c>
      <c r="I755" s="2">
        <v>44860</v>
      </c>
      <c r="J755" t="s">
        <v>1128</v>
      </c>
      <c r="K755" t="s">
        <v>778</v>
      </c>
      <c r="L755" t="s">
        <v>777</v>
      </c>
      <c r="M755" t="s">
        <v>2702</v>
      </c>
      <c r="N755" t="s">
        <v>2690</v>
      </c>
      <c r="O755" t="s">
        <v>2703</v>
      </c>
    </row>
    <row r="756" spans="1:15" ht="15.75">
      <c r="A756" t="s">
        <v>782</v>
      </c>
      <c r="B756" t="s">
        <v>1197</v>
      </c>
      <c r="C756" t="s">
        <v>1204</v>
      </c>
      <c r="D756" t="s">
        <v>21</v>
      </c>
      <c r="E756">
        <v>58</v>
      </c>
      <c r="F756" t="s">
        <v>1132</v>
      </c>
      <c r="G756" t="s">
        <v>2704</v>
      </c>
      <c r="H756" t="s">
        <v>2705</v>
      </c>
      <c r="I756" s="2">
        <v>45257</v>
      </c>
      <c r="J756" t="s">
        <v>1135</v>
      </c>
      <c r="K756" t="s">
        <v>778</v>
      </c>
      <c r="L756" t="s">
        <v>777</v>
      </c>
      <c r="M756" t="s">
        <v>2689</v>
      </c>
      <c r="N756" t="s">
        <v>2690</v>
      </c>
      <c r="O756" t="s">
        <v>2691</v>
      </c>
    </row>
    <row r="757" spans="1:15" ht="15.75">
      <c r="A757" t="s">
        <v>783</v>
      </c>
      <c r="B757" t="s">
        <v>1200</v>
      </c>
      <c r="C757" t="s">
        <v>1204</v>
      </c>
      <c r="D757" t="s">
        <v>21</v>
      </c>
      <c r="E757">
        <v>62</v>
      </c>
      <c r="F757" t="s">
        <v>1132</v>
      </c>
      <c r="G757" t="s">
        <v>2706</v>
      </c>
      <c r="H757" t="s">
        <v>2707</v>
      </c>
      <c r="I757" s="2">
        <v>44558</v>
      </c>
      <c r="J757" t="s">
        <v>1142</v>
      </c>
      <c r="K757" t="s">
        <v>778</v>
      </c>
      <c r="L757" t="s">
        <v>777</v>
      </c>
      <c r="M757" t="s">
        <v>2694</v>
      </c>
      <c r="N757" t="s">
        <v>2690</v>
      </c>
      <c r="O757" t="s">
        <v>2695</v>
      </c>
    </row>
    <row r="758" spans="1:15" ht="15.75">
      <c r="A758" t="s">
        <v>784</v>
      </c>
      <c r="B758" t="s">
        <v>1203</v>
      </c>
      <c r="C758" t="s">
        <v>1230</v>
      </c>
      <c r="D758" t="s">
        <v>21</v>
      </c>
      <c r="E758">
        <v>43</v>
      </c>
      <c r="F758" t="s">
        <v>1139</v>
      </c>
      <c r="G758" t="s">
        <v>2708</v>
      </c>
      <c r="H758" t="s">
        <v>2709</v>
      </c>
      <c r="I758" s="2">
        <v>44562</v>
      </c>
      <c r="J758" t="s">
        <v>1121</v>
      </c>
      <c r="K758" t="s">
        <v>778</v>
      </c>
      <c r="L758" t="s">
        <v>777</v>
      </c>
      <c r="M758" t="s">
        <v>2698</v>
      </c>
      <c r="N758" t="s">
        <v>2690</v>
      </c>
      <c r="O758" t="s">
        <v>2699</v>
      </c>
    </row>
    <row r="759" spans="1:15" ht="15.75">
      <c r="A759" t="s">
        <v>785</v>
      </c>
      <c r="B759" t="s">
        <v>1173</v>
      </c>
      <c r="C759" t="s">
        <v>1230</v>
      </c>
      <c r="D759" t="s">
        <v>16</v>
      </c>
      <c r="E759">
        <v>64</v>
      </c>
      <c r="F759" t="s">
        <v>1132</v>
      </c>
      <c r="G759" t="s">
        <v>2710</v>
      </c>
      <c r="H759" t="s">
        <v>2711</v>
      </c>
      <c r="I759" s="2">
        <v>44959</v>
      </c>
      <c r="J759" t="s">
        <v>1128</v>
      </c>
      <c r="K759" t="s">
        <v>778</v>
      </c>
      <c r="L759" t="s">
        <v>777</v>
      </c>
      <c r="M759" t="s">
        <v>2702</v>
      </c>
      <c r="N759" t="s">
        <v>2690</v>
      </c>
      <c r="O759" t="s">
        <v>2703</v>
      </c>
    </row>
    <row r="760" spans="1:15" ht="15.75">
      <c r="A760" t="s">
        <v>786</v>
      </c>
      <c r="B760" t="s">
        <v>1131</v>
      </c>
      <c r="C760" t="s">
        <v>1230</v>
      </c>
      <c r="D760" t="s">
        <v>16</v>
      </c>
      <c r="E760">
        <v>49</v>
      </c>
      <c r="F760" t="s">
        <v>1132</v>
      </c>
      <c r="G760" t="s">
        <v>2712</v>
      </c>
      <c r="H760" t="s">
        <v>2713</v>
      </c>
      <c r="I760" s="2">
        <v>44258</v>
      </c>
      <c r="J760" t="s">
        <v>1135</v>
      </c>
      <c r="K760" t="s">
        <v>778</v>
      </c>
      <c r="L760" t="s">
        <v>777</v>
      </c>
      <c r="M760" t="s">
        <v>2689</v>
      </c>
      <c r="N760" t="s">
        <v>2690</v>
      </c>
      <c r="O760" t="s">
        <v>2691</v>
      </c>
    </row>
    <row r="761" spans="1:15" ht="15.75">
      <c r="A761" t="s">
        <v>787</v>
      </c>
      <c r="B761" t="s">
        <v>1138</v>
      </c>
      <c r="C761" t="s">
        <v>1230</v>
      </c>
      <c r="D761" t="s">
        <v>16</v>
      </c>
      <c r="E761">
        <v>27</v>
      </c>
      <c r="F761" t="s">
        <v>1118</v>
      </c>
      <c r="G761" t="s">
        <v>2714</v>
      </c>
      <c r="H761" t="s">
        <v>2715</v>
      </c>
      <c r="I761" s="2">
        <v>44655</v>
      </c>
      <c r="J761" t="s">
        <v>1142</v>
      </c>
      <c r="K761" t="s">
        <v>778</v>
      </c>
      <c r="L761" t="s">
        <v>777</v>
      </c>
      <c r="M761" t="s">
        <v>2694</v>
      </c>
      <c r="N761" t="s">
        <v>2690</v>
      </c>
      <c r="O761" t="s">
        <v>2695</v>
      </c>
    </row>
    <row r="762" spans="1:15" ht="15.75">
      <c r="A762" t="s">
        <v>788</v>
      </c>
      <c r="B762" t="s">
        <v>1181</v>
      </c>
      <c r="C762" t="s">
        <v>1230</v>
      </c>
      <c r="D762" t="s">
        <v>21</v>
      </c>
      <c r="E762">
        <v>33</v>
      </c>
      <c r="F762" t="s">
        <v>1118</v>
      </c>
      <c r="G762" t="s">
        <v>2716</v>
      </c>
      <c r="H762" t="s">
        <v>2717</v>
      </c>
      <c r="I762" s="2">
        <v>45051</v>
      </c>
      <c r="J762" t="s">
        <v>1121</v>
      </c>
      <c r="K762" t="s">
        <v>778</v>
      </c>
      <c r="L762" t="s">
        <v>777</v>
      </c>
      <c r="M762" t="s">
        <v>2698</v>
      </c>
      <c r="N762" t="s">
        <v>2690</v>
      </c>
      <c r="O762" t="s">
        <v>2699</v>
      </c>
    </row>
    <row r="763" spans="1:15" ht="15.75">
      <c r="A763" t="s">
        <v>789</v>
      </c>
      <c r="B763" t="s">
        <v>1148</v>
      </c>
      <c r="C763" t="s">
        <v>1230</v>
      </c>
      <c r="D763" t="s">
        <v>21</v>
      </c>
      <c r="E763">
        <v>24</v>
      </c>
      <c r="F763" t="s">
        <v>1164</v>
      </c>
      <c r="G763" t="s">
        <v>2718</v>
      </c>
      <c r="H763" t="s">
        <v>2719</v>
      </c>
      <c r="I763" s="2">
        <v>44353</v>
      </c>
      <c r="J763" t="s">
        <v>1128</v>
      </c>
      <c r="K763" t="s">
        <v>778</v>
      </c>
      <c r="L763" t="s">
        <v>777</v>
      </c>
      <c r="M763" t="s">
        <v>2702</v>
      </c>
      <c r="N763" t="s">
        <v>2690</v>
      </c>
      <c r="O763" t="s">
        <v>2703</v>
      </c>
    </row>
    <row r="764" spans="1:15" ht="15.75">
      <c r="A764" t="s">
        <v>790</v>
      </c>
      <c r="B764" t="s">
        <v>1151</v>
      </c>
      <c r="C764" t="s">
        <v>1230</v>
      </c>
      <c r="D764" t="s">
        <v>16</v>
      </c>
      <c r="E764">
        <v>34</v>
      </c>
      <c r="F764" t="s">
        <v>1118</v>
      </c>
      <c r="G764" t="s">
        <v>2720</v>
      </c>
      <c r="H764" t="s">
        <v>2721</v>
      </c>
      <c r="I764" s="2">
        <v>44749</v>
      </c>
      <c r="J764" t="s">
        <v>1135</v>
      </c>
      <c r="K764" t="s">
        <v>778</v>
      </c>
      <c r="L764" t="s">
        <v>777</v>
      </c>
      <c r="M764" t="s">
        <v>2689</v>
      </c>
      <c r="N764" t="s">
        <v>2690</v>
      </c>
      <c r="O764" t="s">
        <v>2691</v>
      </c>
    </row>
    <row r="765" spans="1:15" ht="15.75">
      <c r="A765" t="s">
        <v>791</v>
      </c>
      <c r="B765" t="s">
        <v>1246</v>
      </c>
      <c r="C765" t="s">
        <v>1230</v>
      </c>
      <c r="D765" t="s">
        <v>21</v>
      </c>
      <c r="E765">
        <v>40</v>
      </c>
      <c r="F765" t="s">
        <v>1139</v>
      </c>
      <c r="G765" t="s">
        <v>2722</v>
      </c>
      <c r="H765" t="s">
        <v>2723</v>
      </c>
      <c r="I765" s="2">
        <v>45146</v>
      </c>
      <c r="J765" t="s">
        <v>1142</v>
      </c>
      <c r="K765" t="s">
        <v>778</v>
      </c>
      <c r="L765" t="s">
        <v>777</v>
      </c>
      <c r="M765" t="s">
        <v>2694</v>
      </c>
      <c r="N765" t="s">
        <v>2690</v>
      </c>
      <c r="O765" t="s">
        <v>2695</v>
      </c>
    </row>
    <row r="766" spans="1:15" ht="15.75">
      <c r="A766" t="s">
        <v>792</v>
      </c>
      <c r="B766" t="s">
        <v>1157</v>
      </c>
      <c r="C766" t="s">
        <v>1230</v>
      </c>
      <c r="D766" t="s">
        <v>16</v>
      </c>
      <c r="E766">
        <v>43</v>
      </c>
      <c r="F766" t="s">
        <v>1139</v>
      </c>
      <c r="G766" t="s">
        <v>2724</v>
      </c>
      <c r="H766" t="s">
        <v>2725</v>
      </c>
      <c r="I766" s="2">
        <v>44448</v>
      </c>
      <c r="J766" t="s">
        <v>1121</v>
      </c>
      <c r="K766" t="s">
        <v>778</v>
      </c>
      <c r="L766" t="s">
        <v>777</v>
      </c>
      <c r="M766" t="s">
        <v>2698</v>
      </c>
      <c r="N766" t="s">
        <v>2690</v>
      </c>
      <c r="O766" t="s">
        <v>2699</v>
      </c>
    </row>
    <row r="767" spans="1:15" ht="15.75">
      <c r="A767" t="s">
        <v>793</v>
      </c>
      <c r="B767" t="s">
        <v>1194</v>
      </c>
      <c r="C767" t="s">
        <v>1230</v>
      </c>
      <c r="D767" t="s">
        <v>16</v>
      </c>
      <c r="E767">
        <v>38</v>
      </c>
      <c r="F767" t="s">
        <v>1139</v>
      </c>
      <c r="G767" t="s">
        <v>2726</v>
      </c>
      <c r="H767" t="s">
        <v>2727</v>
      </c>
      <c r="I767" s="2">
        <v>44844</v>
      </c>
      <c r="J767" t="s">
        <v>1128</v>
      </c>
      <c r="K767" t="s">
        <v>778</v>
      </c>
      <c r="L767" t="s">
        <v>777</v>
      </c>
      <c r="M767" t="s">
        <v>2702</v>
      </c>
      <c r="N767" t="s">
        <v>2690</v>
      </c>
      <c r="O767" t="s">
        <v>2703</v>
      </c>
    </row>
    <row r="768" spans="1:15" ht="15.75">
      <c r="A768" t="s">
        <v>794</v>
      </c>
      <c r="B768" t="s">
        <v>1163</v>
      </c>
      <c r="C768" t="s">
        <v>1230</v>
      </c>
      <c r="D768" t="s">
        <v>16</v>
      </c>
      <c r="E768">
        <v>39</v>
      </c>
      <c r="F768" t="s">
        <v>1139</v>
      </c>
      <c r="G768" t="s">
        <v>2728</v>
      </c>
      <c r="H768" t="s">
        <v>2729</v>
      </c>
      <c r="I768" s="2">
        <v>45241</v>
      </c>
      <c r="J768" t="s">
        <v>1135</v>
      </c>
      <c r="K768" t="s">
        <v>778</v>
      </c>
      <c r="L768" t="s">
        <v>777</v>
      </c>
      <c r="M768" t="s">
        <v>2689</v>
      </c>
      <c r="N768" t="s">
        <v>2690</v>
      </c>
      <c r="O768" t="s">
        <v>2691</v>
      </c>
    </row>
    <row r="769" spans="1:15" ht="15.75">
      <c r="A769" t="s">
        <v>795</v>
      </c>
      <c r="B769" t="s">
        <v>1200</v>
      </c>
      <c r="C769" t="s">
        <v>1230</v>
      </c>
      <c r="D769" t="s">
        <v>21</v>
      </c>
      <c r="E769">
        <v>24</v>
      </c>
      <c r="F769" t="s">
        <v>1164</v>
      </c>
      <c r="G769" t="s">
        <v>2730</v>
      </c>
      <c r="H769" t="s">
        <v>2731</v>
      </c>
      <c r="I769" s="2">
        <v>44542</v>
      </c>
      <c r="J769" t="s">
        <v>1142</v>
      </c>
      <c r="K769" t="s">
        <v>778</v>
      </c>
      <c r="L769" t="s">
        <v>777</v>
      </c>
      <c r="M769" t="s">
        <v>2694</v>
      </c>
      <c r="N769" t="s">
        <v>2690</v>
      </c>
      <c r="O769" t="s">
        <v>2695</v>
      </c>
    </row>
    <row r="770" spans="1:15" ht="15.75">
      <c r="A770" t="s">
        <v>796</v>
      </c>
      <c r="B770" t="s">
        <v>1203</v>
      </c>
      <c r="C770" t="s">
        <v>1257</v>
      </c>
      <c r="D770" t="s">
        <v>21</v>
      </c>
      <c r="E770">
        <v>31</v>
      </c>
      <c r="F770" t="s">
        <v>1118</v>
      </c>
      <c r="G770" t="s">
        <v>2732</v>
      </c>
      <c r="H770" t="s">
        <v>2733</v>
      </c>
      <c r="I770" s="2">
        <v>44574</v>
      </c>
      <c r="J770" t="s">
        <v>1121</v>
      </c>
      <c r="K770" t="s">
        <v>778</v>
      </c>
      <c r="L770" t="s">
        <v>777</v>
      </c>
      <c r="M770" t="s">
        <v>2698</v>
      </c>
      <c r="N770" t="s">
        <v>2690</v>
      </c>
      <c r="O770" t="s">
        <v>2699</v>
      </c>
    </row>
    <row r="771" spans="1:15" ht="15.75">
      <c r="A771" t="s">
        <v>797</v>
      </c>
      <c r="B771" t="s">
        <v>1173</v>
      </c>
      <c r="C771" t="s">
        <v>1257</v>
      </c>
      <c r="D771" t="s">
        <v>16</v>
      </c>
      <c r="E771">
        <v>32</v>
      </c>
      <c r="F771" t="s">
        <v>1118</v>
      </c>
      <c r="G771" t="s">
        <v>2734</v>
      </c>
      <c r="H771" t="s">
        <v>2735</v>
      </c>
      <c r="I771" s="2">
        <v>44971</v>
      </c>
      <c r="J771" t="s">
        <v>1128</v>
      </c>
      <c r="K771" t="s">
        <v>778</v>
      </c>
      <c r="L771" t="s">
        <v>777</v>
      </c>
      <c r="M771" t="s">
        <v>2702</v>
      </c>
      <c r="N771" t="s">
        <v>2690</v>
      </c>
      <c r="O771" t="s">
        <v>2703</v>
      </c>
    </row>
    <row r="772" spans="1:15" ht="15.75">
      <c r="A772" t="s">
        <v>798</v>
      </c>
      <c r="B772" t="s">
        <v>1131</v>
      </c>
      <c r="C772" t="s">
        <v>1257</v>
      </c>
      <c r="D772" t="s">
        <v>16</v>
      </c>
      <c r="E772">
        <v>24</v>
      </c>
      <c r="F772" t="s">
        <v>1164</v>
      </c>
      <c r="G772" t="s">
        <v>2736</v>
      </c>
      <c r="H772" t="s">
        <v>2737</v>
      </c>
      <c r="I772" s="2">
        <v>44270</v>
      </c>
      <c r="J772" t="s">
        <v>1135</v>
      </c>
      <c r="K772" t="s">
        <v>778</v>
      </c>
      <c r="L772" t="s">
        <v>777</v>
      </c>
      <c r="M772" t="s">
        <v>2689</v>
      </c>
      <c r="N772" t="s">
        <v>2690</v>
      </c>
      <c r="O772" t="s">
        <v>2691</v>
      </c>
    </row>
    <row r="773" spans="1:15" ht="15.75">
      <c r="A773" t="s">
        <v>799</v>
      </c>
      <c r="B773" t="s">
        <v>1138</v>
      </c>
      <c r="C773" t="s">
        <v>1257</v>
      </c>
      <c r="D773" t="s">
        <v>16</v>
      </c>
      <c r="E773">
        <v>26</v>
      </c>
      <c r="F773" t="s">
        <v>1118</v>
      </c>
      <c r="G773" t="s">
        <v>2738</v>
      </c>
      <c r="H773" t="s">
        <v>2739</v>
      </c>
      <c r="I773" s="2">
        <v>44667</v>
      </c>
      <c r="J773" t="s">
        <v>1142</v>
      </c>
      <c r="K773" t="s">
        <v>778</v>
      </c>
      <c r="L773" t="s">
        <v>777</v>
      </c>
      <c r="M773" t="s">
        <v>2694</v>
      </c>
      <c r="N773" t="s">
        <v>2690</v>
      </c>
      <c r="O773" t="s">
        <v>2695</v>
      </c>
    </row>
    <row r="774" spans="1:15" ht="15.75">
      <c r="A774" t="s">
        <v>800</v>
      </c>
      <c r="B774" t="s">
        <v>1145</v>
      </c>
      <c r="C774" t="s">
        <v>1257</v>
      </c>
      <c r="D774" t="s">
        <v>16</v>
      </c>
      <c r="E774">
        <v>25</v>
      </c>
      <c r="F774" t="s">
        <v>1164</v>
      </c>
      <c r="G774" t="s">
        <v>2740</v>
      </c>
      <c r="H774" t="s">
        <v>2741</v>
      </c>
      <c r="I774" s="2">
        <v>45063</v>
      </c>
      <c r="J774" t="s">
        <v>1121</v>
      </c>
      <c r="K774" t="s">
        <v>778</v>
      </c>
      <c r="L774" t="s">
        <v>777</v>
      </c>
      <c r="M774" t="s">
        <v>2698</v>
      </c>
      <c r="N774" t="s">
        <v>2690</v>
      </c>
      <c r="O774" t="s">
        <v>2699</v>
      </c>
    </row>
    <row r="775" spans="1:15" ht="15.75">
      <c r="A775" t="s">
        <v>801</v>
      </c>
      <c r="B775" t="s">
        <v>1148</v>
      </c>
      <c r="C775" t="s">
        <v>1257</v>
      </c>
      <c r="D775" t="s">
        <v>21</v>
      </c>
      <c r="E775">
        <v>40</v>
      </c>
      <c r="F775" t="s">
        <v>1139</v>
      </c>
      <c r="G775" t="s">
        <v>2742</v>
      </c>
      <c r="H775" t="s">
        <v>2743</v>
      </c>
      <c r="I775" s="2">
        <v>44365</v>
      </c>
      <c r="J775" t="s">
        <v>1128</v>
      </c>
      <c r="K775" t="s">
        <v>778</v>
      </c>
      <c r="L775" t="s">
        <v>777</v>
      </c>
      <c r="M775" t="s">
        <v>2702</v>
      </c>
      <c r="N775" t="s">
        <v>2690</v>
      </c>
      <c r="O775" t="s">
        <v>2703</v>
      </c>
    </row>
    <row r="776" spans="1:15" ht="15.75">
      <c r="A776" t="s">
        <v>802</v>
      </c>
      <c r="B776" t="s">
        <v>1186</v>
      </c>
      <c r="C776" t="s">
        <v>1257</v>
      </c>
      <c r="D776" t="s">
        <v>21</v>
      </c>
      <c r="E776">
        <v>46</v>
      </c>
      <c r="F776" t="s">
        <v>1132</v>
      </c>
      <c r="G776" t="s">
        <v>2744</v>
      </c>
      <c r="H776" t="s">
        <v>2745</v>
      </c>
      <c r="I776" s="2">
        <v>44761</v>
      </c>
      <c r="J776" t="s">
        <v>1135</v>
      </c>
      <c r="K776" t="s">
        <v>778</v>
      </c>
      <c r="L776" t="s">
        <v>777</v>
      </c>
      <c r="M776" t="s">
        <v>2689</v>
      </c>
      <c r="N776" t="s">
        <v>2690</v>
      </c>
      <c r="O776" t="s">
        <v>2691</v>
      </c>
    </row>
    <row r="777" spans="1:15" ht="15.75">
      <c r="A777" t="s">
        <v>803</v>
      </c>
      <c r="B777" t="s">
        <v>1154</v>
      </c>
      <c r="C777" t="s">
        <v>1257</v>
      </c>
      <c r="D777" t="s">
        <v>16</v>
      </c>
      <c r="E777">
        <v>35</v>
      </c>
      <c r="F777" t="s">
        <v>1118</v>
      </c>
      <c r="G777" t="s">
        <v>2746</v>
      </c>
      <c r="H777" t="s">
        <v>2747</v>
      </c>
      <c r="I777" s="2">
        <v>45158</v>
      </c>
      <c r="J777" t="s">
        <v>1142</v>
      </c>
      <c r="K777" t="s">
        <v>778</v>
      </c>
      <c r="L777" t="s">
        <v>777</v>
      </c>
      <c r="M777" t="s">
        <v>2694</v>
      </c>
      <c r="N777" t="s">
        <v>2690</v>
      </c>
      <c r="O777" t="s">
        <v>2695</v>
      </c>
    </row>
    <row r="778" spans="1:15" ht="15.75">
      <c r="A778" t="s">
        <v>804</v>
      </c>
      <c r="B778" t="s">
        <v>1157</v>
      </c>
      <c r="C778" t="s">
        <v>1257</v>
      </c>
      <c r="D778" t="s">
        <v>16</v>
      </c>
      <c r="E778">
        <v>48</v>
      </c>
      <c r="F778" t="s">
        <v>1132</v>
      </c>
      <c r="G778" t="s">
        <v>2748</v>
      </c>
      <c r="H778" t="s">
        <v>2749</v>
      </c>
      <c r="I778" s="2">
        <v>44460</v>
      </c>
      <c r="J778" t="s">
        <v>1121</v>
      </c>
      <c r="K778" t="s">
        <v>778</v>
      </c>
      <c r="L778" t="s">
        <v>777</v>
      </c>
      <c r="M778" t="s">
        <v>2698</v>
      </c>
      <c r="N778" t="s">
        <v>2690</v>
      </c>
      <c r="O778" t="s">
        <v>2699</v>
      </c>
    </row>
    <row r="779" spans="1:15" ht="15.75">
      <c r="A779" t="s">
        <v>805</v>
      </c>
      <c r="B779" t="s">
        <v>1160</v>
      </c>
      <c r="C779" t="s">
        <v>1257</v>
      </c>
      <c r="D779" t="s">
        <v>21</v>
      </c>
      <c r="E779">
        <v>47</v>
      </c>
      <c r="F779" t="s">
        <v>1132</v>
      </c>
      <c r="G779" t="s">
        <v>2750</v>
      </c>
      <c r="H779" t="s">
        <v>2751</v>
      </c>
      <c r="I779" s="2">
        <v>44856</v>
      </c>
      <c r="J779" t="s">
        <v>1128</v>
      </c>
      <c r="K779" t="s">
        <v>778</v>
      </c>
      <c r="L779" t="s">
        <v>777</v>
      </c>
      <c r="M779" t="s">
        <v>2702</v>
      </c>
      <c r="N779" t="s">
        <v>2690</v>
      </c>
      <c r="O779" t="s">
        <v>2703</v>
      </c>
    </row>
    <row r="780" spans="1:15" ht="15.75">
      <c r="A780" t="s">
        <v>806</v>
      </c>
      <c r="B780" t="s">
        <v>1197</v>
      </c>
      <c r="C780" t="s">
        <v>1257</v>
      </c>
      <c r="D780" t="s">
        <v>21</v>
      </c>
      <c r="E780">
        <v>56</v>
      </c>
      <c r="F780" t="s">
        <v>1132</v>
      </c>
      <c r="G780" t="s">
        <v>2752</v>
      </c>
      <c r="H780" t="s">
        <v>2753</v>
      </c>
      <c r="I780" s="2">
        <v>45253</v>
      </c>
      <c r="J780" t="s">
        <v>1135</v>
      </c>
      <c r="K780" t="s">
        <v>778</v>
      </c>
      <c r="L780" t="s">
        <v>777</v>
      </c>
      <c r="M780" t="s">
        <v>2689</v>
      </c>
      <c r="N780" t="s">
        <v>2690</v>
      </c>
      <c r="O780" t="s">
        <v>2691</v>
      </c>
    </row>
    <row r="781" spans="1:15" ht="15.75">
      <c r="A781" t="s">
        <v>807</v>
      </c>
      <c r="B781" t="s">
        <v>1167</v>
      </c>
      <c r="C781" t="s">
        <v>1257</v>
      </c>
      <c r="D781" t="s">
        <v>16</v>
      </c>
      <c r="E781">
        <v>52</v>
      </c>
      <c r="F781" t="s">
        <v>1132</v>
      </c>
      <c r="G781" t="s">
        <v>2754</v>
      </c>
      <c r="H781" t="s">
        <v>2755</v>
      </c>
      <c r="I781" s="2">
        <v>44554</v>
      </c>
      <c r="J781" t="s">
        <v>1142</v>
      </c>
      <c r="K781" t="s">
        <v>778</v>
      </c>
      <c r="L781" t="s">
        <v>777</v>
      </c>
      <c r="M781" t="s">
        <v>2694</v>
      </c>
      <c r="N781" t="s">
        <v>2690</v>
      </c>
      <c r="O781" t="s">
        <v>2695</v>
      </c>
    </row>
    <row r="782" spans="1:15" ht="15.75">
      <c r="A782" t="s">
        <v>808</v>
      </c>
      <c r="B782" t="s">
        <v>1116</v>
      </c>
      <c r="C782" t="s">
        <v>1282</v>
      </c>
      <c r="D782" t="s">
        <v>16</v>
      </c>
      <c r="E782">
        <v>35</v>
      </c>
      <c r="F782" t="s">
        <v>1118</v>
      </c>
      <c r="G782" t="s">
        <v>2756</v>
      </c>
      <c r="H782" t="s">
        <v>2757</v>
      </c>
      <c r="I782" s="2">
        <v>44586</v>
      </c>
      <c r="J782" t="s">
        <v>1121</v>
      </c>
      <c r="K782" t="s">
        <v>778</v>
      </c>
      <c r="L782" t="s">
        <v>777</v>
      </c>
      <c r="M782" t="s">
        <v>2698</v>
      </c>
      <c r="N782" t="s">
        <v>2690</v>
      </c>
      <c r="O782" t="s">
        <v>2699</v>
      </c>
    </row>
    <row r="783" spans="1:15" ht="15.75">
      <c r="A783" t="s">
        <v>809</v>
      </c>
      <c r="B783" t="s">
        <v>1173</v>
      </c>
      <c r="C783" t="s">
        <v>1282</v>
      </c>
      <c r="D783" t="s">
        <v>16</v>
      </c>
      <c r="E783">
        <v>59</v>
      </c>
      <c r="F783" t="s">
        <v>1132</v>
      </c>
      <c r="G783" t="s">
        <v>2758</v>
      </c>
      <c r="H783" t="s">
        <v>2759</v>
      </c>
      <c r="I783" s="2">
        <v>44983</v>
      </c>
      <c r="J783" t="s">
        <v>1128</v>
      </c>
      <c r="K783" t="s">
        <v>778</v>
      </c>
      <c r="L783" t="s">
        <v>777</v>
      </c>
      <c r="M783" t="s">
        <v>2702</v>
      </c>
      <c r="N783" t="s">
        <v>2690</v>
      </c>
      <c r="O783" t="s">
        <v>2703</v>
      </c>
    </row>
    <row r="784" spans="1:15" ht="15.75">
      <c r="A784" t="s">
        <v>810</v>
      </c>
      <c r="B784" t="s">
        <v>1176</v>
      </c>
      <c r="C784" t="s">
        <v>1282</v>
      </c>
      <c r="D784" t="s">
        <v>21</v>
      </c>
      <c r="E784">
        <v>56</v>
      </c>
      <c r="F784" t="s">
        <v>1132</v>
      </c>
      <c r="G784" t="s">
        <v>2760</v>
      </c>
      <c r="H784" t="s">
        <v>2761</v>
      </c>
      <c r="I784" s="2">
        <v>44282</v>
      </c>
      <c r="J784" t="s">
        <v>1135</v>
      </c>
      <c r="K784" t="s">
        <v>778</v>
      </c>
      <c r="L784" t="s">
        <v>777</v>
      </c>
      <c r="M784" t="s">
        <v>2689</v>
      </c>
      <c r="N784" t="s">
        <v>2690</v>
      </c>
      <c r="O784" t="s">
        <v>2691</v>
      </c>
    </row>
    <row r="785" spans="1:15" ht="15.75">
      <c r="A785" t="s">
        <v>811</v>
      </c>
      <c r="B785" t="s">
        <v>1211</v>
      </c>
      <c r="C785" t="s">
        <v>1282</v>
      </c>
      <c r="D785" t="s">
        <v>21</v>
      </c>
      <c r="E785">
        <v>34</v>
      </c>
      <c r="F785" t="s">
        <v>1118</v>
      </c>
      <c r="G785" t="s">
        <v>2762</v>
      </c>
      <c r="H785" t="s">
        <v>2763</v>
      </c>
      <c r="I785" s="2">
        <v>44679</v>
      </c>
      <c r="J785" t="s">
        <v>1142</v>
      </c>
      <c r="K785" t="s">
        <v>778</v>
      </c>
      <c r="L785" t="s">
        <v>777</v>
      </c>
      <c r="M785" t="s">
        <v>2694</v>
      </c>
      <c r="N785" t="s">
        <v>2690</v>
      </c>
      <c r="O785" t="s">
        <v>2695</v>
      </c>
    </row>
    <row r="786" spans="1:15" ht="15.75">
      <c r="A786" t="s">
        <v>812</v>
      </c>
      <c r="B786" t="s">
        <v>1181</v>
      </c>
      <c r="C786" t="s">
        <v>1282</v>
      </c>
      <c r="D786" t="s">
        <v>21</v>
      </c>
      <c r="E786">
        <v>31</v>
      </c>
      <c r="F786" t="s">
        <v>1118</v>
      </c>
      <c r="G786" t="s">
        <v>2764</v>
      </c>
      <c r="H786" t="s">
        <v>2765</v>
      </c>
      <c r="I786" s="2">
        <v>45047</v>
      </c>
      <c r="J786" t="s">
        <v>1121</v>
      </c>
      <c r="K786" t="s">
        <v>778</v>
      </c>
      <c r="L786" t="s">
        <v>777</v>
      </c>
      <c r="M786" t="s">
        <v>2698</v>
      </c>
      <c r="N786" t="s">
        <v>2690</v>
      </c>
      <c r="O786" t="s">
        <v>2699</v>
      </c>
    </row>
    <row r="787" spans="1:15" ht="15.75">
      <c r="A787" t="s">
        <v>813</v>
      </c>
      <c r="B787" t="s">
        <v>1241</v>
      </c>
      <c r="C787" t="s">
        <v>1282</v>
      </c>
      <c r="D787" t="s">
        <v>16</v>
      </c>
      <c r="E787">
        <v>48</v>
      </c>
      <c r="F787" t="s">
        <v>1132</v>
      </c>
      <c r="G787" t="s">
        <v>2766</v>
      </c>
      <c r="H787" t="s">
        <v>2767</v>
      </c>
      <c r="I787" s="2">
        <v>44349</v>
      </c>
      <c r="J787" t="s">
        <v>1128</v>
      </c>
      <c r="K787" t="s">
        <v>778</v>
      </c>
      <c r="L787" t="s">
        <v>777</v>
      </c>
      <c r="M787" t="s">
        <v>2702</v>
      </c>
      <c r="N787" t="s">
        <v>2690</v>
      </c>
      <c r="O787" t="s">
        <v>2703</v>
      </c>
    </row>
    <row r="788" spans="1:15" ht="15.75">
      <c r="A788" t="s">
        <v>814</v>
      </c>
      <c r="B788" t="s">
        <v>1151</v>
      </c>
      <c r="C788" t="s">
        <v>1282</v>
      </c>
      <c r="D788" t="s">
        <v>16</v>
      </c>
      <c r="E788">
        <v>41</v>
      </c>
      <c r="F788" t="s">
        <v>1139</v>
      </c>
      <c r="G788" t="s">
        <v>2768</v>
      </c>
      <c r="H788" t="s">
        <v>2769</v>
      </c>
      <c r="I788" s="2">
        <v>44745</v>
      </c>
      <c r="J788" t="s">
        <v>1135</v>
      </c>
      <c r="K788" t="s">
        <v>778</v>
      </c>
      <c r="L788" t="s">
        <v>777</v>
      </c>
      <c r="M788" t="s">
        <v>2689</v>
      </c>
      <c r="N788" t="s">
        <v>2690</v>
      </c>
      <c r="O788" t="s">
        <v>2691</v>
      </c>
    </row>
    <row r="789" spans="1:15" ht="15.75">
      <c r="A789" t="s">
        <v>815</v>
      </c>
      <c r="B789" t="s">
        <v>1246</v>
      </c>
      <c r="C789" t="s">
        <v>1282</v>
      </c>
      <c r="D789" t="s">
        <v>21</v>
      </c>
      <c r="E789">
        <v>52</v>
      </c>
      <c r="F789" t="s">
        <v>1132</v>
      </c>
      <c r="G789" t="s">
        <v>2770</v>
      </c>
      <c r="H789" t="s">
        <v>2771</v>
      </c>
      <c r="I789" s="2">
        <v>45142</v>
      </c>
      <c r="J789" t="s">
        <v>1142</v>
      </c>
      <c r="K789" t="s">
        <v>778</v>
      </c>
      <c r="L789" t="s">
        <v>777</v>
      </c>
      <c r="M789" t="s">
        <v>2694</v>
      </c>
      <c r="N789" t="s">
        <v>2690</v>
      </c>
      <c r="O789" t="s">
        <v>2695</v>
      </c>
    </row>
    <row r="790" spans="1:15" ht="15.75">
      <c r="A790" t="s">
        <v>816</v>
      </c>
      <c r="B790" t="s">
        <v>1191</v>
      </c>
      <c r="C790" t="s">
        <v>1282</v>
      </c>
      <c r="D790" t="s">
        <v>21</v>
      </c>
      <c r="E790">
        <v>61</v>
      </c>
      <c r="F790" t="s">
        <v>1132</v>
      </c>
      <c r="G790" t="s">
        <v>2772</v>
      </c>
      <c r="H790" t="s">
        <v>2773</v>
      </c>
      <c r="I790" s="2">
        <v>44444</v>
      </c>
      <c r="J790" t="s">
        <v>1121</v>
      </c>
      <c r="K790" t="s">
        <v>778</v>
      </c>
      <c r="L790" t="s">
        <v>777</v>
      </c>
      <c r="M790" t="s">
        <v>2698</v>
      </c>
      <c r="N790" t="s">
        <v>2690</v>
      </c>
      <c r="O790" t="s">
        <v>2699</v>
      </c>
    </row>
    <row r="791" spans="1:15" ht="15.75">
      <c r="A791" t="s">
        <v>817</v>
      </c>
      <c r="B791" t="s">
        <v>1194</v>
      </c>
      <c r="C791" t="s">
        <v>1282</v>
      </c>
      <c r="D791" t="s">
        <v>16</v>
      </c>
      <c r="E791">
        <v>62</v>
      </c>
      <c r="F791" t="s">
        <v>1132</v>
      </c>
      <c r="G791" t="s">
        <v>2774</v>
      </c>
      <c r="H791" t="s">
        <v>2775</v>
      </c>
      <c r="I791" s="2">
        <v>44840</v>
      </c>
      <c r="J791" t="s">
        <v>1128</v>
      </c>
      <c r="K791" t="s">
        <v>778</v>
      </c>
      <c r="L791" t="s">
        <v>777</v>
      </c>
      <c r="M791" t="s">
        <v>2702</v>
      </c>
      <c r="N791" t="s">
        <v>2690</v>
      </c>
      <c r="O791" t="s">
        <v>2703</v>
      </c>
    </row>
    <row r="792" spans="1:15" ht="15.75">
      <c r="A792" t="s">
        <v>818</v>
      </c>
      <c r="B792" t="s">
        <v>1197</v>
      </c>
      <c r="C792" t="s">
        <v>1282</v>
      </c>
      <c r="D792" t="s">
        <v>21</v>
      </c>
      <c r="E792">
        <v>51</v>
      </c>
      <c r="F792" t="s">
        <v>1132</v>
      </c>
      <c r="G792" t="s">
        <v>2776</v>
      </c>
      <c r="H792" t="s">
        <v>2777</v>
      </c>
      <c r="I792" s="2">
        <v>45237</v>
      </c>
      <c r="J792" t="s">
        <v>1135</v>
      </c>
      <c r="K792" t="s">
        <v>778</v>
      </c>
      <c r="L792" t="s">
        <v>777</v>
      </c>
      <c r="M792" t="s">
        <v>2689</v>
      </c>
      <c r="N792" t="s">
        <v>2690</v>
      </c>
      <c r="O792" t="s">
        <v>2691</v>
      </c>
    </row>
    <row r="793" spans="1:15" ht="15.75">
      <c r="A793" t="s">
        <v>819</v>
      </c>
      <c r="B793" t="s">
        <v>1200</v>
      </c>
      <c r="C793" t="s">
        <v>1282</v>
      </c>
      <c r="D793" t="s">
        <v>21</v>
      </c>
      <c r="E793">
        <v>20</v>
      </c>
      <c r="F793" t="s">
        <v>1164</v>
      </c>
      <c r="G793" t="s">
        <v>2778</v>
      </c>
      <c r="H793" t="s">
        <v>2779</v>
      </c>
      <c r="I793" s="2">
        <v>44538</v>
      </c>
      <c r="J793" t="s">
        <v>1142</v>
      </c>
      <c r="K793" t="s">
        <v>778</v>
      </c>
      <c r="L793" t="s">
        <v>777</v>
      </c>
      <c r="M793" t="s">
        <v>2694</v>
      </c>
      <c r="N793" t="s">
        <v>2690</v>
      </c>
      <c r="O793" t="s">
        <v>2695</v>
      </c>
    </row>
    <row r="794" spans="1:15" ht="15.75">
      <c r="A794" t="s">
        <v>820</v>
      </c>
      <c r="B794" t="s">
        <v>1116</v>
      </c>
      <c r="C794" t="s">
        <v>1307</v>
      </c>
      <c r="D794" t="s">
        <v>16</v>
      </c>
      <c r="E794">
        <v>54</v>
      </c>
      <c r="F794" t="s">
        <v>1132</v>
      </c>
      <c r="G794" t="s">
        <v>2780</v>
      </c>
      <c r="H794" t="s">
        <v>2781</v>
      </c>
      <c r="I794" s="2">
        <v>44570</v>
      </c>
      <c r="J794" t="s">
        <v>1121</v>
      </c>
      <c r="K794" t="s">
        <v>778</v>
      </c>
      <c r="L794" t="s">
        <v>777</v>
      </c>
      <c r="M794" t="s">
        <v>2698</v>
      </c>
      <c r="N794" t="s">
        <v>2690</v>
      </c>
      <c r="O794" t="s">
        <v>2699</v>
      </c>
    </row>
    <row r="795" spans="1:15" ht="15.75">
      <c r="A795" t="s">
        <v>821</v>
      </c>
      <c r="B795" t="s">
        <v>1125</v>
      </c>
      <c r="C795" t="s">
        <v>1307</v>
      </c>
      <c r="D795" t="s">
        <v>21</v>
      </c>
      <c r="E795">
        <v>60</v>
      </c>
      <c r="F795" t="s">
        <v>1132</v>
      </c>
      <c r="G795" t="s">
        <v>2782</v>
      </c>
      <c r="H795" t="s">
        <v>2783</v>
      </c>
      <c r="I795" s="2">
        <v>44967</v>
      </c>
      <c r="J795" t="s">
        <v>1128</v>
      </c>
      <c r="K795" t="s">
        <v>778</v>
      </c>
      <c r="L795" t="s">
        <v>777</v>
      </c>
      <c r="M795" t="s">
        <v>2702</v>
      </c>
      <c r="N795" t="s">
        <v>2690</v>
      </c>
      <c r="O795" t="s">
        <v>2703</v>
      </c>
    </row>
    <row r="796" spans="1:15" ht="15.75">
      <c r="A796" t="s">
        <v>822</v>
      </c>
      <c r="B796" t="s">
        <v>1131</v>
      </c>
      <c r="C796" t="s">
        <v>1307</v>
      </c>
      <c r="D796" t="s">
        <v>16</v>
      </c>
      <c r="E796">
        <v>57</v>
      </c>
      <c r="F796" t="s">
        <v>1132</v>
      </c>
      <c r="G796" t="s">
        <v>2784</v>
      </c>
      <c r="H796" t="s">
        <v>2785</v>
      </c>
      <c r="I796" s="2">
        <v>44266</v>
      </c>
      <c r="J796" t="s">
        <v>1135</v>
      </c>
      <c r="K796" t="s">
        <v>778</v>
      </c>
      <c r="L796" t="s">
        <v>777</v>
      </c>
      <c r="M796" t="s">
        <v>2689</v>
      </c>
      <c r="N796" t="s">
        <v>2690</v>
      </c>
      <c r="O796" t="s">
        <v>2691</v>
      </c>
    </row>
    <row r="797" spans="1:15" ht="15.75">
      <c r="A797" t="s">
        <v>823</v>
      </c>
      <c r="B797" t="s">
        <v>1138</v>
      </c>
      <c r="C797" t="s">
        <v>1307</v>
      </c>
      <c r="D797" t="s">
        <v>16</v>
      </c>
      <c r="E797">
        <v>43</v>
      </c>
      <c r="F797" t="s">
        <v>1139</v>
      </c>
      <c r="G797" t="s">
        <v>2786</v>
      </c>
      <c r="H797" t="s">
        <v>2787</v>
      </c>
      <c r="I797" s="2">
        <v>44663</v>
      </c>
      <c r="J797" t="s">
        <v>1142</v>
      </c>
      <c r="K797" t="s">
        <v>778</v>
      </c>
      <c r="L797" t="s">
        <v>777</v>
      </c>
      <c r="M797" t="s">
        <v>2694</v>
      </c>
      <c r="N797" t="s">
        <v>2690</v>
      </c>
      <c r="O797" t="s">
        <v>2695</v>
      </c>
    </row>
    <row r="798" spans="1:15" ht="15.75">
      <c r="A798" t="s">
        <v>824</v>
      </c>
      <c r="B798" t="s">
        <v>1145</v>
      </c>
      <c r="C798" t="s">
        <v>1307</v>
      </c>
      <c r="D798" t="s">
        <v>16</v>
      </c>
      <c r="E798">
        <v>40</v>
      </c>
      <c r="F798" t="s">
        <v>1139</v>
      </c>
      <c r="G798" t="s">
        <v>2788</v>
      </c>
      <c r="H798" t="s">
        <v>2789</v>
      </c>
      <c r="I798" s="2">
        <v>45059</v>
      </c>
      <c r="J798" t="s">
        <v>1121</v>
      </c>
      <c r="K798" t="s">
        <v>778</v>
      </c>
      <c r="L798" t="s">
        <v>777</v>
      </c>
      <c r="M798" t="s">
        <v>2698</v>
      </c>
      <c r="N798" t="s">
        <v>2690</v>
      </c>
      <c r="O798" t="s">
        <v>2699</v>
      </c>
    </row>
    <row r="799" spans="1:15" ht="15.75">
      <c r="A799" t="s">
        <v>825</v>
      </c>
      <c r="B799" t="s">
        <v>1241</v>
      </c>
      <c r="C799" t="s">
        <v>1307</v>
      </c>
      <c r="D799" t="s">
        <v>16</v>
      </c>
      <c r="E799">
        <v>61</v>
      </c>
      <c r="F799" t="s">
        <v>1132</v>
      </c>
      <c r="G799" t="s">
        <v>2790</v>
      </c>
      <c r="H799" t="s">
        <v>2791</v>
      </c>
      <c r="I799" s="2">
        <v>44361</v>
      </c>
      <c r="J799" t="s">
        <v>1128</v>
      </c>
      <c r="K799" t="s">
        <v>778</v>
      </c>
      <c r="L799" t="s">
        <v>777</v>
      </c>
      <c r="M799" t="s">
        <v>2702</v>
      </c>
      <c r="N799" t="s">
        <v>2690</v>
      </c>
      <c r="O799" t="s">
        <v>2703</v>
      </c>
    </row>
    <row r="800" spans="1:15" ht="15.75">
      <c r="A800" t="s">
        <v>826</v>
      </c>
      <c r="B800" t="s">
        <v>1151</v>
      </c>
      <c r="C800" t="s">
        <v>1307</v>
      </c>
      <c r="D800" t="s">
        <v>16</v>
      </c>
      <c r="E800">
        <v>56</v>
      </c>
      <c r="F800" t="s">
        <v>1132</v>
      </c>
      <c r="G800" t="s">
        <v>2792</v>
      </c>
      <c r="H800" t="s">
        <v>2793</v>
      </c>
      <c r="I800" s="2">
        <v>44757</v>
      </c>
      <c r="J800" t="s">
        <v>1135</v>
      </c>
      <c r="K800" t="s">
        <v>778</v>
      </c>
      <c r="L800" t="s">
        <v>777</v>
      </c>
      <c r="M800" t="s">
        <v>2689</v>
      </c>
      <c r="N800" t="s">
        <v>2690</v>
      </c>
      <c r="O800" t="s">
        <v>2691</v>
      </c>
    </row>
    <row r="801" spans="1:15" ht="15.75">
      <c r="A801" t="s">
        <v>827</v>
      </c>
      <c r="B801" t="s">
        <v>1154</v>
      </c>
      <c r="C801" t="s">
        <v>1307</v>
      </c>
      <c r="D801" t="s">
        <v>16</v>
      </c>
      <c r="E801">
        <v>32</v>
      </c>
      <c r="F801" t="s">
        <v>1118</v>
      </c>
      <c r="G801" t="s">
        <v>2794</v>
      </c>
      <c r="H801" t="s">
        <v>2795</v>
      </c>
      <c r="I801" s="2">
        <v>45154</v>
      </c>
      <c r="J801" t="s">
        <v>1142</v>
      </c>
      <c r="K801" t="s">
        <v>778</v>
      </c>
      <c r="L801" t="s">
        <v>777</v>
      </c>
      <c r="M801" t="s">
        <v>2694</v>
      </c>
      <c r="N801" t="s">
        <v>2690</v>
      </c>
      <c r="O801" t="s">
        <v>2695</v>
      </c>
    </row>
    <row r="802" spans="1:15" ht="15.75">
      <c r="A802" t="s">
        <v>828</v>
      </c>
      <c r="B802" t="s">
        <v>1157</v>
      </c>
      <c r="C802" t="s">
        <v>1307</v>
      </c>
      <c r="D802" t="s">
        <v>16</v>
      </c>
      <c r="E802">
        <v>21</v>
      </c>
      <c r="F802" t="s">
        <v>1164</v>
      </c>
      <c r="G802" t="s">
        <v>2796</v>
      </c>
      <c r="H802" t="s">
        <v>2797</v>
      </c>
      <c r="I802" s="2">
        <v>44456</v>
      </c>
      <c r="J802" t="s">
        <v>1121</v>
      </c>
      <c r="K802" t="s">
        <v>778</v>
      </c>
      <c r="L802" t="s">
        <v>777</v>
      </c>
      <c r="M802" t="s">
        <v>2698</v>
      </c>
      <c r="N802" t="s">
        <v>2690</v>
      </c>
      <c r="O802" t="s">
        <v>2699</v>
      </c>
    </row>
    <row r="803" spans="1:15" ht="15.75">
      <c r="A803" t="s">
        <v>829</v>
      </c>
      <c r="B803" t="s">
        <v>1160</v>
      </c>
      <c r="C803" t="s">
        <v>1307</v>
      </c>
      <c r="D803" t="s">
        <v>21</v>
      </c>
      <c r="E803">
        <v>46</v>
      </c>
      <c r="F803" t="s">
        <v>1132</v>
      </c>
      <c r="G803" t="s">
        <v>2798</v>
      </c>
      <c r="H803" t="s">
        <v>2799</v>
      </c>
      <c r="I803" s="2">
        <v>44852</v>
      </c>
      <c r="J803" t="s">
        <v>1128</v>
      </c>
      <c r="K803" t="s">
        <v>778</v>
      </c>
      <c r="L803" t="s">
        <v>777</v>
      </c>
      <c r="M803" t="s">
        <v>2702</v>
      </c>
      <c r="N803" t="s">
        <v>2690</v>
      </c>
      <c r="O803" t="s">
        <v>2703</v>
      </c>
    </row>
    <row r="804" spans="1:15" ht="15.75">
      <c r="A804" t="s">
        <v>830</v>
      </c>
      <c r="B804" t="s">
        <v>1163</v>
      </c>
      <c r="C804" t="s">
        <v>1307</v>
      </c>
      <c r="D804" t="s">
        <v>16</v>
      </c>
      <c r="E804">
        <v>39</v>
      </c>
      <c r="F804" t="s">
        <v>1139</v>
      </c>
      <c r="G804" t="s">
        <v>2800</v>
      </c>
      <c r="H804" t="s">
        <v>2801</v>
      </c>
      <c r="I804" s="2">
        <v>45249</v>
      </c>
      <c r="J804" t="s">
        <v>1135</v>
      </c>
      <c r="K804" t="s">
        <v>778</v>
      </c>
      <c r="L804" t="s">
        <v>777</v>
      </c>
      <c r="M804" t="s">
        <v>2689</v>
      </c>
      <c r="N804" t="s">
        <v>2690</v>
      </c>
      <c r="O804" t="s">
        <v>2691</v>
      </c>
    </row>
    <row r="805" spans="1:15" ht="15.75">
      <c r="A805" t="s">
        <v>831</v>
      </c>
      <c r="B805" t="s">
        <v>1167</v>
      </c>
      <c r="C805" t="s">
        <v>1307</v>
      </c>
      <c r="D805" t="s">
        <v>16</v>
      </c>
      <c r="E805">
        <v>42</v>
      </c>
      <c r="F805" t="s">
        <v>1139</v>
      </c>
      <c r="G805" t="s">
        <v>2802</v>
      </c>
      <c r="H805" t="s">
        <v>2803</v>
      </c>
      <c r="I805" s="2">
        <v>44550</v>
      </c>
      <c r="J805" t="s">
        <v>1142</v>
      </c>
      <c r="K805" t="s">
        <v>778</v>
      </c>
      <c r="L805" t="s">
        <v>777</v>
      </c>
      <c r="M805" t="s">
        <v>2694</v>
      </c>
      <c r="N805" t="s">
        <v>2690</v>
      </c>
      <c r="O805" t="s">
        <v>2695</v>
      </c>
    </row>
    <row r="806" spans="1:15" ht="15.75">
      <c r="A806" t="s">
        <v>832</v>
      </c>
      <c r="B806" t="s">
        <v>1203</v>
      </c>
      <c r="C806" t="s">
        <v>1332</v>
      </c>
      <c r="D806" t="s">
        <v>21</v>
      </c>
      <c r="E806">
        <v>30</v>
      </c>
      <c r="F806" t="s">
        <v>1118</v>
      </c>
      <c r="G806" t="s">
        <v>2804</v>
      </c>
      <c r="H806" t="s">
        <v>2805</v>
      </c>
      <c r="I806" s="2">
        <v>44582</v>
      </c>
      <c r="J806" t="s">
        <v>1121</v>
      </c>
      <c r="K806" t="s">
        <v>778</v>
      </c>
      <c r="L806" t="s">
        <v>777</v>
      </c>
      <c r="M806" t="s">
        <v>2698</v>
      </c>
      <c r="N806" t="s">
        <v>2690</v>
      </c>
      <c r="O806" t="s">
        <v>2699</v>
      </c>
    </row>
    <row r="807" spans="1:15" ht="15.75">
      <c r="A807" t="s">
        <v>833</v>
      </c>
      <c r="B807" t="s">
        <v>1125</v>
      </c>
      <c r="C807" t="s">
        <v>1332</v>
      </c>
      <c r="D807" t="s">
        <v>21</v>
      </c>
      <c r="E807">
        <v>35</v>
      </c>
      <c r="F807" t="s">
        <v>1118</v>
      </c>
      <c r="G807" t="s">
        <v>2806</v>
      </c>
      <c r="H807" t="s">
        <v>2807</v>
      </c>
      <c r="I807" s="2">
        <v>44979</v>
      </c>
      <c r="J807" t="s">
        <v>1128</v>
      </c>
      <c r="K807" t="s">
        <v>778</v>
      </c>
      <c r="L807" t="s">
        <v>777</v>
      </c>
      <c r="M807" t="s">
        <v>2702</v>
      </c>
      <c r="N807" t="s">
        <v>2690</v>
      </c>
      <c r="O807" t="s">
        <v>2703</v>
      </c>
    </row>
    <row r="808" spans="1:15" ht="15.75">
      <c r="A808" t="s">
        <v>834</v>
      </c>
      <c r="B808" t="s">
        <v>1176</v>
      </c>
      <c r="C808" t="s">
        <v>1332</v>
      </c>
      <c r="D808" t="s">
        <v>21</v>
      </c>
      <c r="E808">
        <v>50</v>
      </c>
      <c r="F808" t="s">
        <v>1132</v>
      </c>
      <c r="G808" t="s">
        <v>2808</v>
      </c>
      <c r="H808" t="s">
        <v>2809</v>
      </c>
      <c r="I808" s="2">
        <v>44278</v>
      </c>
      <c r="J808" t="s">
        <v>1135</v>
      </c>
      <c r="K808" t="s">
        <v>778</v>
      </c>
      <c r="L808" t="s">
        <v>777</v>
      </c>
      <c r="M808" t="s">
        <v>2689</v>
      </c>
      <c r="N808" t="s">
        <v>2690</v>
      </c>
      <c r="O808" t="s">
        <v>2691</v>
      </c>
    </row>
    <row r="809" spans="1:15" ht="15.75">
      <c r="A809" t="s">
        <v>835</v>
      </c>
      <c r="B809" t="s">
        <v>1138</v>
      </c>
      <c r="C809" t="s">
        <v>1332</v>
      </c>
      <c r="D809" t="s">
        <v>16</v>
      </c>
      <c r="E809">
        <v>33</v>
      </c>
      <c r="F809" t="s">
        <v>1118</v>
      </c>
      <c r="G809" t="s">
        <v>2810</v>
      </c>
      <c r="H809" t="s">
        <v>2811</v>
      </c>
      <c r="I809" s="2">
        <v>44675</v>
      </c>
      <c r="J809" t="s">
        <v>1142</v>
      </c>
      <c r="K809" t="s">
        <v>778</v>
      </c>
      <c r="L809" t="s">
        <v>777</v>
      </c>
      <c r="M809" t="s">
        <v>2694</v>
      </c>
      <c r="N809" t="s">
        <v>2690</v>
      </c>
      <c r="O809" t="s">
        <v>2695</v>
      </c>
    </row>
    <row r="810" spans="1:15" ht="15.75">
      <c r="A810" t="s">
        <v>836</v>
      </c>
      <c r="B810" t="s">
        <v>1181</v>
      </c>
      <c r="C810" t="s">
        <v>1332</v>
      </c>
      <c r="D810" t="s">
        <v>21</v>
      </c>
      <c r="E810">
        <v>62</v>
      </c>
      <c r="F810" t="s">
        <v>1132</v>
      </c>
      <c r="G810" t="s">
        <v>2812</v>
      </c>
      <c r="H810" t="s">
        <v>2813</v>
      </c>
      <c r="I810" s="2">
        <v>45071</v>
      </c>
      <c r="J810" t="s">
        <v>1121</v>
      </c>
      <c r="K810" t="s">
        <v>778</v>
      </c>
      <c r="L810" t="s">
        <v>777</v>
      </c>
      <c r="M810" t="s">
        <v>2698</v>
      </c>
      <c r="N810" t="s">
        <v>2690</v>
      </c>
      <c r="O810" t="s">
        <v>2699</v>
      </c>
    </row>
    <row r="811" spans="1:15" ht="15.75">
      <c r="A811" t="s">
        <v>837</v>
      </c>
      <c r="B811" t="s">
        <v>1241</v>
      </c>
      <c r="C811" t="s">
        <v>1332</v>
      </c>
      <c r="D811" t="s">
        <v>16</v>
      </c>
      <c r="E811">
        <v>59</v>
      </c>
      <c r="F811" t="s">
        <v>1132</v>
      </c>
      <c r="G811" t="s">
        <v>2814</v>
      </c>
      <c r="H811" t="s">
        <v>2815</v>
      </c>
      <c r="I811" s="2">
        <v>44373</v>
      </c>
      <c r="J811" t="s">
        <v>1128</v>
      </c>
      <c r="K811" t="s">
        <v>778</v>
      </c>
      <c r="L811" t="s">
        <v>777</v>
      </c>
      <c r="M811" t="s">
        <v>2702</v>
      </c>
      <c r="N811" t="s">
        <v>2690</v>
      </c>
      <c r="O811" t="s">
        <v>2703</v>
      </c>
    </row>
    <row r="812" spans="1:15" ht="15.75">
      <c r="A812" t="s">
        <v>838</v>
      </c>
      <c r="B812" t="s">
        <v>1151</v>
      </c>
      <c r="C812" t="s">
        <v>1332</v>
      </c>
      <c r="D812" t="s">
        <v>16</v>
      </c>
      <c r="E812">
        <v>61</v>
      </c>
      <c r="F812" t="s">
        <v>1132</v>
      </c>
      <c r="G812" t="s">
        <v>2816</v>
      </c>
      <c r="H812" t="s">
        <v>2817</v>
      </c>
      <c r="I812" s="2">
        <v>44769</v>
      </c>
      <c r="J812" t="s">
        <v>1135</v>
      </c>
      <c r="K812" t="s">
        <v>778</v>
      </c>
      <c r="L812" t="s">
        <v>777</v>
      </c>
      <c r="M812" t="s">
        <v>2689</v>
      </c>
      <c r="N812" t="s">
        <v>2690</v>
      </c>
      <c r="O812" t="s">
        <v>2691</v>
      </c>
    </row>
    <row r="813" spans="1:15" ht="15.75">
      <c r="A813" t="s">
        <v>839</v>
      </c>
      <c r="B813" t="s">
        <v>1154</v>
      </c>
      <c r="C813" t="s">
        <v>1332</v>
      </c>
      <c r="D813" t="s">
        <v>16</v>
      </c>
      <c r="E813">
        <v>19</v>
      </c>
      <c r="F813" t="s">
        <v>1164</v>
      </c>
      <c r="G813" t="s">
        <v>2818</v>
      </c>
      <c r="H813" t="s">
        <v>2819</v>
      </c>
      <c r="I813" s="2">
        <v>45166</v>
      </c>
      <c r="J813" t="s">
        <v>1142</v>
      </c>
      <c r="K813" t="s">
        <v>778</v>
      </c>
      <c r="L813" t="s">
        <v>777</v>
      </c>
      <c r="M813" t="s">
        <v>2694</v>
      </c>
      <c r="N813" t="s">
        <v>2690</v>
      </c>
      <c r="O813" t="s">
        <v>2695</v>
      </c>
    </row>
    <row r="814" spans="1:15" ht="15.75">
      <c r="A814" t="s">
        <v>840</v>
      </c>
      <c r="B814" t="s">
        <v>1157</v>
      </c>
      <c r="C814" t="s">
        <v>1332</v>
      </c>
      <c r="D814" t="s">
        <v>16</v>
      </c>
      <c r="E814">
        <v>52</v>
      </c>
      <c r="F814" t="s">
        <v>1132</v>
      </c>
      <c r="G814" t="s">
        <v>2820</v>
      </c>
      <c r="H814" t="s">
        <v>2821</v>
      </c>
      <c r="I814" s="2">
        <v>44440</v>
      </c>
      <c r="J814" t="s">
        <v>1121</v>
      </c>
      <c r="K814" t="s">
        <v>778</v>
      </c>
      <c r="L814" t="s">
        <v>777</v>
      </c>
      <c r="M814" t="s">
        <v>2698</v>
      </c>
      <c r="N814" t="s">
        <v>2690</v>
      </c>
      <c r="O814" t="s">
        <v>2699</v>
      </c>
    </row>
    <row r="815" spans="1:15" ht="15.75">
      <c r="A815" t="s">
        <v>841</v>
      </c>
      <c r="B815" t="s">
        <v>1160</v>
      </c>
      <c r="C815" t="s">
        <v>1332</v>
      </c>
      <c r="D815" t="s">
        <v>21</v>
      </c>
      <c r="E815">
        <v>59</v>
      </c>
      <c r="F815" t="s">
        <v>1132</v>
      </c>
      <c r="G815" t="s">
        <v>2822</v>
      </c>
      <c r="H815" t="s">
        <v>2823</v>
      </c>
      <c r="I815" s="2">
        <v>44836</v>
      </c>
      <c r="J815" t="s">
        <v>1128</v>
      </c>
      <c r="K815" t="s">
        <v>778</v>
      </c>
      <c r="L815" t="s">
        <v>777</v>
      </c>
      <c r="M815" t="s">
        <v>2702</v>
      </c>
      <c r="N815" t="s">
        <v>2690</v>
      </c>
      <c r="O815" t="s">
        <v>2703</v>
      </c>
    </row>
    <row r="816" spans="1:15" ht="15.75">
      <c r="A816" t="s">
        <v>842</v>
      </c>
      <c r="B816" t="s">
        <v>1197</v>
      </c>
      <c r="C816" t="s">
        <v>1332</v>
      </c>
      <c r="D816" t="s">
        <v>21</v>
      </c>
      <c r="E816">
        <v>51</v>
      </c>
      <c r="F816" t="s">
        <v>1132</v>
      </c>
      <c r="G816" t="s">
        <v>2824</v>
      </c>
      <c r="H816" t="s">
        <v>2825</v>
      </c>
      <c r="I816" s="2">
        <v>45233</v>
      </c>
      <c r="J816" t="s">
        <v>1135</v>
      </c>
      <c r="K816" t="s">
        <v>778</v>
      </c>
      <c r="L816" t="s">
        <v>777</v>
      </c>
      <c r="M816" t="s">
        <v>2689</v>
      </c>
      <c r="N816" t="s">
        <v>2690</v>
      </c>
      <c r="O816" t="s">
        <v>2691</v>
      </c>
    </row>
    <row r="817" spans="1:15" ht="15.75">
      <c r="A817" t="s">
        <v>843</v>
      </c>
      <c r="B817" t="s">
        <v>1167</v>
      </c>
      <c r="C817" t="s">
        <v>1332</v>
      </c>
      <c r="D817" t="s">
        <v>16</v>
      </c>
      <c r="E817">
        <v>47</v>
      </c>
      <c r="F817" t="s">
        <v>1132</v>
      </c>
      <c r="G817" t="s">
        <v>2826</v>
      </c>
      <c r="H817" t="s">
        <v>2827</v>
      </c>
      <c r="I817" s="2">
        <v>44534</v>
      </c>
      <c r="J817" t="s">
        <v>1142</v>
      </c>
      <c r="K817" t="s">
        <v>778</v>
      </c>
      <c r="L817" t="s">
        <v>777</v>
      </c>
      <c r="M817" t="s">
        <v>2694</v>
      </c>
      <c r="N817" t="s">
        <v>2690</v>
      </c>
      <c r="O817" t="s">
        <v>2695</v>
      </c>
    </row>
    <row r="818" spans="1:15" ht="15.75">
      <c r="A818" t="s">
        <v>844</v>
      </c>
      <c r="B818" t="s">
        <v>1116</v>
      </c>
      <c r="C818" t="s">
        <v>1357</v>
      </c>
      <c r="D818" t="s">
        <v>16</v>
      </c>
      <c r="E818">
        <v>30</v>
      </c>
      <c r="F818" t="s">
        <v>1118</v>
      </c>
      <c r="G818" t="s">
        <v>2828</v>
      </c>
      <c r="H818" t="s">
        <v>2829</v>
      </c>
      <c r="I818" s="2">
        <v>44566</v>
      </c>
      <c r="J818" t="s">
        <v>1121</v>
      </c>
      <c r="K818" t="s">
        <v>778</v>
      </c>
      <c r="L818" t="s">
        <v>777</v>
      </c>
      <c r="M818" t="s">
        <v>2698</v>
      </c>
      <c r="N818" t="s">
        <v>2690</v>
      </c>
      <c r="O818" t="s">
        <v>2699</v>
      </c>
    </row>
    <row r="819" spans="1:15" ht="15.75">
      <c r="A819" t="s">
        <v>845</v>
      </c>
      <c r="B819" t="s">
        <v>1173</v>
      </c>
      <c r="C819" t="s">
        <v>1357</v>
      </c>
      <c r="D819" t="s">
        <v>16</v>
      </c>
      <c r="E819">
        <v>30</v>
      </c>
      <c r="F819" t="s">
        <v>1118</v>
      </c>
      <c r="G819" t="s">
        <v>2830</v>
      </c>
      <c r="H819" t="s">
        <v>2831</v>
      </c>
      <c r="I819" s="2">
        <v>44963</v>
      </c>
      <c r="J819" t="s">
        <v>1128</v>
      </c>
      <c r="K819" t="s">
        <v>778</v>
      </c>
      <c r="L819" t="s">
        <v>777</v>
      </c>
      <c r="M819" t="s">
        <v>2702</v>
      </c>
      <c r="N819" t="s">
        <v>2690</v>
      </c>
      <c r="O819" t="s">
        <v>2703</v>
      </c>
    </row>
    <row r="820" spans="1:15" ht="15.75">
      <c r="A820" t="s">
        <v>846</v>
      </c>
      <c r="B820" t="s">
        <v>1176</v>
      </c>
      <c r="C820" t="s">
        <v>1357</v>
      </c>
      <c r="D820" t="s">
        <v>21</v>
      </c>
      <c r="E820">
        <v>35</v>
      </c>
      <c r="F820" t="s">
        <v>1118</v>
      </c>
      <c r="G820" t="s">
        <v>2832</v>
      </c>
      <c r="H820" t="s">
        <v>2833</v>
      </c>
      <c r="I820" s="2">
        <v>44262</v>
      </c>
      <c r="J820" t="s">
        <v>1135</v>
      </c>
      <c r="K820" t="s">
        <v>778</v>
      </c>
      <c r="L820" t="s">
        <v>777</v>
      </c>
      <c r="M820" t="s">
        <v>2689</v>
      </c>
      <c r="N820" t="s">
        <v>2690</v>
      </c>
      <c r="O820" t="s">
        <v>2691</v>
      </c>
    </row>
    <row r="821" spans="1:15" ht="15.75">
      <c r="A821" t="s">
        <v>847</v>
      </c>
      <c r="B821" t="s">
        <v>1138</v>
      </c>
      <c r="C821" t="s">
        <v>1357</v>
      </c>
      <c r="D821" t="s">
        <v>16</v>
      </c>
      <c r="E821">
        <v>49</v>
      </c>
      <c r="F821" t="s">
        <v>1132</v>
      </c>
      <c r="G821" t="s">
        <v>2834</v>
      </c>
      <c r="H821" t="s">
        <v>2835</v>
      </c>
      <c r="I821" s="2">
        <v>44659</v>
      </c>
      <c r="J821" t="s">
        <v>1142</v>
      </c>
      <c r="K821" t="s">
        <v>778</v>
      </c>
      <c r="L821" t="s">
        <v>777</v>
      </c>
      <c r="M821" t="s">
        <v>2694</v>
      </c>
      <c r="N821" t="s">
        <v>2690</v>
      </c>
      <c r="O821" t="s">
        <v>2695</v>
      </c>
    </row>
    <row r="822" spans="1:15" ht="15.75">
      <c r="A822" t="s">
        <v>848</v>
      </c>
      <c r="B822" t="s">
        <v>1145</v>
      </c>
      <c r="C822" t="s">
        <v>1357</v>
      </c>
      <c r="D822" t="s">
        <v>16</v>
      </c>
      <c r="E822">
        <v>49</v>
      </c>
      <c r="F822" t="s">
        <v>1132</v>
      </c>
      <c r="G822" t="s">
        <v>2836</v>
      </c>
      <c r="H822" t="s">
        <v>2837</v>
      </c>
      <c r="I822" s="2">
        <v>45055</v>
      </c>
      <c r="J822" t="s">
        <v>1121</v>
      </c>
      <c r="K822" t="s">
        <v>778</v>
      </c>
      <c r="L822" t="s">
        <v>777</v>
      </c>
      <c r="M822" t="s">
        <v>2698</v>
      </c>
      <c r="N822" t="s">
        <v>2690</v>
      </c>
      <c r="O822" t="s">
        <v>2699</v>
      </c>
    </row>
    <row r="823" spans="1:15" ht="15.75">
      <c r="A823" t="s">
        <v>849</v>
      </c>
      <c r="B823" t="s">
        <v>1148</v>
      </c>
      <c r="C823" t="s">
        <v>1357</v>
      </c>
      <c r="D823" t="s">
        <v>21</v>
      </c>
      <c r="E823">
        <v>52</v>
      </c>
      <c r="F823" t="s">
        <v>1132</v>
      </c>
      <c r="G823" t="s">
        <v>2838</v>
      </c>
      <c r="H823" t="s">
        <v>2839</v>
      </c>
      <c r="I823" s="2">
        <v>44357</v>
      </c>
      <c r="J823" t="s">
        <v>1128</v>
      </c>
      <c r="K823" t="s">
        <v>778</v>
      </c>
      <c r="L823" t="s">
        <v>777</v>
      </c>
      <c r="M823" t="s">
        <v>2702</v>
      </c>
      <c r="N823" t="s">
        <v>2690</v>
      </c>
      <c r="O823" t="s">
        <v>2703</v>
      </c>
    </row>
    <row r="824" spans="1:15" ht="15.75">
      <c r="A824" t="s">
        <v>850</v>
      </c>
      <c r="B824" t="s">
        <v>1186</v>
      </c>
      <c r="C824" t="s">
        <v>1357</v>
      </c>
      <c r="D824" t="s">
        <v>21</v>
      </c>
      <c r="E824">
        <v>56</v>
      </c>
      <c r="F824" t="s">
        <v>1132</v>
      </c>
      <c r="G824" t="s">
        <v>2840</v>
      </c>
      <c r="H824" t="s">
        <v>2841</v>
      </c>
      <c r="I824" s="2">
        <v>44753</v>
      </c>
      <c r="J824" t="s">
        <v>1135</v>
      </c>
      <c r="K824" t="s">
        <v>778</v>
      </c>
      <c r="L824" t="s">
        <v>777</v>
      </c>
      <c r="M824" t="s">
        <v>2689</v>
      </c>
      <c r="N824" t="s">
        <v>2690</v>
      </c>
      <c r="O824" t="s">
        <v>2691</v>
      </c>
    </row>
    <row r="825" spans="1:15" ht="15.75">
      <c r="A825" t="s">
        <v>851</v>
      </c>
      <c r="B825" t="s">
        <v>1154</v>
      </c>
      <c r="C825" t="s">
        <v>1357</v>
      </c>
      <c r="D825" t="s">
        <v>16</v>
      </c>
      <c r="E825">
        <v>63</v>
      </c>
      <c r="F825" t="s">
        <v>1132</v>
      </c>
      <c r="G825" t="s">
        <v>2842</v>
      </c>
      <c r="H825" t="s">
        <v>2843</v>
      </c>
      <c r="I825" s="2">
        <v>45150</v>
      </c>
      <c r="J825" t="s">
        <v>1142</v>
      </c>
      <c r="K825" t="s">
        <v>778</v>
      </c>
      <c r="L825" t="s">
        <v>777</v>
      </c>
      <c r="M825" t="s">
        <v>2694</v>
      </c>
      <c r="N825" t="s">
        <v>2690</v>
      </c>
      <c r="O825" t="s">
        <v>2695</v>
      </c>
    </row>
    <row r="826" spans="1:15" ht="15.75">
      <c r="A826" t="s">
        <v>852</v>
      </c>
      <c r="B826" t="s">
        <v>1191</v>
      </c>
      <c r="C826" t="s">
        <v>1357</v>
      </c>
      <c r="D826" t="s">
        <v>21</v>
      </c>
      <c r="E826">
        <v>46</v>
      </c>
      <c r="F826" t="s">
        <v>1132</v>
      </c>
      <c r="G826" t="s">
        <v>2844</v>
      </c>
      <c r="H826" t="s">
        <v>2845</v>
      </c>
      <c r="I826" s="2">
        <v>44452</v>
      </c>
      <c r="J826" t="s">
        <v>1121</v>
      </c>
      <c r="K826" t="s">
        <v>778</v>
      </c>
      <c r="L826" t="s">
        <v>777</v>
      </c>
      <c r="M826" t="s">
        <v>2698</v>
      </c>
      <c r="N826" t="s">
        <v>2690</v>
      </c>
      <c r="O826" t="s">
        <v>2699</v>
      </c>
    </row>
    <row r="827" spans="1:15" ht="15.75">
      <c r="A827" t="s">
        <v>853</v>
      </c>
      <c r="B827" t="s">
        <v>1160</v>
      </c>
      <c r="C827" t="s">
        <v>1357</v>
      </c>
      <c r="D827" t="s">
        <v>21</v>
      </c>
      <c r="E827">
        <v>46</v>
      </c>
      <c r="F827" t="s">
        <v>1132</v>
      </c>
      <c r="G827" t="s">
        <v>2846</v>
      </c>
      <c r="H827" t="s">
        <v>2847</v>
      </c>
      <c r="I827" s="2">
        <v>44848</v>
      </c>
      <c r="J827" t="s">
        <v>1128</v>
      </c>
      <c r="K827" t="s">
        <v>778</v>
      </c>
      <c r="L827" t="s">
        <v>777</v>
      </c>
      <c r="M827" t="s">
        <v>2702</v>
      </c>
      <c r="N827" t="s">
        <v>2690</v>
      </c>
      <c r="O827" t="s">
        <v>2703</v>
      </c>
    </row>
    <row r="828" spans="1:15" ht="15.75">
      <c r="A828" t="s">
        <v>854</v>
      </c>
      <c r="B828" t="s">
        <v>1163</v>
      </c>
      <c r="C828" t="s">
        <v>1357</v>
      </c>
      <c r="D828" t="s">
        <v>16</v>
      </c>
      <c r="E828">
        <v>61</v>
      </c>
      <c r="F828" t="s">
        <v>1132</v>
      </c>
      <c r="G828" t="s">
        <v>2848</v>
      </c>
      <c r="H828" t="s">
        <v>2849</v>
      </c>
      <c r="I828" s="2">
        <v>45245</v>
      </c>
      <c r="J828" t="s">
        <v>1135</v>
      </c>
      <c r="K828" t="s">
        <v>778</v>
      </c>
      <c r="L828" t="s">
        <v>777</v>
      </c>
      <c r="M828" t="s">
        <v>2689</v>
      </c>
      <c r="N828" t="s">
        <v>2690</v>
      </c>
      <c r="O828" t="s">
        <v>2691</v>
      </c>
    </row>
    <row r="829" spans="1:15" ht="15.75">
      <c r="A829" t="s">
        <v>855</v>
      </c>
      <c r="B829" t="s">
        <v>1200</v>
      </c>
      <c r="C829" t="s">
        <v>1357</v>
      </c>
      <c r="D829" t="s">
        <v>21</v>
      </c>
      <c r="E829">
        <v>33</v>
      </c>
      <c r="F829" t="s">
        <v>1118</v>
      </c>
      <c r="G829" t="s">
        <v>2850</v>
      </c>
      <c r="H829" t="s">
        <v>2851</v>
      </c>
      <c r="I829" s="2">
        <v>44546</v>
      </c>
      <c r="J829" t="s">
        <v>1142</v>
      </c>
      <c r="K829" t="s">
        <v>778</v>
      </c>
      <c r="L829" t="s">
        <v>777</v>
      </c>
      <c r="M829" t="s">
        <v>2694</v>
      </c>
      <c r="N829" t="s">
        <v>2690</v>
      </c>
      <c r="O829" t="s">
        <v>2695</v>
      </c>
    </row>
    <row r="830" spans="1:15" ht="15.75">
      <c r="A830" t="s">
        <v>856</v>
      </c>
      <c r="B830" t="s">
        <v>1116</v>
      </c>
      <c r="C830" t="s">
        <v>1382</v>
      </c>
      <c r="D830" t="s">
        <v>16</v>
      </c>
      <c r="E830">
        <v>61</v>
      </c>
      <c r="F830" t="s">
        <v>1132</v>
      </c>
      <c r="G830" t="s">
        <v>2852</v>
      </c>
      <c r="H830" t="s">
        <v>2853</v>
      </c>
      <c r="I830" s="2">
        <v>44578</v>
      </c>
      <c r="J830" t="s">
        <v>1121</v>
      </c>
      <c r="K830" t="s">
        <v>778</v>
      </c>
      <c r="L830" t="s">
        <v>777</v>
      </c>
      <c r="M830" t="s">
        <v>2698</v>
      </c>
      <c r="N830" t="s">
        <v>2690</v>
      </c>
      <c r="O830" t="s">
        <v>2699</v>
      </c>
    </row>
    <row r="831" spans="1:15" ht="15.75">
      <c r="A831" t="s">
        <v>857</v>
      </c>
      <c r="B831" t="s">
        <v>1125</v>
      </c>
      <c r="C831" t="s">
        <v>1382</v>
      </c>
      <c r="D831" t="s">
        <v>21</v>
      </c>
      <c r="E831">
        <v>64</v>
      </c>
      <c r="F831" t="s">
        <v>1132</v>
      </c>
      <c r="G831" t="s">
        <v>2854</v>
      </c>
      <c r="H831" t="s">
        <v>2855</v>
      </c>
      <c r="I831" s="2">
        <v>44975</v>
      </c>
      <c r="J831" t="s">
        <v>1128</v>
      </c>
      <c r="K831" t="s">
        <v>778</v>
      </c>
      <c r="L831" t="s">
        <v>777</v>
      </c>
      <c r="M831" t="s">
        <v>2702</v>
      </c>
      <c r="N831" t="s">
        <v>2690</v>
      </c>
      <c r="O831" t="s">
        <v>2703</v>
      </c>
    </row>
    <row r="832" spans="1:15" ht="15.75">
      <c r="A832" t="s">
        <v>858</v>
      </c>
      <c r="B832" t="s">
        <v>1131</v>
      </c>
      <c r="C832" t="s">
        <v>1382</v>
      </c>
      <c r="D832" t="s">
        <v>16</v>
      </c>
      <c r="E832">
        <v>27</v>
      </c>
      <c r="F832" t="s">
        <v>1118</v>
      </c>
      <c r="G832" t="s">
        <v>2856</v>
      </c>
      <c r="H832" t="s">
        <v>2857</v>
      </c>
      <c r="I832" s="2">
        <v>44274</v>
      </c>
      <c r="J832" t="s">
        <v>1135</v>
      </c>
      <c r="K832" t="s">
        <v>778</v>
      </c>
      <c r="L832" t="s">
        <v>777</v>
      </c>
      <c r="M832" t="s">
        <v>2689</v>
      </c>
      <c r="N832" t="s">
        <v>2690</v>
      </c>
      <c r="O832" t="s">
        <v>2691</v>
      </c>
    </row>
    <row r="833" spans="1:15" ht="15.75">
      <c r="A833" t="s">
        <v>859</v>
      </c>
      <c r="B833" t="s">
        <v>1138</v>
      </c>
      <c r="C833" t="s">
        <v>1382</v>
      </c>
      <c r="D833" t="s">
        <v>16</v>
      </c>
      <c r="E833">
        <v>47</v>
      </c>
      <c r="F833" t="s">
        <v>1132</v>
      </c>
      <c r="G833" t="s">
        <v>2858</v>
      </c>
      <c r="H833" t="s">
        <v>2859</v>
      </c>
      <c r="I833" s="2">
        <v>44671</v>
      </c>
      <c r="J833" t="s">
        <v>1142</v>
      </c>
      <c r="K833" t="s">
        <v>778</v>
      </c>
      <c r="L833" t="s">
        <v>777</v>
      </c>
      <c r="M833" t="s">
        <v>2694</v>
      </c>
      <c r="N833" t="s">
        <v>2690</v>
      </c>
      <c r="O833" t="s">
        <v>2695</v>
      </c>
    </row>
    <row r="834" spans="1:15" ht="15.75">
      <c r="A834" t="s">
        <v>860</v>
      </c>
      <c r="B834" t="s">
        <v>1145</v>
      </c>
      <c r="C834" t="s">
        <v>1382</v>
      </c>
      <c r="D834" t="s">
        <v>16</v>
      </c>
      <c r="E834">
        <v>42</v>
      </c>
      <c r="F834" t="s">
        <v>1139</v>
      </c>
      <c r="G834" t="s">
        <v>2860</v>
      </c>
      <c r="H834" t="s">
        <v>2861</v>
      </c>
      <c r="I834" s="2">
        <v>45067</v>
      </c>
      <c r="J834" t="s">
        <v>1121</v>
      </c>
      <c r="K834" t="s">
        <v>778</v>
      </c>
      <c r="L834" t="s">
        <v>777</v>
      </c>
      <c r="M834" t="s">
        <v>2698</v>
      </c>
      <c r="N834" t="s">
        <v>2690</v>
      </c>
      <c r="O834" t="s">
        <v>2699</v>
      </c>
    </row>
    <row r="835" spans="1:15" ht="15.75">
      <c r="A835" t="s">
        <v>861</v>
      </c>
      <c r="B835" t="s">
        <v>1148</v>
      </c>
      <c r="C835" t="s">
        <v>1382</v>
      </c>
      <c r="D835" t="s">
        <v>21</v>
      </c>
      <c r="E835">
        <v>56</v>
      </c>
      <c r="F835" t="s">
        <v>1132</v>
      </c>
      <c r="G835" t="s">
        <v>2862</v>
      </c>
      <c r="H835" t="s">
        <v>2863</v>
      </c>
      <c r="I835" s="2">
        <v>44369</v>
      </c>
      <c r="J835" t="s">
        <v>1128</v>
      </c>
      <c r="K835" t="s">
        <v>778</v>
      </c>
      <c r="L835" t="s">
        <v>777</v>
      </c>
      <c r="M835" t="s">
        <v>2702</v>
      </c>
      <c r="N835" t="s">
        <v>2690</v>
      </c>
      <c r="O835" t="s">
        <v>2703</v>
      </c>
    </row>
    <row r="836" spans="1:15" ht="15.75">
      <c r="A836" t="s">
        <v>862</v>
      </c>
      <c r="B836" t="s">
        <v>1151</v>
      </c>
      <c r="C836" t="s">
        <v>1382</v>
      </c>
      <c r="D836" t="s">
        <v>16</v>
      </c>
      <c r="E836">
        <v>37</v>
      </c>
      <c r="F836" t="s">
        <v>1139</v>
      </c>
      <c r="G836" t="s">
        <v>2864</v>
      </c>
      <c r="H836" t="s">
        <v>2865</v>
      </c>
      <c r="I836" s="2">
        <v>44765</v>
      </c>
      <c r="J836" t="s">
        <v>1135</v>
      </c>
      <c r="K836" t="s">
        <v>778</v>
      </c>
      <c r="L836" t="s">
        <v>777</v>
      </c>
      <c r="M836" t="s">
        <v>2689</v>
      </c>
      <c r="N836" t="s">
        <v>2690</v>
      </c>
      <c r="O836" t="s">
        <v>2691</v>
      </c>
    </row>
    <row r="837" spans="1:15" ht="15.75">
      <c r="A837" t="s">
        <v>863</v>
      </c>
      <c r="B837" t="s">
        <v>1246</v>
      </c>
      <c r="C837" t="s">
        <v>1382</v>
      </c>
      <c r="D837" t="s">
        <v>21</v>
      </c>
      <c r="E837">
        <v>22</v>
      </c>
      <c r="F837" t="s">
        <v>1164</v>
      </c>
      <c r="G837" t="s">
        <v>2866</v>
      </c>
      <c r="H837" t="s">
        <v>2867</v>
      </c>
      <c r="I837" s="2">
        <v>45162</v>
      </c>
      <c r="J837" t="s">
        <v>1142</v>
      </c>
      <c r="K837" t="s">
        <v>778</v>
      </c>
      <c r="L837" t="s">
        <v>777</v>
      </c>
      <c r="M837" t="s">
        <v>2694</v>
      </c>
      <c r="N837" t="s">
        <v>2690</v>
      </c>
      <c r="O837" t="s">
        <v>2695</v>
      </c>
    </row>
    <row r="838" spans="1:15" ht="15.75">
      <c r="A838" t="s">
        <v>864</v>
      </c>
      <c r="B838" t="s">
        <v>1157</v>
      </c>
      <c r="C838" t="s">
        <v>1382</v>
      </c>
      <c r="D838" t="s">
        <v>16</v>
      </c>
      <c r="E838">
        <v>18</v>
      </c>
      <c r="F838" t="s">
        <v>1164</v>
      </c>
      <c r="G838" t="s">
        <v>2868</v>
      </c>
      <c r="H838" t="s">
        <v>2869</v>
      </c>
      <c r="I838" s="2">
        <v>44464</v>
      </c>
      <c r="J838" t="s">
        <v>1121</v>
      </c>
      <c r="K838" t="s">
        <v>778</v>
      </c>
      <c r="L838" t="s">
        <v>777</v>
      </c>
      <c r="M838" t="s">
        <v>2698</v>
      </c>
      <c r="N838" t="s">
        <v>2690</v>
      </c>
      <c r="O838" t="s">
        <v>2699</v>
      </c>
    </row>
    <row r="839" spans="1:15" ht="15.75">
      <c r="A839" t="s">
        <v>865</v>
      </c>
      <c r="B839" t="s">
        <v>1194</v>
      </c>
      <c r="C839" t="s">
        <v>1382</v>
      </c>
      <c r="D839" t="s">
        <v>16</v>
      </c>
      <c r="E839">
        <v>47</v>
      </c>
      <c r="F839" t="s">
        <v>1132</v>
      </c>
      <c r="G839" t="s">
        <v>2870</v>
      </c>
      <c r="H839" t="s">
        <v>2871</v>
      </c>
      <c r="I839" s="2">
        <v>44860</v>
      </c>
      <c r="J839" t="s">
        <v>1128</v>
      </c>
      <c r="K839" t="s">
        <v>778</v>
      </c>
      <c r="L839" t="s">
        <v>777</v>
      </c>
      <c r="M839" t="s">
        <v>2702</v>
      </c>
      <c r="N839" t="s">
        <v>2690</v>
      </c>
      <c r="O839" t="s">
        <v>2703</v>
      </c>
    </row>
    <row r="840" spans="1:15" ht="15.75">
      <c r="A840" t="s">
        <v>866</v>
      </c>
      <c r="B840" t="s">
        <v>1197</v>
      </c>
      <c r="C840" t="s">
        <v>1382</v>
      </c>
      <c r="D840" t="s">
        <v>21</v>
      </c>
      <c r="E840">
        <v>20</v>
      </c>
      <c r="F840" t="s">
        <v>1164</v>
      </c>
      <c r="G840" t="s">
        <v>2872</v>
      </c>
      <c r="H840" t="s">
        <v>2873</v>
      </c>
      <c r="I840" s="2">
        <v>45257</v>
      </c>
      <c r="J840" t="s">
        <v>1135</v>
      </c>
      <c r="K840" t="s">
        <v>778</v>
      </c>
      <c r="L840" t="s">
        <v>777</v>
      </c>
      <c r="M840" t="s">
        <v>2689</v>
      </c>
      <c r="N840" t="s">
        <v>2690</v>
      </c>
      <c r="O840" t="s">
        <v>2691</v>
      </c>
    </row>
    <row r="841" spans="1:15" ht="15.75">
      <c r="A841" t="s">
        <v>867</v>
      </c>
      <c r="B841" t="s">
        <v>1167</v>
      </c>
      <c r="C841" t="s">
        <v>1382</v>
      </c>
      <c r="D841" t="s">
        <v>16</v>
      </c>
      <c r="E841">
        <v>62</v>
      </c>
      <c r="F841" t="s">
        <v>1132</v>
      </c>
      <c r="G841" t="s">
        <v>2874</v>
      </c>
      <c r="H841" t="s">
        <v>2875</v>
      </c>
      <c r="I841" s="2">
        <v>44558</v>
      </c>
      <c r="J841" t="s">
        <v>1142</v>
      </c>
      <c r="K841" t="s">
        <v>778</v>
      </c>
      <c r="L841" t="s">
        <v>777</v>
      </c>
      <c r="M841" t="s">
        <v>2694</v>
      </c>
      <c r="N841" t="s">
        <v>2690</v>
      </c>
      <c r="O841" t="s">
        <v>2695</v>
      </c>
    </row>
    <row r="842" spans="1:15" ht="15.75">
      <c r="A842" t="s">
        <v>868</v>
      </c>
      <c r="B842" t="s">
        <v>1116</v>
      </c>
      <c r="C842" t="s">
        <v>1407</v>
      </c>
      <c r="D842" t="s">
        <v>16</v>
      </c>
      <c r="E842">
        <v>31</v>
      </c>
      <c r="F842" t="s">
        <v>1118</v>
      </c>
      <c r="G842" t="s">
        <v>2876</v>
      </c>
      <c r="H842" t="s">
        <v>2877</v>
      </c>
      <c r="I842" s="2">
        <v>44562</v>
      </c>
      <c r="J842" t="s">
        <v>1121</v>
      </c>
      <c r="K842" t="s">
        <v>778</v>
      </c>
      <c r="L842" t="s">
        <v>777</v>
      </c>
      <c r="M842" t="s">
        <v>2698</v>
      </c>
      <c r="N842" t="s">
        <v>2690</v>
      </c>
      <c r="O842" t="s">
        <v>2699</v>
      </c>
    </row>
    <row r="843" spans="1:15" ht="15.75">
      <c r="A843" t="s">
        <v>869</v>
      </c>
      <c r="B843" t="s">
        <v>1125</v>
      </c>
      <c r="C843" t="s">
        <v>1407</v>
      </c>
      <c r="D843" t="s">
        <v>21</v>
      </c>
      <c r="E843">
        <v>47</v>
      </c>
      <c r="F843" t="s">
        <v>1132</v>
      </c>
      <c r="G843" t="s">
        <v>2878</v>
      </c>
      <c r="H843" t="s">
        <v>2879</v>
      </c>
      <c r="I843" s="2">
        <v>44959</v>
      </c>
      <c r="J843" t="s">
        <v>1128</v>
      </c>
      <c r="K843" t="s">
        <v>778</v>
      </c>
      <c r="L843" t="s">
        <v>777</v>
      </c>
      <c r="M843" t="s">
        <v>2702</v>
      </c>
      <c r="N843" t="s">
        <v>2690</v>
      </c>
      <c r="O843" t="s">
        <v>2703</v>
      </c>
    </row>
    <row r="844" spans="1:15" ht="15.75">
      <c r="A844" t="s">
        <v>870</v>
      </c>
      <c r="B844" t="s">
        <v>1131</v>
      </c>
      <c r="C844" t="s">
        <v>1407</v>
      </c>
      <c r="D844" t="s">
        <v>16</v>
      </c>
      <c r="E844">
        <v>21</v>
      </c>
      <c r="F844" t="s">
        <v>1164</v>
      </c>
      <c r="G844" t="s">
        <v>2880</v>
      </c>
      <c r="H844" t="s">
        <v>2881</v>
      </c>
      <c r="I844" s="2">
        <v>44258</v>
      </c>
      <c r="J844" t="s">
        <v>1135</v>
      </c>
      <c r="K844" t="s">
        <v>778</v>
      </c>
      <c r="L844" t="s">
        <v>777</v>
      </c>
      <c r="M844" t="s">
        <v>2689</v>
      </c>
      <c r="N844" t="s">
        <v>2690</v>
      </c>
      <c r="O844" t="s">
        <v>2691</v>
      </c>
    </row>
    <row r="845" spans="1:15" ht="15.75">
      <c r="A845" t="s">
        <v>871</v>
      </c>
      <c r="B845" t="s">
        <v>1138</v>
      </c>
      <c r="C845" t="s">
        <v>1407</v>
      </c>
      <c r="D845" t="s">
        <v>16</v>
      </c>
      <c r="E845">
        <v>35</v>
      </c>
      <c r="F845" t="s">
        <v>1118</v>
      </c>
      <c r="G845" t="s">
        <v>2882</v>
      </c>
      <c r="H845" t="s">
        <v>2883</v>
      </c>
      <c r="I845" s="2">
        <v>44655</v>
      </c>
      <c r="J845" t="s">
        <v>1142</v>
      </c>
      <c r="K845" t="s">
        <v>778</v>
      </c>
      <c r="L845" t="s">
        <v>777</v>
      </c>
      <c r="M845" t="s">
        <v>2694</v>
      </c>
      <c r="N845" t="s">
        <v>2690</v>
      </c>
      <c r="O845" t="s">
        <v>2695</v>
      </c>
    </row>
    <row r="846" spans="1:15" ht="15.75">
      <c r="A846" t="s">
        <v>872</v>
      </c>
      <c r="B846" t="s">
        <v>1145</v>
      </c>
      <c r="C846" t="s">
        <v>1407</v>
      </c>
      <c r="D846" t="s">
        <v>16</v>
      </c>
      <c r="E846">
        <v>54</v>
      </c>
      <c r="F846" t="s">
        <v>1132</v>
      </c>
      <c r="G846" t="s">
        <v>2884</v>
      </c>
      <c r="H846" t="s">
        <v>2885</v>
      </c>
      <c r="I846" s="2">
        <v>45051</v>
      </c>
      <c r="J846" t="s">
        <v>1121</v>
      </c>
      <c r="K846" t="s">
        <v>778</v>
      </c>
      <c r="L846" t="s">
        <v>777</v>
      </c>
      <c r="M846" t="s">
        <v>2698</v>
      </c>
      <c r="N846" t="s">
        <v>2690</v>
      </c>
      <c r="O846" t="s">
        <v>2699</v>
      </c>
    </row>
    <row r="847" spans="1:15" ht="15.75">
      <c r="A847" t="s">
        <v>873</v>
      </c>
      <c r="B847" t="s">
        <v>1241</v>
      </c>
      <c r="C847" t="s">
        <v>1407</v>
      </c>
      <c r="D847" t="s">
        <v>16</v>
      </c>
      <c r="E847">
        <v>42</v>
      </c>
      <c r="F847" t="s">
        <v>1139</v>
      </c>
      <c r="G847" t="s">
        <v>2886</v>
      </c>
      <c r="H847" t="s">
        <v>2887</v>
      </c>
      <c r="I847" s="2">
        <v>44353</v>
      </c>
      <c r="J847" t="s">
        <v>1128</v>
      </c>
      <c r="K847" t="s">
        <v>778</v>
      </c>
      <c r="L847" t="s">
        <v>777</v>
      </c>
      <c r="M847" t="s">
        <v>2702</v>
      </c>
      <c r="N847" t="s">
        <v>2690</v>
      </c>
      <c r="O847" t="s">
        <v>2703</v>
      </c>
    </row>
    <row r="848" spans="1:15" ht="15.75">
      <c r="A848" t="s">
        <v>874</v>
      </c>
      <c r="B848" t="s">
        <v>1186</v>
      </c>
      <c r="C848" t="s">
        <v>1407</v>
      </c>
      <c r="D848" t="s">
        <v>21</v>
      </c>
      <c r="E848">
        <v>18</v>
      </c>
      <c r="F848" t="s">
        <v>1164</v>
      </c>
      <c r="G848" t="s">
        <v>2888</v>
      </c>
      <c r="H848" t="s">
        <v>2889</v>
      </c>
      <c r="I848" s="2">
        <v>44749</v>
      </c>
      <c r="J848" t="s">
        <v>1135</v>
      </c>
      <c r="K848" t="s">
        <v>778</v>
      </c>
      <c r="L848" t="s">
        <v>777</v>
      </c>
      <c r="M848" t="s">
        <v>2689</v>
      </c>
      <c r="N848" t="s">
        <v>2690</v>
      </c>
      <c r="O848" t="s">
        <v>2691</v>
      </c>
    </row>
    <row r="849" spans="1:15" ht="15.75">
      <c r="A849" t="s">
        <v>875</v>
      </c>
      <c r="B849" t="s">
        <v>1246</v>
      </c>
      <c r="C849" t="s">
        <v>1407</v>
      </c>
      <c r="D849" t="s">
        <v>21</v>
      </c>
      <c r="E849">
        <v>63</v>
      </c>
      <c r="F849" t="s">
        <v>1132</v>
      </c>
      <c r="G849" t="s">
        <v>2890</v>
      </c>
      <c r="H849" t="s">
        <v>2891</v>
      </c>
      <c r="I849" s="2">
        <v>45146</v>
      </c>
      <c r="J849" t="s">
        <v>1142</v>
      </c>
      <c r="K849" t="s">
        <v>778</v>
      </c>
      <c r="L849" t="s">
        <v>777</v>
      </c>
      <c r="M849" t="s">
        <v>2694</v>
      </c>
      <c r="N849" t="s">
        <v>2690</v>
      </c>
      <c r="O849" t="s">
        <v>2695</v>
      </c>
    </row>
    <row r="850" spans="1:15" ht="15.75">
      <c r="A850" t="s">
        <v>876</v>
      </c>
      <c r="B850" t="s">
        <v>1157</v>
      </c>
      <c r="C850" t="s">
        <v>1407</v>
      </c>
      <c r="D850" t="s">
        <v>16</v>
      </c>
      <c r="E850">
        <v>32</v>
      </c>
      <c r="F850" t="s">
        <v>1118</v>
      </c>
      <c r="G850" t="s">
        <v>2892</v>
      </c>
      <c r="H850" t="s">
        <v>2893</v>
      </c>
      <c r="I850" s="2">
        <v>44448</v>
      </c>
      <c r="J850" t="s">
        <v>1121</v>
      </c>
      <c r="K850" t="s">
        <v>778</v>
      </c>
      <c r="L850" t="s">
        <v>777</v>
      </c>
      <c r="M850" t="s">
        <v>2698</v>
      </c>
      <c r="N850" t="s">
        <v>2690</v>
      </c>
      <c r="O850" t="s">
        <v>2699</v>
      </c>
    </row>
    <row r="851" spans="1:15" ht="15.75">
      <c r="A851" t="s">
        <v>877</v>
      </c>
      <c r="B851" t="s">
        <v>1160</v>
      </c>
      <c r="C851" t="s">
        <v>1407</v>
      </c>
      <c r="D851" t="s">
        <v>21</v>
      </c>
      <c r="E851">
        <v>26</v>
      </c>
      <c r="F851" t="s">
        <v>1118</v>
      </c>
      <c r="G851" t="s">
        <v>2894</v>
      </c>
      <c r="H851" t="s">
        <v>2895</v>
      </c>
      <c r="I851" s="2">
        <v>44844</v>
      </c>
      <c r="J851" t="s">
        <v>1128</v>
      </c>
      <c r="K851" t="s">
        <v>778</v>
      </c>
      <c r="L851" t="s">
        <v>777</v>
      </c>
      <c r="M851" t="s">
        <v>2702</v>
      </c>
      <c r="N851" t="s">
        <v>2690</v>
      </c>
      <c r="O851" t="s">
        <v>2703</v>
      </c>
    </row>
    <row r="852" spans="1:15" ht="15.75">
      <c r="A852" t="s">
        <v>878</v>
      </c>
      <c r="B852" t="s">
        <v>1163</v>
      </c>
      <c r="C852" t="s">
        <v>1407</v>
      </c>
      <c r="D852" t="s">
        <v>16</v>
      </c>
      <c r="E852">
        <v>32</v>
      </c>
      <c r="F852" t="s">
        <v>1118</v>
      </c>
      <c r="G852" t="s">
        <v>2896</v>
      </c>
      <c r="H852" t="s">
        <v>2897</v>
      </c>
      <c r="I852" s="2">
        <v>45241</v>
      </c>
      <c r="J852" t="s">
        <v>1135</v>
      </c>
      <c r="K852" t="s">
        <v>778</v>
      </c>
      <c r="L852" t="s">
        <v>777</v>
      </c>
      <c r="M852" t="s">
        <v>2689</v>
      </c>
      <c r="N852" t="s">
        <v>2690</v>
      </c>
      <c r="O852" t="s">
        <v>2691</v>
      </c>
    </row>
    <row r="853" spans="1:15" ht="15.75">
      <c r="A853" t="s">
        <v>879</v>
      </c>
      <c r="B853" t="s">
        <v>1200</v>
      </c>
      <c r="C853" t="s">
        <v>1407</v>
      </c>
      <c r="D853" t="s">
        <v>21</v>
      </c>
      <c r="E853">
        <v>41</v>
      </c>
      <c r="F853" t="s">
        <v>1139</v>
      </c>
      <c r="G853" t="s">
        <v>2898</v>
      </c>
      <c r="H853" t="s">
        <v>2899</v>
      </c>
      <c r="I853" s="2">
        <v>44542</v>
      </c>
      <c r="J853" t="s">
        <v>1142</v>
      </c>
      <c r="K853" t="s">
        <v>778</v>
      </c>
      <c r="L853" t="s">
        <v>777</v>
      </c>
      <c r="M853" t="s">
        <v>2694</v>
      </c>
      <c r="N853" t="s">
        <v>2690</v>
      </c>
      <c r="O853" t="s">
        <v>2695</v>
      </c>
    </row>
    <row r="854" spans="1:15" ht="15.75">
      <c r="A854" t="s">
        <v>880</v>
      </c>
      <c r="B854" t="s">
        <v>1116</v>
      </c>
      <c r="C854" t="s">
        <v>1432</v>
      </c>
      <c r="D854" t="s">
        <v>16</v>
      </c>
      <c r="E854">
        <v>21</v>
      </c>
      <c r="F854" t="s">
        <v>1164</v>
      </c>
      <c r="G854" t="s">
        <v>2900</v>
      </c>
      <c r="H854" t="s">
        <v>2901</v>
      </c>
      <c r="I854" s="2">
        <v>44574</v>
      </c>
      <c r="J854" t="s">
        <v>1121</v>
      </c>
      <c r="K854" t="s">
        <v>778</v>
      </c>
      <c r="L854" t="s">
        <v>777</v>
      </c>
      <c r="M854" t="s">
        <v>2698</v>
      </c>
      <c r="N854" t="s">
        <v>2690</v>
      </c>
      <c r="O854" t="s">
        <v>2699</v>
      </c>
    </row>
    <row r="855" spans="1:15" ht="15.75">
      <c r="A855" t="s">
        <v>881</v>
      </c>
      <c r="B855" t="s">
        <v>1173</v>
      </c>
      <c r="C855" t="s">
        <v>1432</v>
      </c>
      <c r="D855" t="s">
        <v>16</v>
      </c>
      <c r="E855">
        <v>29</v>
      </c>
      <c r="F855" t="s">
        <v>1118</v>
      </c>
      <c r="G855" t="s">
        <v>2902</v>
      </c>
      <c r="H855" t="s">
        <v>2903</v>
      </c>
      <c r="I855" s="2">
        <v>44971</v>
      </c>
      <c r="J855" t="s">
        <v>1128</v>
      </c>
      <c r="K855" t="s">
        <v>778</v>
      </c>
      <c r="L855" t="s">
        <v>777</v>
      </c>
      <c r="M855" t="s">
        <v>2702</v>
      </c>
      <c r="N855" t="s">
        <v>2690</v>
      </c>
      <c r="O855" t="s">
        <v>2703</v>
      </c>
    </row>
    <row r="856" spans="1:15" ht="15.75">
      <c r="A856" t="s">
        <v>882</v>
      </c>
      <c r="B856" t="s">
        <v>1131</v>
      </c>
      <c r="C856" t="s">
        <v>1432</v>
      </c>
      <c r="D856" t="s">
        <v>16</v>
      </c>
      <c r="E856">
        <v>54</v>
      </c>
      <c r="F856" t="s">
        <v>1132</v>
      </c>
      <c r="G856" t="s">
        <v>2904</v>
      </c>
      <c r="H856" t="s">
        <v>2905</v>
      </c>
      <c r="I856" s="2">
        <v>44270</v>
      </c>
      <c r="J856" t="s">
        <v>1135</v>
      </c>
      <c r="K856" t="s">
        <v>778</v>
      </c>
      <c r="L856" t="s">
        <v>777</v>
      </c>
      <c r="M856" t="s">
        <v>2689</v>
      </c>
      <c r="N856" t="s">
        <v>2690</v>
      </c>
      <c r="O856" t="s">
        <v>2691</v>
      </c>
    </row>
    <row r="857" spans="1:15" ht="15.75">
      <c r="A857" t="s">
        <v>883</v>
      </c>
      <c r="B857" t="s">
        <v>1138</v>
      </c>
      <c r="C857" t="s">
        <v>1432</v>
      </c>
      <c r="D857" t="s">
        <v>16</v>
      </c>
      <c r="E857">
        <v>54</v>
      </c>
      <c r="F857" t="s">
        <v>1132</v>
      </c>
      <c r="G857" t="s">
        <v>2906</v>
      </c>
      <c r="H857" t="s">
        <v>2907</v>
      </c>
      <c r="I857" s="2">
        <v>44667</v>
      </c>
      <c r="J857" t="s">
        <v>1142</v>
      </c>
      <c r="K857" t="s">
        <v>778</v>
      </c>
      <c r="L857" t="s">
        <v>777</v>
      </c>
      <c r="M857" t="s">
        <v>2694</v>
      </c>
      <c r="N857" t="s">
        <v>2690</v>
      </c>
      <c r="O857" t="s">
        <v>2695</v>
      </c>
    </row>
    <row r="858" spans="1:15" ht="15.75">
      <c r="A858" t="s">
        <v>884</v>
      </c>
      <c r="B858" t="s">
        <v>1145</v>
      </c>
      <c r="C858" t="s">
        <v>1432</v>
      </c>
      <c r="D858" t="s">
        <v>16</v>
      </c>
      <c r="E858">
        <v>60</v>
      </c>
      <c r="F858" t="s">
        <v>1132</v>
      </c>
      <c r="G858" t="s">
        <v>2908</v>
      </c>
      <c r="H858" t="s">
        <v>2909</v>
      </c>
      <c r="I858" s="2">
        <v>45063</v>
      </c>
      <c r="J858" t="s">
        <v>1121</v>
      </c>
      <c r="K858" t="s">
        <v>778</v>
      </c>
      <c r="L858" t="s">
        <v>777</v>
      </c>
      <c r="M858" t="s">
        <v>2698</v>
      </c>
      <c r="N858" t="s">
        <v>2690</v>
      </c>
      <c r="O858" t="s">
        <v>2699</v>
      </c>
    </row>
    <row r="859" spans="1:15" ht="15.75">
      <c r="A859" t="s">
        <v>885</v>
      </c>
      <c r="B859" t="s">
        <v>1241</v>
      </c>
      <c r="C859" t="s">
        <v>1432</v>
      </c>
      <c r="D859" t="s">
        <v>16</v>
      </c>
      <c r="E859">
        <v>23</v>
      </c>
      <c r="F859" t="s">
        <v>1164</v>
      </c>
      <c r="G859" t="s">
        <v>2910</v>
      </c>
      <c r="H859" t="s">
        <v>2911</v>
      </c>
      <c r="I859" s="2">
        <v>44365</v>
      </c>
      <c r="J859" t="s">
        <v>1128</v>
      </c>
      <c r="K859" t="s">
        <v>778</v>
      </c>
      <c r="L859" t="s">
        <v>777</v>
      </c>
      <c r="M859" t="s">
        <v>2702</v>
      </c>
      <c r="N859" t="s">
        <v>2690</v>
      </c>
      <c r="O859" t="s">
        <v>2703</v>
      </c>
    </row>
    <row r="860" spans="1:15" ht="15.75">
      <c r="A860" t="s">
        <v>886</v>
      </c>
      <c r="B860" t="s">
        <v>1186</v>
      </c>
      <c r="C860" t="s">
        <v>1432</v>
      </c>
      <c r="D860" t="s">
        <v>21</v>
      </c>
      <c r="E860">
        <v>56</v>
      </c>
      <c r="F860" t="s">
        <v>1132</v>
      </c>
      <c r="G860" t="s">
        <v>2912</v>
      </c>
      <c r="H860" t="s">
        <v>2913</v>
      </c>
      <c r="I860" s="2">
        <v>44761</v>
      </c>
      <c r="J860" t="s">
        <v>1135</v>
      </c>
      <c r="K860" t="s">
        <v>778</v>
      </c>
      <c r="L860" t="s">
        <v>777</v>
      </c>
      <c r="M860" t="s">
        <v>2689</v>
      </c>
      <c r="N860" t="s">
        <v>2690</v>
      </c>
      <c r="O860" t="s">
        <v>2691</v>
      </c>
    </row>
    <row r="861" spans="1:15" ht="15.75">
      <c r="A861" t="s">
        <v>887</v>
      </c>
      <c r="B861" t="s">
        <v>1154</v>
      </c>
      <c r="C861" t="s">
        <v>1432</v>
      </c>
      <c r="D861" t="s">
        <v>16</v>
      </c>
      <c r="E861">
        <v>63</v>
      </c>
      <c r="F861" t="s">
        <v>1132</v>
      </c>
      <c r="G861" t="s">
        <v>2914</v>
      </c>
      <c r="H861" t="s">
        <v>2915</v>
      </c>
      <c r="I861" s="2">
        <v>45158</v>
      </c>
      <c r="J861" t="s">
        <v>1142</v>
      </c>
      <c r="K861" t="s">
        <v>778</v>
      </c>
      <c r="L861" t="s">
        <v>777</v>
      </c>
      <c r="M861" t="s">
        <v>2694</v>
      </c>
      <c r="N861" t="s">
        <v>2690</v>
      </c>
      <c r="O861" t="s">
        <v>2695</v>
      </c>
    </row>
    <row r="862" spans="1:15" ht="15.75">
      <c r="A862" t="s">
        <v>888</v>
      </c>
      <c r="B862" t="s">
        <v>1191</v>
      </c>
      <c r="C862" t="s">
        <v>1432</v>
      </c>
      <c r="D862" t="s">
        <v>21</v>
      </c>
      <c r="E862">
        <v>41</v>
      </c>
      <c r="F862" t="s">
        <v>1139</v>
      </c>
      <c r="G862" t="s">
        <v>2916</v>
      </c>
      <c r="H862" t="s">
        <v>2917</v>
      </c>
      <c r="I862" s="2">
        <v>44460</v>
      </c>
      <c r="J862" t="s">
        <v>1121</v>
      </c>
      <c r="K862" t="s">
        <v>778</v>
      </c>
      <c r="L862" t="s">
        <v>777</v>
      </c>
      <c r="M862" t="s">
        <v>2698</v>
      </c>
      <c r="N862" t="s">
        <v>2690</v>
      </c>
      <c r="O862" t="s">
        <v>2699</v>
      </c>
    </row>
    <row r="863" spans="1:15" ht="15.75">
      <c r="A863" t="s">
        <v>889</v>
      </c>
      <c r="B863" t="s">
        <v>1194</v>
      </c>
      <c r="C863" t="s">
        <v>1432</v>
      </c>
      <c r="D863" t="s">
        <v>16</v>
      </c>
      <c r="E863">
        <v>28</v>
      </c>
      <c r="F863" t="s">
        <v>1118</v>
      </c>
      <c r="G863" t="s">
        <v>2918</v>
      </c>
      <c r="H863" t="s">
        <v>2919</v>
      </c>
      <c r="I863" s="2">
        <v>44856</v>
      </c>
      <c r="J863" t="s">
        <v>1128</v>
      </c>
      <c r="K863" t="s">
        <v>778</v>
      </c>
      <c r="L863" t="s">
        <v>777</v>
      </c>
      <c r="M863" t="s">
        <v>2702</v>
      </c>
      <c r="N863" t="s">
        <v>2690</v>
      </c>
      <c r="O863" t="s">
        <v>2703</v>
      </c>
    </row>
    <row r="864" spans="1:15" ht="15.75">
      <c r="A864" t="s">
        <v>890</v>
      </c>
      <c r="B864" t="s">
        <v>1197</v>
      </c>
      <c r="C864" t="s">
        <v>1432</v>
      </c>
      <c r="D864" t="s">
        <v>21</v>
      </c>
      <c r="E864">
        <v>30</v>
      </c>
      <c r="F864" t="s">
        <v>1118</v>
      </c>
      <c r="G864" t="s">
        <v>2920</v>
      </c>
      <c r="H864" t="s">
        <v>2921</v>
      </c>
      <c r="I864" s="2">
        <v>45253</v>
      </c>
      <c r="J864" t="s">
        <v>1135</v>
      </c>
      <c r="K864" t="s">
        <v>778</v>
      </c>
      <c r="L864" t="s">
        <v>777</v>
      </c>
      <c r="M864" t="s">
        <v>2689</v>
      </c>
      <c r="N864" t="s">
        <v>2690</v>
      </c>
      <c r="O864" t="s">
        <v>2691</v>
      </c>
    </row>
    <row r="865" spans="1:15" ht="15.75">
      <c r="A865" t="s">
        <v>891</v>
      </c>
      <c r="B865" t="s">
        <v>1200</v>
      </c>
      <c r="C865" t="s">
        <v>1432</v>
      </c>
      <c r="D865" t="s">
        <v>21</v>
      </c>
      <c r="E865">
        <v>51</v>
      </c>
      <c r="F865" t="s">
        <v>1132</v>
      </c>
      <c r="G865" t="s">
        <v>2922</v>
      </c>
      <c r="H865" t="s">
        <v>2923</v>
      </c>
      <c r="I865" s="2">
        <v>44554</v>
      </c>
      <c r="J865" t="s">
        <v>1142</v>
      </c>
      <c r="K865" t="s">
        <v>778</v>
      </c>
      <c r="L865" t="s">
        <v>777</v>
      </c>
      <c r="M865" t="s">
        <v>2694</v>
      </c>
      <c r="N865" t="s">
        <v>2690</v>
      </c>
      <c r="O865" t="s">
        <v>2695</v>
      </c>
    </row>
    <row r="866" spans="1:15" ht="15.75">
      <c r="A866" t="s">
        <v>892</v>
      </c>
      <c r="B866" t="s">
        <v>1203</v>
      </c>
      <c r="C866" t="s">
        <v>1117</v>
      </c>
      <c r="D866" t="s">
        <v>21</v>
      </c>
      <c r="E866">
        <v>42</v>
      </c>
      <c r="F866" t="s">
        <v>1139</v>
      </c>
      <c r="G866" t="s">
        <v>2924</v>
      </c>
      <c r="H866" t="s">
        <v>2925</v>
      </c>
      <c r="I866" s="2">
        <v>44586</v>
      </c>
      <c r="J866" t="s">
        <v>1121</v>
      </c>
      <c r="K866" t="s">
        <v>778</v>
      </c>
      <c r="L866" t="s">
        <v>777</v>
      </c>
      <c r="M866" t="s">
        <v>2698</v>
      </c>
      <c r="N866" t="s">
        <v>2690</v>
      </c>
      <c r="O866" t="s">
        <v>2699</v>
      </c>
    </row>
    <row r="867" spans="1:15" ht="15.75">
      <c r="A867" t="s">
        <v>893</v>
      </c>
      <c r="B867" t="s">
        <v>1173</v>
      </c>
      <c r="C867" t="s">
        <v>1117</v>
      </c>
      <c r="D867" t="s">
        <v>16</v>
      </c>
      <c r="E867">
        <v>24</v>
      </c>
      <c r="F867" t="s">
        <v>1164</v>
      </c>
      <c r="G867" t="s">
        <v>2926</v>
      </c>
      <c r="H867" t="s">
        <v>2927</v>
      </c>
      <c r="I867" s="2">
        <v>44983</v>
      </c>
      <c r="J867" t="s">
        <v>1128</v>
      </c>
      <c r="K867" t="s">
        <v>778</v>
      </c>
      <c r="L867" t="s">
        <v>777</v>
      </c>
      <c r="M867" t="s">
        <v>2702</v>
      </c>
      <c r="N867" t="s">
        <v>2690</v>
      </c>
      <c r="O867" t="s">
        <v>2703</v>
      </c>
    </row>
    <row r="868" spans="1:15" ht="15.75">
      <c r="A868" t="s">
        <v>894</v>
      </c>
      <c r="B868" t="s">
        <v>1131</v>
      </c>
      <c r="C868" t="s">
        <v>1117</v>
      </c>
      <c r="D868" t="s">
        <v>16</v>
      </c>
      <c r="E868">
        <v>21</v>
      </c>
      <c r="F868" t="s">
        <v>1164</v>
      </c>
      <c r="G868" t="s">
        <v>2928</v>
      </c>
      <c r="H868" t="s">
        <v>2929</v>
      </c>
      <c r="I868" s="2">
        <v>44282</v>
      </c>
      <c r="J868" t="s">
        <v>1135</v>
      </c>
      <c r="K868" t="s">
        <v>778</v>
      </c>
      <c r="L868" t="s">
        <v>777</v>
      </c>
      <c r="M868" t="s">
        <v>2689</v>
      </c>
      <c r="N868" t="s">
        <v>2690</v>
      </c>
      <c r="O868" t="s">
        <v>2691</v>
      </c>
    </row>
    <row r="869" spans="1:15" ht="15.75">
      <c r="A869" t="s">
        <v>895</v>
      </c>
      <c r="B869" t="s">
        <v>1211</v>
      </c>
      <c r="C869" t="s">
        <v>1117</v>
      </c>
      <c r="D869" t="s">
        <v>21</v>
      </c>
      <c r="E869">
        <v>25</v>
      </c>
      <c r="F869" t="s">
        <v>1164</v>
      </c>
      <c r="G869" t="s">
        <v>2930</v>
      </c>
      <c r="H869" t="s">
        <v>2931</v>
      </c>
      <c r="I869" s="2">
        <v>44679</v>
      </c>
      <c r="J869" t="s">
        <v>1142</v>
      </c>
      <c r="K869" t="s">
        <v>778</v>
      </c>
      <c r="L869" t="s">
        <v>777</v>
      </c>
      <c r="M869" t="s">
        <v>2694</v>
      </c>
      <c r="N869" t="s">
        <v>2690</v>
      </c>
      <c r="O869" t="s">
        <v>2695</v>
      </c>
    </row>
    <row r="870" spans="1:15" ht="15.75">
      <c r="A870" t="s">
        <v>896</v>
      </c>
      <c r="B870" t="s">
        <v>1145</v>
      </c>
      <c r="C870" t="s">
        <v>1117</v>
      </c>
      <c r="D870" t="s">
        <v>16</v>
      </c>
      <c r="E870">
        <v>37</v>
      </c>
      <c r="F870" t="s">
        <v>1139</v>
      </c>
      <c r="G870" t="s">
        <v>2932</v>
      </c>
      <c r="H870" t="s">
        <v>2933</v>
      </c>
      <c r="I870" s="2">
        <v>45047</v>
      </c>
      <c r="J870" t="s">
        <v>1121</v>
      </c>
      <c r="K870" t="s">
        <v>778</v>
      </c>
      <c r="L870" t="s">
        <v>777</v>
      </c>
      <c r="M870" t="s">
        <v>2698</v>
      </c>
      <c r="N870" t="s">
        <v>2690</v>
      </c>
      <c r="O870" t="s">
        <v>2699</v>
      </c>
    </row>
    <row r="871" spans="1:15" ht="15.75">
      <c r="A871" t="s">
        <v>897</v>
      </c>
      <c r="B871" t="s">
        <v>1148</v>
      </c>
      <c r="C871" t="s">
        <v>1117</v>
      </c>
      <c r="D871" t="s">
        <v>21</v>
      </c>
      <c r="E871">
        <v>46</v>
      </c>
      <c r="F871" t="s">
        <v>1132</v>
      </c>
      <c r="G871" t="s">
        <v>2934</v>
      </c>
      <c r="H871" t="s">
        <v>2935</v>
      </c>
      <c r="I871" s="2">
        <v>44349</v>
      </c>
      <c r="J871" t="s">
        <v>1128</v>
      </c>
      <c r="K871" t="s">
        <v>778</v>
      </c>
      <c r="L871" t="s">
        <v>777</v>
      </c>
      <c r="M871" t="s">
        <v>2702</v>
      </c>
      <c r="N871" t="s">
        <v>2690</v>
      </c>
      <c r="O871" t="s">
        <v>2703</v>
      </c>
    </row>
    <row r="872" spans="1:15" ht="15.75">
      <c r="A872" t="s">
        <v>898</v>
      </c>
      <c r="B872" t="s">
        <v>1151</v>
      </c>
      <c r="C872" t="s">
        <v>1117</v>
      </c>
      <c r="D872" t="s">
        <v>16</v>
      </c>
      <c r="E872">
        <v>62</v>
      </c>
      <c r="F872" t="s">
        <v>1132</v>
      </c>
      <c r="G872" t="s">
        <v>2936</v>
      </c>
      <c r="H872" t="s">
        <v>2937</v>
      </c>
      <c r="I872" s="2">
        <v>44745</v>
      </c>
      <c r="J872" t="s">
        <v>1135</v>
      </c>
      <c r="K872" t="s">
        <v>778</v>
      </c>
      <c r="L872" t="s">
        <v>777</v>
      </c>
      <c r="M872" t="s">
        <v>2689</v>
      </c>
      <c r="N872" t="s">
        <v>2690</v>
      </c>
      <c r="O872" t="s">
        <v>2691</v>
      </c>
    </row>
    <row r="873" spans="1:15" ht="15.75">
      <c r="A873" t="s">
        <v>899</v>
      </c>
      <c r="B873" t="s">
        <v>1246</v>
      </c>
      <c r="C873" t="s">
        <v>1117</v>
      </c>
      <c r="D873" t="s">
        <v>21</v>
      </c>
      <c r="E873">
        <v>63</v>
      </c>
      <c r="F873" t="s">
        <v>1132</v>
      </c>
      <c r="G873" t="s">
        <v>2938</v>
      </c>
      <c r="H873" t="s">
        <v>2939</v>
      </c>
      <c r="I873" s="2">
        <v>45142</v>
      </c>
      <c r="J873" t="s">
        <v>1142</v>
      </c>
      <c r="K873" t="s">
        <v>778</v>
      </c>
      <c r="L873" t="s">
        <v>777</v>
      </c>
      <c r="M873" t="s">
        <v>2694</v>
      </c>
      <c r="N873" t="s">
        <v>2690</v>
      </c>
      <c r="O873" t="s">
        <v>2695</v>
      </c>
    </row>
    <row r="874" spans="1:15" ht="15.75">
      <c r="A874" t="s">
        <v>900</v>
      </c>
      <c r="B874" t="s">
        <v>1191</v>
      </c>
      <c r="C874" t="s">
        <v>1117</v>
      </c>
      <c r="D874" t="s">
        <v>21</v>
      </c>
      <c r="E874">
        <v>27</v>
      </c>
      <c r="F874" t="s">
        <v>1118</v>
      </c>
      <c r="G874" t="s">
        <v>2940</v>
      </c>
      <c r="H874" t="s">
        <v>2941</v>
      </c>
      <c r="I874" s="2">
        <v>44444</v>
      </c>
      <c r="J874" t="s">
        <v>1121</v>
      </c>
      <c r="K874" t="s">
        <v>778</v>
      </c>
      <c r="L874" t="s">
        <v>777</v>
      </c>
      <c r="M874" t="s">
        <v>2698</v>
      </c>
      <c r="N874" t="s">
        <v>2690</v>
      </c>
      <c r="O874" t="s">
        <v>2699</v>
      </c>
    </row>
    <row r="875" spans="1:15" ht="15.75">
      <c r="A875" t="s">
        <v>901</v>
      </c>
      <c r="B875" t="s">
        <v>1194</v>
      </c>
      <c r="C875" t="s">
        <v>1117</v>
      </c>
      <c r="D875" t="s">
        <v>16</v>
      </c>
      <c r="E875">
        <v>60</v>
      </c>
      <c r="F875" t="s">
        <v>1132</v>
      </c>
      <c r="G875" t="s">
        <v>2942</v>
      </c>
      <c r="H875" t="s">
        <v>2943</v>
      </c>
      <c r="I875" s="2">
        <v>44840</v>
      </c>
      <c r="J875" t="s">
        <v>1128</v>
      </c>
      <c r="K875" t="s">
        <v>778</v>
      </c>
      <c r="L875" t="s">
        <v>777</v>
      </c>
      <c r="M875" t="s">
        <v>2702</v>
      </c>
      <c r="N875" t="s">
        <v>2690</v>
      </c>
      <c r="O875" t="s">
        <v>2703</v>
      </c>
    </row>
    <row r="876" spans="1:15" ht="15.75">
      <c r="A876" t="s">
        <v>902</v>
      </c>
      <c r="B876" t="s">
        <v>1197</v>
      </c>
      <c r="C876" t="s">
        <v>1117</v>
      </c>
      <c r="D876" t="s">
        <v>21</v>
      </c>
      <c r="E876">
        <v>51</v>
      </c>
      <c r="F876" t="s">
        <v>1132</v>
      </c>
      <c r="G876" t="s">
        <v>2944</v>
      </c>
      <c r="H876" t="s">
        <v>2945</v>
      </c>
      <c r="I876" s="2">
        <v>45237</v>
      </c>
      <c r="J876" t="s">
        <v>1135</v>
      </c>
      <c r="K876" t="s">
        <v>778</v>
      </c>
      <c r="L876" t="s">
        <v>777</v>
      </c>
      <c r="M876" t="s">
        <v>2689</v>
      </c>
      <c r="N876" t="s">
        <v>2690</v>
      </c>
      <c r="O876" t="s">
        <v>2691</v>
      </c>
    </row>
    <row r="877" spans="1:15" ht="15.75">
      <c r="A877" t="s">
        <v>903</v>
      </c>
      <c r="B877" t="s">
        <v>1167</v>
      </c>
      <c r="C877" t="s">
        <v>1117</v>
      </c>
      <c r="D877" t="s">
        <v>16</v>
      </c>
      <c r="E877">
        <v>43</v>
      </c>
      <c r="F877" t="s">
        <v>1139</v>
      </c>
      <c r="G877" t="s">
        <v>2946</v>
      </c>
      <c r="H877" t="s">
        <v>2947</v>
      </c>
      <c r="I877" s="2">
        <v>44538</v>
      </c>
      <c r="J877" t="s">
        <v>1142</v>
      </c>
      <c r="K877" t="s">
        <v>778</v>
      </c>
      <c r="L877" t="s">
        <v>777</v>
      </c>
      <c r="M877" t="s">
        <v>2694</v>
      </c>
      <c r="N877" t="s">
        <v>2690</v>
      </c>
      <c r="O877" t="s">
        <v>2695</v>
      </c>
    </row>
    <row r="878" spans="1:15" ht="15.75">
      <c r="A878" t="s">
        <v>904</v>
      </c>
      <c r="B878" t="s">
        <v>1203</v>
      </c>
      <c r="C878" t="s">
        <v>1170</v>
      </c>
      <c r="D878" t="s">
        <v>21</v>
      </c>
      <c r="E878">
        <v>58</v>
      </c>
      <c r="F878" t="s">
        <v>1132</v>
      </c>
      <c r="G878" t="s">
        <v>2948</v>
      </c>
      <c r="H878" t="s">
        <v>2949</v>
      </c>
      <c r="I878" s="2">
        <v>44570</v>
      </c>
      <c r="J878" t="s">
        <v>1121</v>
      </c>
      <c r="K878" t="s">
        <v>778</v>
      </c>
      <c r="L878" t="s">
        <v>777</v>
      </c>
      <c r="M878" t="s">
        <v>2698</v>
      </c>
      <c r="N878" t="s">
        <v>2690</v>
      </c>
      <c r="O878" t="s">
        <v>2699</v>
      </c>
    </row>
    <row r="879" spans="1:15" ht="15.75">
      <c r="A879" t="s">
        <v>905</v>
      </c>
      <c r="B879" t="s">
        <v>1125</v>
      </c>
      <c r="C879" t="s">
        <v>1170</v>
      </c>
      <c r="D879" t="s">
        <v>21</v>
      </c>
      <c r="E879">
        <v>20</v>
      </c>
      <c r="F879" t="s">
        <v>1164</v>
      </c>
      <c r="G879" t="s">
        <v>2950</v>
      </c>
      <c r="H879" t="s">
        <v>2951</v>
      </c>
      <c r="I879" s="2">
        <v>44967</v>
      </c>
      <c r="J879" t="s">
        <v>1128</v>
      </c>
      <c r="K879" t="s">
        <v>778</v>
      </c>
      <c r="L879" t="s">
        <v>777</v>
      </c>
      <c r="M879" t="s">
        <v>2702</v>
      </c>
      <c r="N879" t="s">
        <v>2690</v>
      </c>
      <c r="O879" t="s">
        <v>2703</v>
      </c>
    </row>
    <row r="880" spans="1:15" ht="15.75">
      <c r="A880" t="s">
        <v>906</v>
      </c>
      <c r="B880" t="s">
        <v>1131</v>
      </c>
      <c r="C880" t="s">
        <v>1170</v>
      </c>
      <c r="D880" t="s">
        <v>16</v>
      </c>
      <c r="E880">
        <v>23</v>
      </c>
      <c r="F880" t="s">
        <v>1164</v>
      </c>
      <c r="G880" t="s">
        <v>2952</v>
      </c>
      <c r="H880" t="s">
        <v>2953</v>
      </c>
      <c r="I880" s="2">
        <v>44266</v>
      </c>
      <c r="J880" t="s">
        <v>1135</v>
      </c>
      <c r="K880" t="s">
        <v>778</v>
      </c>
      <c r="L880" t="s">
        <v>777</v>
      </c>
      <c r="M880" t="s">
        <v>2689</v>
      </c>
      <c r="N880" t="s">
        <v>2690</v>
      </c>
      <c r="O880" t="s">
        <v>2691</v>
      </c>
    </row>
    <row r="881" spans="1:15" ht="15.75">
      <c r="A881" t="s">
        <v>907</v>
      </c>
      <c r="B881" t="s">
        <v>1138</v>
      </c>
      <c r="C881" t="s">
        <v>1170</v>
      </c>
      <c r="D881" t="s">
        <v>16</v>
      </c>
      <c r="E881">
        <v>22</v>
      </c>
      <c r="F881" t="s">
        <v>1164</v>
      </c>
      <c r="G881" t="s">
        <v>2954</v>
      </c>
      <c r="H881" t="s">
        <v>2955</v>
      </c>
      <c r="I881" s="2">
        <v>44663</v>
      </c>
      <c r="J881" t="s">
        <v>1142</v>
      </c>
      <c r="K881" t="s">
        <v>778</v>
      </c>
      <c r="L881" t="s">
        <v>777</v>
      </c>
      <c r="M881" t="s">
        <v>2694</v>
      </c>
      <c r="N881" t="s">
        <v>2690</v>
      </c>
      <c r="O881" t="s">
        <v>2695</v>
      </c>
    </row>
    <row r="882" spans="1:15" ht="15.75">
      <c r="A882" t="s">
        <v>908</v>
      </c>
      <c r="B882" t="s">
        <v>1145</v>
      </c>
      <c r="C882" t="s">
        <v>1170</v>
      </c>
      <c r="D882" t="s">
        <v>16</v>
      </c>
      <c r="E882">
        <v>22</v>
      </c>
      <c r="F882" t="s">
        <v>1164</v>
      </c>
      <c r="G882" t="s">
        <v>2956</v>
      </c>
      <c r="H882" t="s">
        <v>2957</v>
      </c>
      <c r="I882" s="2">
        <v>45059</v>
      </c>
      <c r="J882" t="s">
        <v>1121</v>
      </c>
      <c r="K882" t="s">
        <v>778</v>
      </c>
      <c r="L882" t="s">
        <v>777</v>
      </c>
      <c r="M882" t="s">
        <v>2698</v>
      </c>
      <c r="N882" t="s">
        <v>2690</v>
      </c>
      <c r="O882" t="s">
        <v>2699</v>
      </c>
    </row>
    <row r="883" spans="1:15" ht="15.75">
      <c r="A883" t="s">
        <v>909</v>
      </c>
      <c r="B883" t="s">
        <v>1148</v>
      </c>
      <c r="C883" t="s">
        <v>1170</v>
      </c>
      <c r="D883" t="s">
        <v>21</v>
      </c>
      <c r="E883">
        <v>64</v>
      </c>
      <c r="F883" t="s">
        <v>1132</v>
      </c>
      <c r="G883" t="s">
        <v>2958</v>
      </c>
      <c r="H883" t="s">
        <v>2959</v>
      </c>
      <c r="I883" s="2">
        <v>44361</v>
      </c>
      <c r="J883" t="s">
        <v>1128</v>
      </c>
      <c r="K883" t="s">
        <v>778</v>
      </c>
      <c r="L883" t="s">
        <v>777</v>
      </c>
      <c r="M883" t="s">
        <v>2702</v>
      </c>
      <c r="N883" t="s">
        <v>2690</v>
      </c>
      <c r="O883" t="s">
        <v>2703</v>
      </c>
    </row>
    <row r="884" spans="1:15" ht="15.75">
      <c r="A884" t="s">
        <v>910</v>
      </c>
      <c r="B884" t="s">
        <v>1151</v>
      </c>
      <c r="C884" t="s">
        <v>1170</v>
      </c>
      <c r="D884" t="s">
        <v>16</v>
      </c>
      <c r="E884">
        <v>40</v>
      </c>
      <c r="F884" t="s">
        <v>1139</v>
      </c>
      <c r="G884" t="s">
        <v>2960</v>
      </c>
      <c r="H884" t="s">
        <v>2961</v>
      </c>
      <c r="I884" s="2">
        <v>44757</v>
      </c>
      <c r="J884" t="s">
        <v>1135</v>
      </c>
      <c r="K884" t="s">
        <v>778</v>
      </c>
      <c r="L884" t="s">
        <v>777</v>
      </c>
      <c r="M884" t="s">
        <v>2689</v>
      </c>
      <c r="N884" t="s">
        <v>2690</v>
      </c>
      <c r="O884" t="s">
        <v>2691</v>
      </c>
    </row>
    <row r="885" spans="1:15" ht="15.75">
      <c r="A885" t="s">
        <v>911</v>
      </c>
      <c r="B885" t="s">
        <v>1246</v>
      </c>
      <c r="C885" t="s">
        <v>1170</v>
      </c>
      <c r="D885" t="s">
        <v>21</v>
      </c>
      <c r="E885">
        <v>26</v>
      </c>
      <c r="F885" t="s">
        <v>1118</v>
      </c>
      <c r="G885" t="s">
        <v>2962</v>
      </c>
      <c r="H885" t="s">
        <v>2963</v>
      </c>
      <c r="I885" s="2">
        <v>45154</v>
      </c>
      <c r="J885" t="s">
        <v>1142</v>
      </c>
      <c r="K885" t="s">
        <v>778</v>
      </c>
      <c r="L885" t="s">
        <v>777</v>
      </c>
      <c r="M885" t="s">
        <v>2694</v>
      </c>
      <c r="N885" t="s">
        <v>2690</v>
      </c>
      <c r="O885" t="s">
        <v>2695</v>
      </c>
    </row>
    <row r="886" spans="1:15" ht="15.75">
      <c r="A886" t="s">
        <v>912</v>
      </c>
      <c r="B886" t="s">
        <v>1191</v>
      </c>
      <c r="C886" t="s">
        <v>1170</v>
      </c>
      <c r="D886" t="s">
        <v>21</v>
      </c>
      <c r="E886">
        <v>52</v>
      </c>
      <c r="F886" t="s">
        <v>1132</v>
      </c>
      <c r="G886" t="s">
        <v>2964</v>
      </c>
      <c r="H886" t="s">
        <v>2965</v>
      </c>
      <c r="I886" s="2">
        <v>44456</v>
      </c>
      <c r="J886" t="s">
        <v>1121</v>
      </c>
      <c r="K886" t="s">
        <v>778</v>
      </c>
      <c r="L886" t="s">
        <v>777</v>
      </c>
      <c r="M886" t="s">
        <v>2698</v>
      </c>
      <c r="N886" t="s">
        <v>2690</v>
      </c>
      <c r="O886" t="s">
        <v>2699</v>
      </c>
    </row>
    <row r="887" spans="1:15" ht="15.75">
      <c r="A887" t="s">
        <v>913</v>
      </c>
      <c r="B887" t="s">
        <v>1194</v>
      </c>
      <c r="C887" t="s">
        <v>1170</v>
      </c>
      <c r="D887" t="s">
        <v>16</v>
      </c>
      <c r="E887">
        <v>37</v>
      </c>
      <c r="F887" t="s">
        <v>1139</v>
      </c>
      <c r="G887" t="s">
        <v>2966</v>
      </c>
      <c r="H887" t="s">
        <v>2967</v>
      </c>
      <c r="I887" s="2">
        <v>44852</v>
      </c>
      <c r="J887" t="s">
        <v>1128</v>
      </c>
      <c r="K887" t="s">
        <v>778</v>
      </c>
      <c r="L887" t="s">
        <v>777</v>
      </c>
      <c r="M887" t="s">
        <v>2702</v>
      </c>
      <c r="N887" t="s">
        <v>2690</v>
      </c>
      <c r="O887" t="s">
        <v>2703</v>
      </c>
    </row>
    <row r="888" spans="1:15" ht="15.75">
      <c r="A888" t="s">
        <v>914</v>
      </c>
      <c r="B888" t="s">
        <v>1163</v>
      </c>
      <c r="C888" t="s">
        <v>1170</v>
      </c>
      <c r="D888" t="s">
        <v>16</v>
      </c>
      <c r="E888">
        <v>59</v>
      </c>
      <c r="F888" t="s">
        <v>1132</v>
      </c>
      <c r="G888" t="s">
        <v>2968</v>
      </c>
      <c r="H888" t="s">
        <v>2969</v>
      </c>
      <c r="I888" s="2">
        <v>45249</v>
      </c>
      <c r="J888" t="s">
        <v>1135</v>
      </c>
      <c r="K888" t="s">
        <v>778</v>
      </c>
      <c r="L888" t="s">
        <v>777</v>
      </c>
      <c r="M888" t="s">
        <v>2689</v>
      </c>
      <c r="N888" t="s">
        <v>2690</v>
      </c>
      <c r="O888" t="s">
        <v>2691</v>
      </c>
    </row>
    <row r="889" spans="1:15" ht="15.75">
      <c r="A889" t="s">
        <v>915</v>
      </c>
      <c r="B889" t="s">
        <v>1200</v>
      </c>
      <c r="C889" t="s">
        <v>1170</v>
      </c>
      <c r="D889" t="s">
        <v>21</v>
      </c>
      <c r="E889">
        <v>52</v>
      </c>
      <c r="F889" t="s">
        <v>1132</v>
      </c>
      <c r="G889" t="s">
        <v>2970</v>
      </c>
      <c r="H889" t="s">
        <v>2971</v>
      </c>
      <c r="I889" s="2">
        <v>44550</v>
      </c>
      <c r="J889" t="s">
        <v>1142</v>
      </c>
      <c r="K889" t="s">
        <v>778</v>
      </c>
      <c r="L889" t="s">
        <v>777</v>
      </c>
      <c r="M889" t="s">
        <v>2694</v>
      </c>
      <c r="N889" t="s">
        <v>2690</v>
      </c>
      <c r="O889" t="s">
        <v>2695</v>
      </c>
    </row>
    <row r="890" spans="1:15" ht="15.75">
      <c r="A890" t="s">
        <v>916</v>
      </c>
      <c r="B890" t="s">
        <v>1203</v>
      </c>
      <c r="C890" t="s">
        <v>1204</v>
      </c>
      <c r="D890" t="s">
        <v>21</v>
      </c>
      <c r="E890">
        <v>35</v>
      </c>
      <c r="F890" t="s">
        <v>1118</v>
      </c>
      <c r="G890" t="s">
        <v>2972</v>
      </c>
      <c r="H890" t="s">
        <v>2973</v>
      </c>
      <c r="I890" s="2">
        <v>44582</v>
      </c>
      <c r="J890" t="s">
        <v>1121</v>
      </c>
      <c r="K890" t="s">
        <v>778</v>
      </c>
      <c r="L890" t="s">
        <v>777</v>
      </c>
      <c r="M890" t="s">
        <v>2698</v>
      </c>
      <c r="N890" t="s">
        <v>2690</v>
      </c>
      <c r="O890" t="s">
        <v>2699</v>
      </c>
    </row>
    <row r="891" spans="1:15" ht="15.75">
      <c r="A891" t="s">
        <v>917</v>
      </c>
      <c r="B891" t="s">
        <v>1173</v>
      </c>
      <c r="C891" t="s">
        <v>1204</v>
      </c>
      <c r="D891" t="s">
        <v>16</v>
      </c>
      <c r="E891">
        <v>34</v>
      </c>
      <c r="F891" t="s">
        <v>1118</v>
      </c>
      <c r="G891" t="s">
        <v>2974</v>
      </c>
      <c r="H891" t="s">
        <v>2975</v>
      </c>
      <c r="I891" s="2">
        <v>44979</v>
      </c>
      <c r="J891" t="s">
        <v>1128</v>
      </c>
      <c r="K891" t="s">
        <v>778</v>
      </c>
      <c r="L891" t="s">
        <v>777</v>
      </c>
      <c r="M891" t="s">
        <v>2702</v>
      </c>
      <c r="N891" t="s">
        <v>2690</v>
      </c>
      <c r="O891" t="s">
        <v>2703</v>
      </c>
    </row>
    <row r="892" spans="1:15" ht="15.75">
      <c r="A892" t="s">
        <v>918</v>
      </c>
      <c r="B892" t="s">
        <v>1131</v>
      </c>
      <c r="C892" t="s">
        <v>1204</v>
      </c>
      <c r="D892" t="s">
        <v>16</v>
      </c>
      <c r="E892">
        <v>41</v>
      </c>
      <c r="F892" t="s">
        <v>1139</v>
      </c>
      <c r="G892" t="s">
        <v>2976</v>
      </c>
      <c r="H892" t="s">
        <v>2977</v>
      </c>
      <c r="I892" s="2">
        <v>44278</v>
      </c>
      <c r="J892" t="s">
        <v>1135</v>
      </c>
      <c r="K892" t="s">
        <v>778</v>
      </c>
      <c r="L892" t="s">
        <v>777</v>
      </c>
      <c r="M892" t="s">
        <v>2689</v>
      </c>
      <c r="N892" t="s">
        <v>2690</v>
      </c>
      <c r="O892" t="s">
        <v>2691</v>
      </c>
    </row>
    <row r="893" spans="1:15" ht="15.75">
      <c r="A893" t="s">
        <v>919</v>
      </c>
      <c r="B893" t="s">
        <v>1138</v>
      </c>
      <c r="C893" t="s">
        <v>1204</v>
      </c>
      <c r="D893" t="s">
        <v>16</v>
      </c>
      <c r="E893">
        <v>20</v>
      </c>
      <c r="F893" t="s">
        <v>1164</v>
      </c>
      <c r="G893" t="s">
        <v>2978</v>
      </c>
      <c r="H893" t="s">
        <v>2979</v>
      </c>
      <c r="I893" s="2">
        <v>44675</v>
      </c>
      <c r="J893" t="s">
        <v>1142</v>
      </c>
      <c r="K893" t="s">
        <v>778</v>
      </c>
      <c r="L893" t="s">
        <v>777</v>
      </c>
      <c r="M893" t="s">
        <v>2694</v>
      </c>
      <c r="N893" t="s">
        <v>2690</v>
      </c>
      <c r="O893" t="s">
        <v>2695</v>
      </c>
    </row>
    <row r="894" spans="1:15" ht="15.75">
      <c r="A894" t="s">
        <v>920</v>
      </c>
      <c r="B894" t="s">
        <v>1145</v>
      </c>
      <c r="C894" t="s">
        <v>1204</v>
      </c>
      <c r="D894" t="s">
        <v>16</v>
      </c>
      <c r="E894">
        <v>49</v>
      </c>
      <c r="F894" t="s">
        <v>1132</v>
      </c>
      <c r="G894" t="s">
        <v>2980</v>
      </c>
      <c r="H894" t="s">
        <v>2981</v>
      </c>
      <c r="I894" s="2">
        <v>45071</v>
      </c>
      <c r="J894" t="s">
        <v>1121</v>
      </c>
      <c r="K894" t="s">
        <v>778</v>
      </c>
      <c r="L894" t="s">
        <v>777</v>
      </c>
      <c r="M894" t="s">
        <v>2698</v>
      </c>
      <c r="N894" t="s">
        <v>2690</v>
      </c>
      <c r="O894" t="s">
        <v>2699</v>
      </c>
    </row>
    <row r="895" spans="1:15" ht="15.75">
      <c r="A895" t="s">
        <v>921</v>
      </c>
      <c r="B895" t="s">
        <v>1241</v>
      </c>
      <c r="C895" t="s">
        <v>1204</v>
      </c>
      <c r="D895" t="s">
        <v>16</v>
      </c>
      <c r="E895">
        <v>52</v>
      </c>
      <c r="F895" t="s">
        <v>1132</v>
      </c>
      <c r="G895" t="s">
        <v>2982</v>
      </c>
      <c r="H895" t="s">
        <v>2983</v>
      </c>
      <c r="I895" s="2">
        <v>44373</v>
      </c>
      <c r="J895" t="s">
        <v>1128</v>
      </c>
      <c r="K895" t="s">
        <v>778</v>
      </c>
      <c r="L895" t="s">
        <v>777</v>
      </c>
      <c r="M895" t="s">
        <v>2702</v>
      </c>
      <c r="N895" t="s">
        <v>2690</v>
      </c>
      <c r="O895" t="s">
        <v>2703</v>
      </c>
    </row>
    <row r="896" spans="1:15" ht="15.75">
      <c r="A896" t="s">
        <v>922</v>
      </c>
      <c r="B896" t="s">
        <v>1186</v>
      </c>
      <c r="C896" t="s">
        <v>1204</v>
      </c>
      <c r="D896" t="s">
        <v>21</v>
      </c>
      <c r="E896">
        <v>55</v>
      </c>
      <c r="F896" t="s">
        <v>1132</v>
      </c>
      <c r="G896" t="s">
        <v>2984</v>
      </c>
      <c r="H896" t="s">
        <v>2985</v>
      </c>
      <c r="I896" s="2">
        <v>44769</v>
      </c>
      <c r="J896" t="s">
        <v>1135</v>
      </c>
      <c r="K896" t="s">
        <v>778</v>
      </c>
      <c r="L896" t="s">
        <v>777</v>
      </c>
      <c r="M896" t="s">
        <v>2689</v>
      </c>
      <c r="N896" t="s">
        <v>2690</v>
      </c>
      <c r="O896" t="s">
        <v>2691</v>
      </c>
    </row>
    <row r="897" spans="1:15" ht="15.75">
      <c r="A897" t="s">
        <v>923</v>
      </c>
      <c r="B897" t="s">
        <v>1246</v>
      </c>
      <c r="C897" t="s">
        <v>1204</v>
      </c>
      <c r="D897" t="s">
        <v>21</v>
      </c>
      <c r="E897">
        <v>30</v>
      </c>
      <c r="F897" t="s">
        <v>1118</v>
      </c>
      <c r="G897" t="s">
        <v>2986</v>
      </c>
      <c r="H897" t="s">
        <v>2987</v>
      </c>
      <c r="I897" s="2">
        <v>45166</v>
      </c>
      <c r="J897" t="s">
        <v>1142</v>
      </c>
      <c r="K897" t="s">
        <v>778</v>
      </c>
      <c r="L897" t="s">
        <v>777</v>
      </c>
      <c r="M897" t="s">
        <v>2694</v>
      </c>
      <c r="N897" t="s">
        <v>2690</v>
      </c>
      <c r="O897" t="s">
        <v>2695</v>
      </c>
    </row>
    <row r="898" spans="1:15" ht="15.75">
      <c r="A898" t="s">
        <v>924</v>
      </c>
      <c r="B898" t="s">
        <v>1191</v>
      </c>
      <c r="C898" t="s">
        <v>1204</v>
      </c>
      <c r="D898" t="s">
        <v>21</v>
      </c>
      <c r="E898">
        <v>64</v>
      </c>
      <c r="F898" t="s">
        <v>1132</v>
      </c>
      <c r="G898" t="s">
        <v>2988</v>
      </c>
      <c r="H898" t="s">
        <v>2989</v>
      </c>
      <c r="I898" s="2">
        <v>44440</v>
      </c>
      <c r="J898" t="s">
        <v>1121</v>
      </c>
      <c r="K898" t="s">
        <v>778</v>
      </c>
      <c r="L898" t="s">
        <v>777</v>
      </c>
      <c r="M898" t="s">
        <v>2698</v>
      </c>
      <c r="N898" t="s">
        <v>2690</v>
      </c>
      <c r="O898" t="s">
        <v>2699</v>
      </c>
    </row>
    <row r="899" spans="1:15" ht="15.75">
      <c r="A899" t="s">
        <v>925</v>
      </c>
      <c r="B899" t="s">
        <v>1160</v>
      </c>
      <c r="C899" t="s">
        <v>1204</v>
      </c>
      <c r="D899" t="s">
        <v>21</v>
      </c>
      <c r="E899">
        <v>42</v>
      </c>
      <c r="F899" t="s">
        <v>1139</v>
      </c>
      <c r="G899" t="s">
        <v>2990</v>
      </c>
      <c r="H899" t="s">
        <v>2991</v>
      </c>
      <c r="I899" s="2">
        <v>44836</v>
      </c>
      <c r="J899" t="s">
        <v>1128</v>
      </c>
      <c r="K899" t="s">
        <v>778</v>
      </c>
      <c r="L899" t="s">
        <v>777</v>
      </c>
      <c r="M899" t="s">
        <v>2702</v>
      </c>
      <c r="N899" t="s">
        <v>2690</v>
      </c>
      <c r="O899" t="s">
        <v>2703</v>
      </c>
    </row>
    <row r="900" spans="1:15" ht="15.75">
      <c r="A900" t="s">
        <v>926</v>
      </c>
      <c r="B900" t="s">
        <v>1163</v>
      </c>
      <c r="C900" t="s">
        <v>1204</v>
      </c>
      <c r="D900" t="s">
        <v>16</v>
      </c>
      <c r="E900">
        <v>26</v>
      </c>
      <c r="F900" t="s">
        <v>1118</v>
      </c>
      <c r="G900" t="s">
        <v>2992</v>
      </c>
      <c r="H900" t="s">
        <v>2993</v>
      </c>
      <c r="I900" s="2">
        <v>45233</v>
      </c>
      <c r="J900" t="s">
        <v>1135</v>
      </c>
      <c r="K900" t="s">
        <v>778</v>
      </c>
      <c r="L900" t="s">
        <v>777</v>
      </c>
      <c r="M900" t="s">
        <v>2689</v>
      </c>
      <c r="N900" t="s">
        <v>2690</v>
      </c>
      <c r="O900" t="s">
        <v>2691</v>
      </c>
    </row>
    <row r="901" spans="1:15" ht="15.75">
      <c r="A901" t="s">
        <v>927</v>
      </c>
      <c r="B901" t="s">
        <v>1167</v>
      </c>
      <c r="C901" t="s">
        <v>1204</v>
      </c>
      <c r="D901" t="s">
        <v>16</v>
      </c>
      <c r="E901">
        <v>21</v>
      </c>
      <c r="F901" t="s">
        <v>1164</v>
      </c>
      <c r="G901" t="s">
        <v>2994</v>
      </c>
      <c r="H901" t="s">
        <v>2995</v>
      </c>
      <c r="I901" s="2">
        <v>44534</v>
      </c>
      <c r="J901" t="s">
        <v>1142</v>
      </c>
      <c r="K901" t="s">
        <v>778</v>
      </c>
      <c r="L901" t="s">
        <v>777</v>
      </c>
      <c r="M901" t="s">
        <v>2694</v>
      </c>
      <c r="N901" t="s">
        <v>2690</v>
      </c>
      <c r="O901" t="s">
        <v>2695</v>
      </c>
    </row>
    <row r="902" spans="1:15" ht="15.75">
      <c r="A902" t="s">
        <v>928</v>
      </c>
      <c r="B902" t="s">
        <v>1116</v>
      </c>
      <c r="C902" t="s">
        <v>1230</v>
      </c>
      <c r="D902" t="s">
        <v>16</v>
      </c>
      <c r="E902">
        <v>31</v>
      </c>
      <c r="F902" t="s">
        <v>1118</v>
      </c>
      <c r="G902" t="s">
        <v>2996</v>
      </c>
      <c r="H902" t="s">
        <v>2997</v>
      </c>
      <c r="I902" s="2">
        <v>44566</v>
      </c>
      <c r="J902" t="s">
        <v>1121</v>
      </c>
      <c r="K902" t="s">
        <v>778</v>
      </c>
      <c r="L902" t="s">
        <v>777</v>
      </c>
      <c r="M902" t="s">
        <v>2698</v>
      </c>
      <c r="N902" t="s">
        <v>2690</v>
      </c>
      <c r="O902" t="s">
        <v>2699</v>
      </c>
    </row>
    <row r="903" spans="1:15" ht="15.75">
      <c r="A903" t="s">
        <v>929</v>
      </c>
      <c r="B903" t="s">
        <v>1125</v>
      </c>
      <c r="C903" t="s">
        <v>1230</v>
      </c>
      <c r="D903" t="s">
        <v>21</v>
      </c>
      <c r="E903">
        <v>54</v>
      </c>
      <c r="F903" t="s">
        <v>1132</v>
      </c>
      <c r="G903" t="s">
        <v>2998</v>
      </c>
      <c r="H903" t="s">
        <v>2999</v>
      </c>
      <c r="I903" s="2">
        <v>44963</v>
      </c>
      <c r="J903" t="s">
        <v>1128</v>
      </c>
      <c r="K903" t="s">
        <v>778</v>
      </c>
      <c r="L903" t="s">
        <v>777</v>
      </c>
      <c r="M903" t="s">
        <v>2702</v>
      </c>
      <c r="N903" t="s">
        <v>2690</v>
      </c>
      <c r="O903" t="s">
        <v>2703</v>
      </c>
    </row>
    <row r="904" spans="1:15" ht="15.75">
      <c r="A904" t="s">
        <v>930</v>
      </c>
      <c r="B904" t="s">
        <v>1176</v>
      </c>
      <c r="C904" t="s">
        <v>1230</v>
      </c>
      <c r="D904" t="s">
        <v>21</v>
      </c>
      <c r="E904">
        <v>51</v>
      </c>
      <c r="F904" t="s">
        <v>1132</v>
      </c>
      <c r="G904" t="s">
        <v>3000</v>
      </c>
      <c r="H904" t="s">
        <v>3001</v>
      </c>
      <c r="I904" s="2">
        <v>44262</v>
      </c>
      <c r="J904" t="s">
        <v>1135</v>
      </c>
      <c r="K904" t="s">
        <v>778</v>
      </c>
      <c r="L904" t="s">
        <v>777</v>
      </c>
      <c r="M904" t="s">
        <v>2689</v>
      </c>
      <c r="N904" t="s">
        <v>2690</v>
      </c>
      <c r="O904" t="s">
        <v>2691</v>
      </c>
    </row>
    <row r="905" spans="1:15" ht="15.75">
      <c r="A905" t="s">
        <v>931</v>
      </c>
      <c r="B905" t="s">
        <v>1138</v>
      </c>
      <c r="C905" t="s">
        <v>1230</v>
      </c>
      <c r="D905" t="s">
        <v>16</v>
      </c>
      <c r="E905">
        <v>28</v>
      </c>
      <c r="F905" t="s">
        <v>1118</v>
      </c>
      <c r="G905" t="s">
        <v>3002</v>
      </c>
      <c r="H905" t="s">
        <v>3003</v>
      </c>
      <c r="I905" s="2">
        <v>44659</v>
      </c>
      <c r="J905" t="s">
        <v>1142</v>
      </c>
      <c r="K905" t="s">
        <v>778</v>
      </c>
      <c r="L905" t="s">
        <v>777</v>
      </c>
      <c r="M905" t="s">
        <v>2694</v>
      </c>
      <c r="N905" t="s">
        <v>2690</v>
      </c>
      <c r="O905" t="s">
        <v>2695</v>
      </c>
    </row>
    <row r="906" spans="1:15" ht="15.75">
      <c r="A906" t="s">
        <v>932</v>
      </c>
      <c r="B906" t="s">
        <v>1145</v>
      </c>
      <c r="C906" t="s">
        <v>1230</v>
      </c>
      <c r="D906" t="s">
        <v>16</v>
      </c>
      <c r="E906">
        <v>58</v>
      </c>
      <c r="F906" t="s">
        <v>1132</v>
      </c>
      <c r="G906" t="s">
        <v>3004</v>
      </c>
      <c r="H906" t="s">
        <v>3005</v>
      </c>
      <c r="I906" s="2">
        <v>45055</v>
      </c>
      <c r="J906" t="s">
        <v>1121</v>
      </c>
      <c r="K906" t="s">
        <v>778</v>
      </c>
      <c r="L906" t="s">
        <v>777</v>
      </c>
      <c r="M906" t="s">
        <v>2698</v>
      </c>
      <c r="N906" t="s">
        <v>2690</v>
      </c>
      <c r="O906" t="s">
        <v>2699</v>
      </c>
    </row>
    <row r="907" spans="1:15" ht="15.75">
      <c r="A907" t="s">
        <v>933</v>
      </c>
      <c r="B907" t="s">
        <v>1148</v>
      </c>
      <c r="C907" t="s">
        <v>1230</v>
      </c>
      <c r="D907" t="s">
        <v>21</v>
      </c>
      <c r="E907">
        <v>20</v>
      </c>
      <c r="F907" t="s">
        <v>1164</v>
      </c>
      <c r="G907" t="s">
        <v>3006</v>
      </c>
      <c r="H907" t="s">
        <v>3007</v>
      </c>
      <c r="I907" s="2">
        <v>44357</v>
      </c>
      <c r="J907" t="s">
        <v>1128</v>
      </c>
      <c r="K907" t="s">
        <v>778</v>
      </c>
      <c r="L907" t="s">
        <v>777</v>
      </c>
      <c r="M907" t="s">
        <v>2702</v>
      </c>
      <c r="N907" t="s">
        <v>2690</v>
      </c>
      <c r="O907" t="s">
        <v>2703</v>
      </c>
    </row>
    <row r="908" spans="1:15" ht="15.75">
      <c r="A908" t="s">
        <v>934</v>
      </c>
      <c r="B908" t="s">
        <v>1186</v>
      </c>
      <c r="C908" t="s">
        <v>1230</v>
      </c>
      <c r="D908" t="s">
        <v>21</v>
      </c>
      <c r="E908">
        <v>45</v>
      </c>
      <c r="F908" t="s">
        <v>1139</v>
      </c>
      <c r="G908" t="s">
        <v>3008</v>
      </c>
      <c r="H908" t="s">
        <v>3009</v>
      </c>
      <c r="I908" s="2">
        <v>44753</v>
      </c>
      <c r="J908" t="s">
        <v>1135</v>
      </c>
      <c r="K908" t="s">
        <v>778</v>
      </c>
      <c r="L908" t="s">
        <v>777</v>
      </c>
      <c r="M908" t="s">
        <v>2689</v>
      </c>
      <c r="N908" t="s">
        <v>2690</v>
      </c>
      <c r="O908" t="s">
        <v>2691</v>
      </c>
    </row>
    <row r="909" spans="1:15" ht="15.75">
      <c r="A909" t="s">
        <v>935</v>
      </c>
      <c r="B909" t="s">
        <v>1154</v>
      </c>
      <c r="C909" t="s">
        <v>1230</v>
      </c>
      <c r="D909" t="s">
        <v>16</v>
      </c>
      <c r="E909">
        <v>46</v>
      </c>
      <c r="F909" t="s">
        <v>1132</v>
      </c>
      <c r="G909" t="s">
        <v>3010</v>
      </c>
      <c r="H909" t="s">
        <v>3011</v>
      </c>
      <c r="I909" s="2">
        <v>45150</v>
      </c>
      <c r="J909" t="s">
        <v>1142</v>
      </c>
      <c r="K909" t="s">
        <v>778</v>
      </c>
      <c r="L909" t="s">
        <v>777</v>
      </c>
      <c r="M909" t="s">
        <v>2694</v>
      </c>
      <c r="N909" t="s">
        <v>2690</v>
      </c>
      <c r="O909" t="s">
        <v>2695</v>
      </c>
    </row>
    <row r="910" spans="1:15" ht="15.75">
      <c r="A910" t="s">
        <v>936</v>
      </c>
      <c r="B910" t="s">
        <v>1157</v>
      </c>
      <c r="C910" t="s">
        <v>1230</v>
      </c>
      <c r="D910" t="s">
        <v>16</v>
      </c>
      <c r="E910">
        <v>26</v>
      </c>
      <c r="F910" t="s">
        <v>1118</v>
      </c>
      <c r="G910" t="s">
        <v>3012</v>
      </c>
      <c r="H910" t="s">
        <v>3013</v>
      </c>
      <c r="I910" s="2">
        <v>44452</v>
      </c>
      <c r="J910" t="s">
        <v>1121</v>
      </c>
      <c r="K910" t="s">
        <v>778</v>
      </c>
      <c r="L910" t="s">
        <v>777</v>
      </c>
      <c r="M910" t="s">
        <v>2698</v>
      </c>
      <c r="N910" t="s">
        <v>2690</v>
      </c>
      <c r="O910" t="s">
        <v>2699</v>
      </c>
    </row>
    <row r="911" spans="1:15" ht="15.75">
      <c r="A911" t="s">
        <v>937</v>
      </c>
      <c r="B911" t="s">
        <v>1160</v>
      </c>
      <c r="C911" t="s">
        <v>1230</v>
      </c>
      <c r="D911" t="s">
        <v>21</v>
      </c>
      <c r="E911">
        <v>20</v>
      </c>
      <c r="F911" t="s">
        <v>1164</v>
      </c>
      <c r="G911" t="s">
        <v>3014</v>
      </c>
      <c r="H911" t="s">
        <v>3015</v>
      </c>
      <c r="I911" s="2">
        <v>44848</v>
      </c>
      <c r="J911" t="s">
        <v>1128</v>
      </c>
      <c r="K911" t="s">
        <v>778</v>
      </c>
      <c r="L911" t="s">
        <v>777</v>
      </c>
      <c r="M911" t="s">
        <v>2702</v>
      </c>
      <c r="N911" t="s">
        <v>2690</v>
      </c>
      <c r="O911" t="s">
        <v>2703</v>
      </c>
    </row>
    <row r="912" spans="1:15" ht="15.75">
      <c r="A912" t="s">
        <v>938</v>
      </c>
      <c r="B912" t="s">
        <v>1163</v>
      </c>
      <c r="C912" t="s">
        <v>1230</v>
      </c>
      <c r="D912" t="s">
        <v>16</v>
      </c>
      <c r="E912">
        <v>42</v>
      </c>
      <c r="F912" t="s">
        <v>1139</v>
      </c>
      <c r="G912" t="s">
        <v>3016</v>
      </c>
      <c r="H912" t="s">
        <v>3017</v>
      </c>
      <c r="I912" s="2">
        <v>45245</v>
      </c>
      <c r="J912" t="s">
        <v>1135</v>
      </c>
      <c r="K912" t="s">
        <v>778</v>
      </c>
      <c r="L912" t="s">
        <v>777</v>
      </c>
      <c r="M912" t="s">
        <v>2689</v>
      </c>
      <c r="N912" t="s">
        <v>2690</v>
      </c>
      <c r="O912" t="s">
        <v>2691</v>
      </c>
    </row>
    <row r="913" spans="1:15" ht="15.75">
      <c r="A913" t="s">
        <v>939</v>
      </c>
      <c r="B913" t="s">
        <v>1167</v>
      </c>
      <c r="C913" t="s">
        <v>1230</v>
      </c>
      <c r="D913" t="s">
        <v>16</v>
      </c>
      <c r="E913">
        <v>51</v>
      </c>
      <c r="F913" t="s">
        <v>1132</v>
      </c>
      <c r="G913" t="s">
        <v>3018</v>
      </c>
      <c r="H913" t="s">
        <v>3019</v>
      </c>
      <c r="I913" s="2">
        <v>44546</v>
      </c>
      <c r="J913" t="s">
        <v>1142</v>
      </c>
      <c r="K913" t="s">
        <v>778</v>
      </c>
      <c r="L913" t="s">
        <v>777</v>
      </c>
      <c r="M913" t="s">
        <v>2694</v>
      </c>
      <c r="N913" t="s">
        <v>2690</v>
      </c>
      <c r="O913" t="s">
        <v>2695</v>
      </c>
    </row>
    <row r="914" spans="1:15" ht="15.75">
      <c r="A914" t="s">
        <v>940</v>
      </c>
      <c r="B914" t="s">
        <v>1116</v>
      </c>
      <c r="C914" t="s">
        <v>1257</v>
      </c>
      <c r="D914" t="s">
        <v>16</v>
      </c>
      <c r="E914">
        <v>29</v>
      </c>
      <c r="F914" t="s">
        <v>1118</v>
      </c>
      <c r="G914" t="s">
        <v>3020</v>
      </c>
      <c r="H914" t="s">
        <v>3021</v>
      </c>
      <c r="I914" s="2">
        <v>44578</v>
      </c>
      <c r="J914" t="s">
        <v>1121</v>
      </c>
      <c r="K914" t="s">
        <v>778</v>
      </c>
      <c r="L914" t="s">
        <v>777</v>
      </c>
      <c r="M914" t="s">
        <v>2698</v>
      </c>
      <c r="N914" t="s">
        <v>2690</v>
      </c>
      <c r="O914" t="s">
        <v>2699</v>
      </c>
    </row>
    <row r="915" spans="1:15" ht="15.75">
      <c r="A915" t="s">
        <v>941</v>
      </c>
      <c r="B915" t="s">
        <v>1125</v>
      </c>
      <c r="C915" t="s">
        <v>1257</v>
      </c>
      <c r="D915" t="s">
        <v>21</v>
      </c>
      <c r="E915">
        <v>59</v>
      </c>
      <c r="F915" t="s">
        <v>1132</v>
      </c>
      <c r="G915" t="s">
        <v>3022</v>
      </c>
      <c r="H915" t="s">
        <v>3023</v>
      </c>
      <c r="I915" s="2">
        <v>44975</v>
      </c>
      <c r="J915" t="s">
        <v>1128</v>
      </c>
      <c r="K915" t="s">
        <v>778</v>
      </c>
      <c r="L915" t="s">
        <v>777</v>
      </c>
      <c r="M915" t="s">
        <v>2702</v>
      </c>
      <c r="N915" t="s">
        <v>2690</v>
      </c>
      <c r="O915" t="s">
        <v>2703</v>
      </c>
    </row>
    <row r="916" spans="1:15" ht="15.75">
      <c r="A916" t="s">
        <v>942</v>
      </c>
      <c r="B916" t="s">
        <v>1176</v>
      </c>
      <c r="C916" t="s">
        <v>1257</v>
      </c>
      <c r="D916" t="s">
        <v>21</v>
      </c>
      <c r="E916">
        <v>26</v>
      </c>
      <c r="F916" t="s">
        <v>1118</v>
      </c>
      <c r="G916" t="s">
        <v>3024</v>
      </c>
      <c r="H916" t="s">
        <v>3025</v>
      </c>
      <c r="I916" s="2">
        <v>44274</v>
      </c>
      <c r="J916" t="s">
        <v>1135</v>
      </c>
      <c r="K916" t="s">
        <v>778</v>
      </c>
      <c r="L916" t="s">
        <v>777</v>
      </c>
      <c r="M916" t="s">
        <v>2689</v>
      </c>
      <c r="N916" t="s">
        <v>2690</v>
      </c>
      <c r="O916" t="s">
        <v>2691</v>
      </c>
    </row>
    <row r="917" spans="1:15" ht="15.75">
      <c r="A917" t="s">
        <v>943</v>
      </c>
      <c r="B917" t="s">
        <v>1211</v>
      </c>
      <c r="C917" t="s">
        <v>1257</v>
      </c>
      <c r="D917" t="s">
        <v>21</v>
      </c>
      <c r="E917">
        <v>32</v>
      </c>
      <c r="F917" t="s">
        <v>1118</v>
      </c>
      <c r="G917" t="s">
        <v>3026</v>
      </c>
      <c r="H917" t="s">
        <v>3027</v>
      </c>
      <c r="I917" s="2">
        <v>44671</v>
      </c>
      <c r="J917" t="s">
        <v>1142</v>
      </c>
      <c r="K917" t="s">
        <v>778</v>
      </c>
      <c r="L917" t="s">
        <v>777</v>
      </c>
      <c r="M917" t="s">
        <v>2694</v>
      </c>
      <c r="N917" t="s">
        <v>2690</v>
      </c>
      <c r="O917" t="s">
        <v>2695</v>
      </c>
    </row>
    <row r="918" spans="1:15" ht="15.75">
      <c r="A918" t="s">
        <v>944</v>
      </c>
      <c r="B918" t="s">
        <v>1181</v>
      </c>
      <c r="C918" t="s">
        <v>1257</v>
      </c>
      <c r="D918" t="s">
        <v>21</v>
      </c>
      <c r="E918">
        <v>57</v>
      </c>
      <c r="F918" t="s">
        <v>1132</v>
      </c>
      <c r="G918" t="s">
        <v>3028</v>
      </c>
      <c r="H918" t="s">
        <v>3029</v>
      </c>
      <c r="I918" s="2">
        <v>45067</v>
      </c>
      <c r="J918" t="s">
        <v>1121</v>
      </c>
      <c r="K918" t="s">
        <v>778</v>
      </c>
      <c r="L918" t="s">
        <v>777</v>
      </c>
      <c r="M918" t="s">
        <v>2698</v>
      </c>
      <c r="N918" t="s">
        <v>2690</v>
      </c>
      <c r="O918" t="s">
        <v>2699</v>
      </c>
    </row>
    <row r="919" spans="1:15" ht="15.75">
      <c r="A919" t="s">
        <v>945</v>
      </c>
      <c r="B919" t="s">
        <v>1148</v>
      </c>
      <c r="C919" t="s">
        <v>1257</v>
      </c>
      <c r="D919" t="s">
        <v>21</v>
      </c>
      <c r="E919">
        <v>42</v>
      </c>
      <c r="F919" t="s">
        <v>1139</v>
      </c>
      <c r="G919" t="s">
        <v>3030</v>
      </c>
      <c r="H919" t="s">
        <v>3031</v>
      </c>
      <c r="I919" s="2">
        <v>44369</v>
      </c>
      <c r="J919" t="s">
        <v>1128</v>
      </c>
      <c r="K919" t="s">
        <v>778</v>
      </c>
      <c r="L919" t="s">
        <v>777</v>
      </c>
      <c r="M919" t="s">
        <v>2702</v>
      </c>
      <c r="N919" t="s">
        <v>2690</v>
      </c>
      <c r="O919" t="s">
        <v>2703</v>
      </c>
    </row>
    <row r="920" spans="1:15" ht="15.75">
      <c r="A920" t="s">
        <v>946</v>
      </c>
      <c r="B920" t="s">
        <v>1186</v>
      </c>
      <c r="C920" t="s">
        <v>1257</v>
      </c>
      <c r="D920" t="s">
        <v>21</v>
      </c>
      <c r="E920">
        <v>22</v>
      </c>
      <c r="F920" t="s">
        <v>1164</v>
      </c>
      <c r="G920" t="s">
        <v>3032</v>
      </c>
      <c r="H920" t="s">
        <v>3033</v>
      </c>
      <c r="I920" s="2">
        <v>44765</v>
      </c>
      <c r="J920" t="s">
        <v>1135</v>
      </c>
      <c r="K920" t="s">
        <v>778</v>
      </c>
      <c r="L920" t="s">
        <v>777</v>
      </c>
      <c r="M920" t="s">
        <v>2689</v>
      </c>
      <c r="N920" t="s">
        <v>2690</v>
      </c>
      <c r="O920" t="s">
        <v>2691</v>
      </c>
    </row>
    <row r="921" spans="1:15" ht="15.75">
      <c r="A921" t="s">
        <v>947</v>
      </c>
      <c r="B921" t="s">
        <v>1246</v>
      </c>
      <c r="C921" t="s">
        <v>1257</v>
      </c>
      <c r="D921" t="s">
        <v>21</v>
      </c>
      <c r="E921">
        <v>28</v>
      </c>
      <c r="F921" t="s">
        <v>1118</v>
      </c>
      <c r="G921" t="s">
        <v>3034</v>
      </c>
      <c r="H921" t="s">
        <v>3035</v>
      </c>
      <c r="I921" s="2">
        <v>45162</v>
      </c>
      <c r="J921" t="s">
        <v>1142</v>
      </c>
      <c r="K921" t="s">
        <v>778</v>
      </c>
      <c r="L921" t="s">
        <v>777</v>
      </c>
      <c r="M921" t="s">
        <v>2694</v>
      </c>
      <c r="N921" t="s">
        <v>2690</v>
      </c>
      <c r="O921" t="s">
        <v>2695</v>
      </c>
    </row>
    <row r="922" spans="1:15" ht="15.75">
      <c r="A922" t="s">
        <v>948</v>
      </c>
      <c r="B922" t="s">
        <v>1157</v>
      </c>
      <c r="C922" t="s">
        <v>1257</v>
      </c>
      <c r="D922" t="s">
        <v>16</v>
      </c>
      <c r="E922">
        <v>51</v>
      </c>
      <c r="F922" t="s">
        <v>1132</v>
      </c>
      <c r="G922" t="s">
        <v>3036</v>
      </c>
      <c r="H922" t="s">
        <v>3037</v>
      </c>
      <c r="I922" s="2">
        <v>44464</v>
      </c>
      <c r="J922" t="s">
        <v>1121</v>
      </c>
      <c r="K922" t="s">
        <v>778</v>
      </c>
      <c r="L922" t="s">
        <v>777</v>
      </c>
      <c r="M922" t="s">
        <v>2698</v>
      </c>
      <c r="N922" t="s">
        <v>2690</v>
      </c>
      <c r="O922" t="s">
        <v>2699</v>
      </c>
    </row>
    <row r="923" spans="1:15" ht="15.75">
      <c r="A923" t="s">
        <v>949</v>
      </c>
      <c r="B923" t="s">
        <v>1194</v>
      </c>
      <c r="C923" t="s">
        <v>1257</v>
      </c>
      <c r="D923" t="s">
        <v>16</v>
      </c>
      <c r="E923">
        <v>41</v>
      </c>
      <c r="F923" t="s">
        <v>1139</v>
      </c>
      <c r="G923" t="s">
        <v>3038</v>
      </c>
      <c r="H923" t="s">
        <v>3039</v>
      </c>
      <c r="I923" s="2">
        <v>44860</v>
      </c>
      <c r="J923" t="s">
        <v>1128</v>
      </c>
      <c r="K923" t="s">
        <v>778</v>
      </c>
      <c r="L923" t="s">
        <v>777</v>
      </c>
      <c r="M923" t="s">
        <v>2702</v>
      </c>
      <c r="N923" t="s">
        <v>2690</v>
      </c>
      <c r="O923" t="s">
        <v>2703</v>
      </c>
    </row>
    <row r="924" spans="1:15" ht="15.75">
      <c r="A924" t="s">
        <v>950</v>
      </c>
      <c r="B924" t="s">
        <v>1163</v>
      </c>
      <c r="C924" t="s">
        <v>1257</v>
      </c>
      <c r="D924" t="s">
        <v>16</v>
      </c>
      <c r="E924">
        <v>32</v>
      </c>
      <c r="F924" t="s">
        <v>1118</v>
      </c>
      <c r="G924" t="s">
        <v>3040</v>
      </c>
      <c r="H924" t="s">
        <v>3041</v>
      </c>
      <c r="I924" s="2">
        <v>45257</v>
      </c>
      <c r="J924" t="s">
        <v>1135</v>
      </c>
      <c r="K924" t="s">
        <v>778</v>
      </c>
      <c r="L924" t="s">
        <v>777</v>
      </c>
      <c r="M924" t="s">
        <v>2689</v>
      </c>
      <c r="N924" t="s">
        <v>2690</v>
      </c>
      <c r="O924" t="s">
        <v>2691</v>
      </c>
    </row>
    <row r="925" spans="1:15" ht="15.75">
      <c r="A925" t="s">
        <v>951</v>
      </c>
      <c r="B925" t="s">
        <v>1167</v>
      </c>
      <c r="C925" t="s">
        <v>1257</v>
      </c>
      <c r="D925" t="s">
        <v>16</v>
      </c>
      <c r="E925">
        <v>55</v>
      </c>
      <c r="F925" t="s">
        <v>1132</v>
      </c>
      <c r="G925" t="s">
        <v>3042</v>
      </c>
      <c r="H925" t="s">
        <v>3043</v>
      </c>
      <c r="I925" s="2">
        <v>44558</v>
      </c>
      <c r="J925" t="s">
        <v>1142</v>
      </c>
      <c r="K925" t="s">
        <v>778</v>
      </c>
      <c r="L925" t="s">
        <v>777</v>
      </c>
      <c r="M925" t="s">
        <v>2694</v>
      </c>
      <c r="N925" t="s">
        <v>2690</v>
      </c>
      <c r="O925" t="s">
        <v>2695</v>
      </c>
    </row>
    <row r="926" spans="1:15" ht="15.75">
      <c r="A926" t="s">
        <v>952</v>
      </c>
      <c r="B926" t="s">
        <v>1116</v>
      </c>
      <c r="C926" t="s">
        <v>1282</v>
      </c>
      <c r="D926" t="s">
        <v>16</v>
      </c>
      <c r="E926">
        <v>25</v>
      </c>
      <c r="F926" t="s">
        <v>1164</v>
      </c>
      <c r="G926" t="s">
        <v>3044</v>
      </c>
      <c r="H926" t="s">
        <v>3045</v>
      </c>
      <c r="I926" s="2">
        <v>44562</v>
      </c>
      <c r="J926" t="s">
        <v>1121</v>
      </c>
      <c r="K926" t="s">
        <v>778</v>
      </c>
      <c r="L926" t="s">
        <v>777</v>
      </c>
      <c r="M926" t="s">
        <v>2698</v>
      </c>
      <c r="N926" t="s">
        <v>2690</v>
      </c>
      <c r="O926" t="s">
        <v>2699</v>
      </c>
    </row>
    <row r="927" spans="1:15" ht="15.75">
      <c r="A927" t="s">
        <v>953</v>
      </c>
      <c r="B927" t="s">
        <v>1173</v>
      </c>
      <c r="C927" t="s">
        <v>1282</v>
      </c>
      <c r="D927" t="s">
        <v>16</v>
      </c>
      <c r="E927">
        <v>22</v>
      </c>
      <c r="F927" t="s">
        <v>1164</v>
      </c>
      <c r="G927" t="s">
        <v>3046</v>
      </c>
      <c r="H927" t="s">
        <v>3047</v>
      </c>
      <c r="I927" s="2">
        <v>44959</v>
      </c>
      <c r="J927" t="s">
        <v>1128</v>
      </c>
      <c r="K927" t="s">
        <v>778</v>
      </c>
      <c r="L927" t="s">
        <v>777</v>
      </c>
      <c r="M927" t="s">
        <v>2702</v>
      </c>
      <c r="N927" t="s">
        <v>2690</v>
      </c>
      <c r="O927" t="s">
        <v>2703</v>
      </c>
    </row>
    <row r="928" spans="1:15" ht="15.75">
      <c r="A928" t="s">
        <v>954</v>
      </c>
      <c r="B928" t="s">
        <v>1131</v>
      </c>
      <c r="C928" t="s">
        <v>1282</v>
      </c>
      <c r="D928" t="s">
        <v>16</v>
      </c>
      <c r="E928">
        <v>43</v>
      </c>
      <c r="F928" t="s">
        <v>1139</v>
      </c>
      <c r="G928" t="s">
        <v>3048</v>
      </c>
      <c r="H928" t="s">
        <v>3049</v>
      </c>
      <c r="I928" s="2">
        <v>44258</v>
      </c>
      <c r="J928" t="s">
        <v>1135</v>
      </c>
      <c r="K928" t="s">
        <v>778</v>
      </c>
      <c r="L928" t="s">
        <v>777</v>
      </c>
      <c r="M928" t="s">
        <v>2689</v>
      </c>
      <c r="N928" t="s">
        <v>2690</v>
      </c>
      <c r="O928" t="s">
        <v>2691</v>
      </c>
    </row>
    <row r="929" spans="1:15" ht="15.75">
      <c r="A929" t="s">
        <v>955</v>
      </c>
      <c r="B929" t="s">
        <v>1211</v>
      </c>
      <c r="C929" t="s">
        <v>1282</v>
      </c>
      <c r="D929" t="s">
        <v>21</v>
      </c>
      <c r="E929">
        <v>35</v>
      </c>
      <c r="F929" t="s">
        <v>1118</v>
      </c>
      <c r="G929" t="s">
        <v>3050</v>
      </c>
      <c r="H929" t="s">
        <v>3051</v>
      </c>
      <c r="I929" s="2">
        <v>44655</v>
      </c>
      <c r="J929" t="s">
        <v>1142</v>
      </c>
      <c r="K929" t="s">
        <v>778</v>
      </c>
      <c r="L929" t="s">
        <v>777</v>
      </c>
      <c r="M929" t="s">
        <v>2694</v>
      </c>
      <c r="N929" t="s">
        <v>2690</v>
      </c>
      <c r="O929" t="s">
        <v>2695</v>
      </c>
    </row>
    <row r="930" spans="1:15" ht="15.75">
      <c r="A930" t="s">
        <v>956</v>
      </c>
      <c r="B930" t="s">
        <v>1181</v>
      </c>
      <c r="C930" t="s">
        <v>1282</v>
      </c>
      <c r="D930" t="s">
        <v>21</v>
      </c>
      <c r="E930">
        <v>23</v>
      </c>
      <c r="F930" t="s">
        <v>1164</v>
      </c>
      <c r="G930" t="s">
        <v>3052</v>
      </c>
      <c r="H930" t="s">
        <v>3053</v>
      </c>
      <c r="I930" s="2">
        <v>45051</v>
      </c>
      <c r="J930" t="s">
        <v>1121</v>
      </c>
      <c r="K930" t="s">
        <v>778</v>
      </c>
      <c r="L930" t="s">
        <v>777</v>
      </c>
      <c r="M930" t="s">
        <v>2698</v>
      </c>
      <c r="N930" t="s">
        <v>2690</v>
      </c>
      <c r="O930" t="s">
        <v>2699</v>
      </c>
    </row>
    <row r="931" spans="1:15" ht="15.75">
      <c r="A931" t="s">
        <v>957</v>
      </c>
      <c r="B931" t="s">
        <v>1241</v>
      </c>
      <c r="C931" t="s">
        <v>1282</v>
      </c>
      <c r="D931" t="s">
        <v>16</v>
      </c>
      <c r="E931">
        <v>54</v>
      </c>
      <c r="F931" t="s">
        <v>1132</v>
      </c>
      <c r="G931" t="s">
        <v>3054</v>
      </c>
      <c r="H931" t="s">
        <v>3055</v>
      </c>
      <c r="I931" s="2">
        <v>44353</v>
      </c>
      <c r="J931" t="s">
        <v>1128</v>
      </c>
      <c r="K931" t="s">
        <v>778</v>
      </c>
      <c r="L931" t="s">
        <v>777</v>
      </c>
      <c r="M931" t="s">
        <v>2702</v>
      </c>
      <c r="N931" t="s">
        <v>2690</v>
      </c>
      <c r="O931" t="s">
        <v>2703</v>
      </c>
    </row>
    <row r="932" spans="1:15" ht="15.75">
      <c r="A932" t="s">
        <v>958</v>
      </c>
      <c r="B932" t="s">
        <v>1151</v>
      </c>
      <c r="C932" t="s">
        <v>1282</v>
      </c>
      <c r="D932" t="s">
        <v>16</v>
      </c>
      <c r="E932">
        <v>30</v>
      </c>
      <c r="F932" t="s">
        <v>1118</v>
      </c>
      <c r="G932" t="s">
        <v>3056</v>
      </c>
      <c r="H932" t="s">
        <v>3057</v>
      </c>
      <c r="I932" s="2">
        <v>44749</v>
      </c>
      <c r="J932" t="s">
        <v>1135</v>
      </c>
      <c r="K932" t="s">
        <v>778</v>
      </c>
      <c r="L932" t="s">
        <v>777</v>
      </c>
      <c r="M932" t="s">
        <v>2689</v>
      </c>
      <c r="N932" t="s">
        <v>2690</v>
      </c>
      <c r="O932" t="s">
        <v>2691</v>
      </c>
    </row>
    <row r="933" spans="1:15" ht="15.75">
      <c r="A933" t="s">
        <v>959</v>
      </c>
      <c r="B933" t="s">
        <v>1246</v>
      </c>
      <c r="C933" t="s">
        <v>1282</v>
      </c>
      <c r="D933" t="s">
        <v>21</v>
      </c>
      <c r="E933">
        <v>45</v>
      </c>
      <c r="F933" t="s">
        <v>1139</v>
      </c>
      <c r="G933" t="s">
        <v>3058</v>
      </c>
      <c r="H933" t="s">
        <v>3059</v>
      </c>
      <c r="I933" s="2">
        <v>45146</v>
      </c>
      <c r="J933" t="s">
        <v>1142</v>
      </c>
      <c r="K933" t="s">
        <v>778</v>
      </c>
      <c r="L933" t="s">
        <v>777</v>
      </c>
      <c r="M933" t="s">
        <v>2694</v>
      </c>
      <c r="N933" t="s">
        <v>2690</v>
      </c>
      <c r="O933" t="s">
        <v>2695</v>
      </c>
    </row>
    <row r="934" spans="1:15" ht="15.75">
      <c r="A934" t="s">
        <v>960</v>
      </c>
      <c r="B934" t="s">
        <v>1157</v>
      </c>
      <c r="C934" t="s">
        <v>1282</v>
      </c>
      <c r="D934" t="s">
        <v>16</v>
      </c>
      <c r="E934">
        <v>22</v>
      </c>
      <c r="F934" t="s">
        <v>1164</v>
      </c>
      <c r="G934" t="s">
        <v>3060</v>
      </c>
      <c r="H934" t="s">
        <v>3061</v>
      </c>
      <c r="I934" s="2">
        <v>44448</v>
      </c>
      <c r="J934" t="s">
        <v>1121</v>
      </c>
      <c r="K934" t="s">
        <v>778</v>
      </c>
      <c r="L934" t="s">
        <v>777</v>
      </c>
      <c r="M934" t="s">
        <v>2698</v>
      </c>
      <c r="N934" t="s">
        <v>2690</v>
      </c>
      <c r="O934" t="s">
        <v>2699</v>
      </c>
    </row>
    <row r="935" spans="1:15" ht="15.75">
      <c r="A935" t="s">
        <v>961</v>
      </c>
      <c r="B935" t="s">
        <v>1194</v>
      </c>
      <c r="C935" t="s">
        <v>1282</v>
      </c>
      <c r="D935" t="s">
        <v>16</v>
      </c>
      <c r="E935">
        <v>30</v>
      </c>
      <c r="F935" t="s">
        <v>1118</v>
      </c>
      <c r="G935" t="s">
        <v>3062</v>
      </c>
      <c r="H935" t="s">
        <v>3063</v>
      </c>
      <c r="I935" s="2">
        <v>44844</v>
      </c>
      <c r="J935" t="s">
        <v>1128</v>
      </c>
      <c r="K935" t="s">
        <v>778</v>
      </c>
      <c r="L935" t="s">
        <v>777</v>
      </c>
      <c r="M935" t="s">
        <v>2702</v>
      </c>
      <c r="N935" t="s">
        <v>2690</v>
      </c>
      <c r="O935" t="s">
        <v>2703</v>
      </c>
    </row>
    <row r="936" spans="1:15" ht="15.75">
      <c r="A936" t="s">
        <v>962</v>
      </c>
      <c r="B936" t="s">
        <v>1197</v>
      </c>
      <c r="C936" t="s">
        <v>1282</v>
      </c>
      <c r="D936" t="s">
        <v>21</v>
      </c>
      <c r="E936">
        <v>34</v>
      </c>
      <c r="F936" t="s">
        <v>1118</v>
      </c>
      <c r="G936" t="s">
        <v>3064</v>
      </c>
      <c r="H936" t="s">
        <v>3065</v>
      </c>
      <c r="I936" s="2">
        <v>45241</v>
      </c>
      <c r="J936" t="s">
        <v>1135</v>
      </c>
      <c r="K936" t="s">
        <v>778</v>
      </c>
      <c r="L936" t="s">
        <v>777</v>
      </c>
      <c r="M936" t="s">
        <v>2689</v>
      </c>
      <c r="N936" t="s">
        <v>2690</v>
      </c>
      <c r="O936" t="s">
        <v>2691</v>
      </c>
    </row>
    <row r="937" spans="1:15" ht="15.75">
      <c r="A937" t="s">
        <v>963</v>
      </c>
      <c r="B937" t="s">
        <v>1167</v>
      </c>
      <c r="C937" t="s">
        <v>1282</v>
      </c>
      <c r="D937" t="s">
        <v>16</v>
      </c>
      <c r="E937">
        <v>57</v>
      </c>
      <c r="F937" t="s">
        <v>1132</v>
      </c>
      <c r="G937" t="s">
        <v>3066</v>
      </c>
      <c r="H937" t="s">
        <v>3067</v>
      </c>
      <c r="I937" s="2">
        <v>44542</v>
      </c>
      <c r="J937" t="s">
        <v>1142</v>
      </c>
      <c r="K937" t="s">
        <v>778</v>
      </c>
      <c r="L937" t="s">
        <v>777</v>
      </c>
      <c r="M937" t="s">
        <v>2694</v>
      </c>
      <c r="N937" t="s">
        <v>2690</v>
      </c>
      <c r="O937" t="s">
        <v>2695</v>
      </c>
    </row>
    <row r="938" spans="1:15" ht="15.75">
      <c r="A938" t="s">
        <v>964</v>
      </c>
      <c r="B938" t="s">
        <v>1203</v>
      </c>
      <c r="C938" t="s">
        <v>1307</v>
      </c>
      <c r="D938" t="s">
        <v>21</v>
      </c>
      <c r="E938">
        <v>62</v>
      </c>
      <c r="F938" t="s">
        <v>1132</v>
      </c>
      <c r="G938" t="s">
        <v>3068</v>
      </c>
      <c r="H938" t="s">
        <v>3069</v>
      </c>
      <c r="I938" s="2">
        <v>44574</v>
      </c>
      <c r="J938" t="s">
        <v>1121</v>
      </c>
      <c r="K938" t="s">
        <v>778</v>
      </c>
      <c r="L938" t="s">
        <v>777</v>
      </c>
      <c r="M938" t="s">
        <v>2698</v>
      </c>
      <c r="N938" t="s">
        <v>2690</v>
      </c>
      <c r="O938" t="s">
        <v>2699</v>
      </c>
    </row>
    <row r="939" spans="1:15" ht="15.75">
      <c r="A939" t="s">
        <v>965</v>
      </c>
      <c r="B939" t="s">
        <v>1173</v>
      </c>
      <c r="C939" t="s">
        <v>1307</v>
      </c>
      <c r="D939" t="s">
        <v>16</v>
      </c>
      <c r="E939">
        <v>49</v>
      </c>
      <c r="F939" t="s">
        <v>1132</v>
      </c>
      <c r="G939" t="s">
        <v>3070</v>
      </c>
      <c r="H939" t="s">
        <v>3071</v>
      </c>
      <c r="I939" s="2">
        <v>44971</v>
      </c>
      <c r="J939" t="s">
        <v>1128</v>
      </c>
      <c r="K939" t="s">
        <v>778</v>
      </c>
      <c r="L939" t="s">
        <v>777</v>
      </c>
      <c r="M939" t="s">
        <v>2702</v>
      </c>
      <c r="N939" t="s">
        <v>2690</v>
      </c>
      <c r="O939" t="s">
        <v>2703</v>
      </c>
    </row>
    <row r="940" spans="1:15" ht="15.75">
      <c r="A940" t="s">
        <v>966</v>
      </c>
      <c r="B940" t="s">
        <v>1176</v>
      </c>
      <c r="C940" t="s">
        <v>1307</v>
      </c>
      <c r="D940" t="s">
        <v>21</v>
      </c>
      <c r="E940">
        <v>46</v>
      </c>
      <c r="F940" t="s">
        <v>1132</v>
      </c>
      <c r="G940" t="s">
        <v>3072</v>
      </c>
      <c r="H940" t="s">
        <v>3073</v>
      </c>
      <c r="I940" s="2">
        <v>44270</v>
      </c>
      <c r="J940" t="s">
        <v>1135</v>
      </c>
      <c r="K940" t="s">
        <v>778</v>
      </c>
      <c r="L940" t="s">
        <v>777</v>
      </c>
      <c r="M940" t="s">
        <v>2689</v>
      </c>
      <c r="N940" t="s">
        <v>2690</v>
      </c>
      <c r="O940" t="s">
        <v>2691</v>
      </c>
    </row>
    <row r="941" spans="1:15" ht="15.75">
      <c r="A941" t="s">
        <v>967</v>
      </c>
      <c r="B941" t="s">
        <v>1211</v>
      </c>
      <c r="C941" t="s">
        <v>1307</v>
      </c>
      <c r="D941" t="s">
        <v>21</v>
      </c>
      <c r="E941">
        <v>20</v>
      </c>
      <c r="F941" t="s">
        <v>1164</v>
      </c>
      <c r="G941" t="s">
        <v>3074</v>
      </c>
      <c r="H941" t="s">
        <v>3075</v>
      </c>
      <c r="I941" s="2">
        <v>44667</v>
      </c>
      <c r="J941" t="s">
        <v>1142</v>
      </c>
      <c r="K941" t="s">
        <v>778</v>
      </c>
      <c r="L941" t="s">
        <v>777</v>
      </c>
      <c r="M941" t="s">
        <v>2694</v>
      </c>
      <c r="N941" t="s">
        <v>2690</v>
      </c>
      <c r="O941" t="s">
        <v>2695</v>
      </c>
    </row>
    <row r="942" spans="1:15" ht="15.75">
      <c r="A942" t="s">
        <v>968</v>
      </c>
      <c r="B942" t="s">
        <v>1181</v>
      </c>
      <c r="C942" t="s">
        <v>1307</v>
      </c>
      <c r="D942" t="s">
        <v>21</v>
      </c>
      <c r="E942">
        <v>57</v>
      </c>
      <c r="F942" t="s">
        <v>1132</v>
      </c>
      <c r="G942" t="s">
        <v>3076</v>
      </c>
      <c r="H942" t="s">
        <v>3077</v>
      </c>
      <c r="I942" s="2">
        <v>45063</v>
      </c>
      <c r="J942" t="s">
        <v>1121</v>
      </c>
      <c r="K942" t="s">
        <v>778</v>
      </c>
      <c r="L942" t="s">
        <v>777</v>
      </c>
      <c r="M942" t="s">
        <v>2698</v>
      </c>
      <c r="N942" t="s">
        <v>2690</v>
      </c>
      <c r="O942" t="s">
        <v>2699</v>
      </c>
    </row>
    <row r="943" spans="1:15" ht="15.75">
      <c r="A943" t="s">
        <v>969</v>
      </c>
      <c r="B943" t="s">
        <v>1241</v>
      </c>
      <c r="C943" t="s">
        <v>1307</v>
      </c>
      <c r="D943" t="s">
        <v>16</v>
      </c>
      <c r="E943">
        <v>51</v>
      </c>
      <c r="F943" t="s">
        <v>1132</v>
      </c>
      <c r="G943" t="s">
        <v>3078</v>
      </c>
      <c r="H943" t="s">
        <v>3079</v>
      </c>
      <c r="I943" s="2">
        <v>44365</v>
      </c>
      <c r="J943" t="s">
        <v>1128</v>
      </c>
      <c r="K943" t="s">
        <v>778</v>
      </c>
      <c r="L943" t="s">
        <v>777</v>
      </c>
      <c r="M943" t="s">
        <v>2702</v>
      </c>
      <c r="N943" t="s">
        <v>2690</v>
      </c>
      <c r="O943" t="s">
        <v>2703</v>
      </c>
    </row>
    <row r="944" spans="1:15" ht="15.75">
      <c r="A944" t="s">
        <v>970</v>
      </c>
      <c r="B944" t="s">
        <v>1186</v>
      </c>
      <c r="C944" t="s">
        <v>1307</v>
      </c>
      <c r="D944" t="s">
        <v>21</v>
      </c>
      <c r="E944">
        <v>57</v>
      </c>
      <c r="F944" t="s">
        <v>1132</v>
      </c>
      <c r="G944" t="s">
        <v>3080</v>
      </c>
      <c r="H944" t="s">
        <v>3081</v>
      </c>
      <c r="I944" s="2">
        <v>44761</v>
      </c>
      <c r="J944" t="s">
        <v>1135</v>
      </c>
      <c r="K944" t="s">
        <v>778</v>
      </c>
      <c r="L944" t="s">
        <v>777</v>
      </c>
      <c r="M944" t="s">
        <v>2689</v>
      </c>
      <c r="N944" t="s">
        <v>2690</v>
      </c>
      <c r="O944" t="s">
        <v>2691</v>
      </c>
    </row>
    <row r="945" spans="1:15" ht="15.75">
      <c r="A945" t="s">
        <v>971</v>
      </c>
      <c r="B945" t="s">
        <v>1154</v>
      </c>
      <c r="C945" t="s">
        <v>1307</v>
      </c>
      <c r="D945" t="s">
        <v>16</v>
      </c>
      <c r="E945">
        <v>44</v>
      </c>
      <c r="F945" t="s">
        <v>1139</v>
      </c>
      <c r="G945" t="s">
        <v>3082</v>
      </c>
      <c r="H945" t="s">
        <v>3083</v>
      </c>
      <c r="I945" s="2">
        <v>45158</v>
      </c>
      <c r="J945" t="s">
        <v>1142</v>
      </c>
      <c r="K945" t="s">
        <v>778</v>
      </c>
      <c r="L945" t="s">
        <v>777</v>
      </c>
      <c r="M945" t="s">
        <v>2694</v>
      </c>
      <c r="N945" t="s">
        <v>2690</v>
      </c>
      <c r="O945" t="s">
        <v>2695</v>
      </c>
    </row>
    <row r="946" spans="1:15" ht="15.75">
      <c r="A946" t="s">
        <v>972</v>
      </c>
      <c r="B946" t="s">
        <v>1157</v>
      </c>
      <c r="C946" t="s">
        <v>1307</v>
      </c>
      <c r="D946" t="s">
        <v>16</v>
      </c>
      <c r="E946">
        <v>30</v>
      </c>
      <c r="F946" t="s">
        <v>1118</v>
      </c>
      <c r="G946" t="s">
        <v>3084</v>
      </c>
      <c r="H946" t="s">
        <v>3085</v>
      </c>
      <c r="I946" s="2">
        <v>44460</v>
      </c>
      <c r="J946" t="s">
        <v>1121</v>
      </c>
      <c r="K946" t="s">
        <v>778</v>
      </c>
      <c r="L946" t="s">
        <v>777</v>
      </c>
      <c r="M946" t="s">
        <v>2698</v>
      </c>
      <c r="N946" t="s">
        <v>2690</v>
      </c>
      <c r="O946" t="s">
        <v>2699</v>
      </c>
    </row>
    <row r="947" spans="1:15" ht="15.75">
      <c r="A947" t="s">
        <v>973</v>
      </c>
      <c r="B947" t="s">
        <v>1194</v>
      </c>
      <c r="C947" t="s">
        <v>1307</v>
      </c>
      <c r="D947" t="s">
        <v>16</v>
      </c>
      <c r="E947">
        <v>62</v>
      </c>
      <c r="F947" t="s">
        <v>1132</v>
      </c>
      <c r="G947" t="s">
        <v>3086</v>
      </c>
      <c r="H947" t="s">
        <v>3087</v>
      </c>
      <c r="I947" s="2">
        <v>44856</v>
      </c>
      <c r="J947" t="s">
        <v>1128</v>
      </c>
      <c r="K947" t="s">
        <v>778</v>
      </c>
      <c r="L947" t="s">
        <v>777</v>
      </c>
      <c r="M947" t="s">
        <v>2702</v>
      </c>
      <c r="N947" t="s">
        <v>2690</v>
      </c>
      <c r="O947" t="s">
        <v>2703</v>
      </c>
    </row>
    <row r="948" spans="1:15" ht="15.75">
      <c r="A948" t="s">
        <v>974</v>
      </c>
      <c r="B948" t="s">
        <v>1163</v>
      </c>
      <c r="C948" t="s">
        <v>1307</v>
      </c>
      <c r="D948" t="s">
        <v>16</v>
      </c>
      <c r="E948">
        <v>50</v>
      </c>
      <c r="F948" t="s">
        <v>1132</v>
      </c>
      <c r="G948" t="s">
        <v>3088</v>
      </c>
      <c r="H948" t="s">
        <v>3089</v>
      </c>
      <c r="I948" s="2">
        <v>45253</v>
      </c>
      <c r="J948" t="s">
        <v>1135</v>
      </c>
      <c r="K948" t="s">
        <v>778</v>
      </c>
      <c r="L948" t="s">
        <v>777</v>
      </c>
      <c r="M948" t="s">
        <v>2689</v>
      </c>
      <c r="N948" t="s">
        <v>2690</v>
      </c>
      <c r="O948" t="s">
        <v>2691</v>
      </c>
    </row>
    <row r="949" spans="1:15" ht="15.75">
      <c r="A949" t="s">
        <v>975</v>
      </c>
      <c r="B949" t="s">
        <v>1200</v>
      </c>
      <c r="C949" t="s">
        <v>1307</v>
      </c>
      <c r="D949" t="s">
        <v>21</v>
      </c>
      <c r="E949">
        <v>23</v>
      </c>
      <c r="F949" t="s">
        <v>1164</v>
      </c>
      <c r="G949" t="s">
        <v>3090</v>
      </c>
      <c r="H949" t="s">
        <v>3091</v>
      </c>
      <c r="I949" s="2">
        <v>44554</v>
      </c>
      <c r="J949" t="s">
        <v>1142</v>
      </c>
      <c r="K949" t="s">
        <v>778</v>
      </c>
      <c r="L949" t="s">
        <v>777</v>
      </c>
      <c r="M949" t="s">
        <v>2694</v>
      </c>
      <c r="N949" t="s">
        <v>2690</v>
      </c>
      <c r="O949" t="s">
        <v>2695</v>
      </c>
    </row>
    <row r="950" spans="1:15" ht="15.75">
      <c r="A950" t="s">
        <v>976</v>
      </c>
      <c r="B950" t="s">
        <v>1203</v>
      </c>
      <c r="C950" t="s">
        <v>1332</v>
      </c>
      <c r="D950" t="s">
        <v>21</v>
      </c>
      <c r="E950">
        <v>41</v>
      </c>
      <c r="F950" t="s">
        <v>1139</v>
      </c>
      <c r="G950" t="s">
        <v>3092</v>
      </c>
      <c r="H950" t="s">
        <v>3093</v>
      </c>
      <c r="I950" s="2">
        <v>44586</v>
      </c>
      <c r="J950" t="s">
        <v>1121</v>
      </c>
      <c r="K950" t="s">
        <v>778</v>
      </c>
      <c r="L950" t="s">
        <v>777</v>
      </c>
      <c r="M950" t="s">
        <v>2698</v>
      </c>
      <c r="N950" t="s">
        <v>2690</v>
      </c>
      <c r="O950" t="s">
        <v>2699</v>
      </c>
    </row>
    <row r="951" spans="1:15" ht="15.75">
      <c r="A951" t="s">
        <v>977</v>
      </c>
      <c r="B951" t="s">
        <v>1173</v>
      </c>
      <c r="C951" t="s">
        <v>1332</v>
      </c>
      <c r="D951" t="s">
        <v>16</v>
      </c>
      <c r="E951">
        <v>36</v>
      </c>
      <c r="F951" t="s">
        <v>1139</v>
      </c>
      <c r="G951" t="s">
        <v>3094</v>
      </c>
      <c r="H951" t="s">
        <v>3095</v>
      </c>
      <c r="I951" s="2">
        <v>44983</v>
      </c>
      <c r="J951" t="s">
        <v>1128</v>
      </c>
      <c r="K951" t="s">
        <v>778</v>
      </c>
      <c r="L951" t="s">
        <v>777</v>
      </c>
      <c r="M951" t="s">
        <v>2702</v>
      </c>
      <c r="N951" t="s">
        <v>2690</v>
      </c>
      <c r="O951" t="s">
        <v>2703</v>
      </c>
    </row>
    <row r="952" spans="1:15" ht="15.75">
      <c r="A952" t="s">
        <v>978</v>
      </c>
      <c r="B952" t="s">
        <v>1131</v>
      </c>
      <c r="C952" t="s">
        <v>1332</v>
      </c>
      <c r="D952" t="s">
        <v>16</v>
      </c>
      <c r="E952">
        <v>33</v>
      </c>
      <c r="F952" t="s">
        <v>1118</v>
      </c>
      <c r="G952" t="s">
        <v>3096</v>
      </c>
      <c r="H952" t="s">
        <v>3097</v>
      </c>
      <c r="I952" s="2">
        <v>44282</v>
      </c>
      <c r="J952" t="s">
        <v>1135</v>
      </c>
      <c r="K952" t="s">
        <v>778</v>
      </c>
      <c r="L952" t="s">
        <v>777</v>
      </c>
      <c r="M952" t="s">
        <v>2689</v>
      </c>
      <c r="N952" t="s">
        <v>2690</v>
      </c>
      <c r="O952" t="s">
        <v>2691</v>
      </c>
    </row>
    <row r="953" spans="1:15" ht="15.75">
      <c r="A953" t="s">
        <v>979</v>
      </c>
      <c r="B953" t="s">
        <v>1211</v>
      </c>
      <c r="C953" t="s">
        <v>1332</v>
      </c>
      <c r="D953" t="s">
        <v>21</v>
      </c>
      <c r="E953">
        <v>57</v>
      </c>
      <c r="F953" t="s">
        <v>1132</v>
      </c>
      <c r="G953" t="s">
        <v>3098</v>
      </c>
      <c r="H953" t="s">
        <v>3099</v>
      </c>
      <c r="I953" s="2">
        <v>44679</v>
      </c>
      <c r="J953" t="s">
        <v>1142</v>
      </c>
      <c r="K953" t="s">
        <v>778</v>
      </c>
      <c r="L953" t="s">
        <v>777</v>
      </c>
      <c r="M953" t="s">
        <v>2694</v>
      </c>
      <c r="N953" t="s">
        <v>2690</v>
      </c>
      <c r="O953" t="s">
        <v>2695</v>
      </c>
    </row>
    <row r="954" spans="1:15" ht="15.75">
      <c r="A954" t="s">
        <v>980</v>
      </c>
      <c r="B954" t="s">
        <v>1145</v>
      </c>
      <c r="C954" t="s">
        <v>1332</v>
      </c>
      <c r="D954" t="s">
        <v>16</v>
      </c>
      <c r="E954">
        <v>45</v>
      </c>
      <c r="F954" t="s">
        <v>1139</v>
      </c>
      <c r="G954" t="s">
        <v>3100</v>
      </c>
      <c r="H954" t="s">
        <v>3101</v>
      </c>
      <c r="I954" s="2">
        <v>45047</v>
      </c>
      <c r="J954" t="s">
        <v>1121</v>
      </c>
      <c r="K954" t="s">
        <v>778</v>
      </c>
      <c r="L954" t="s">
        <v>777</v>
      </c>
      <c r="M954" t="s">
        <v>2698</v>
      </c>
      <c r="N954" t="s">
        <v>2690</v>
      </c>
      <c r="O954" t="s">
        <v>2699</v>
      </c>
    </row>
    <row r="955" spans="1:15" ht="15.75">
      <c r="A955" t="s">
        <v>981</v>
      </c>
      <c r="B955" t="s">
        <v>1148</v>
      </c>
      <c r="C955" t="s">
        <v>1332</v>
      </c>
      <c r="D955" t="s">
        <v>21</v>
      </c>
      <c r="E955">
        <v>50</v>
      </c>
      <c r="F955" t="s">
        <v>1132</v>
      </c>
      <c r="G955" t="s">
        <v>3102</v>
      </c>
      <c r="H955" t="s">
        <v>3103</v>
      </c>
      <c r="I955" s="2">
        <v>44349</v>
      </c>
      <c r="J955" t="s">
        <v>1128</v>
      </c>
      <c r="K955" t="s">
        <v>778</v>
      </c>
      <c r="L955" t="s">
        <v>777</v>
      </c>
      <c r="M955" t="s">
        <v>2702</v>
      </c>
      <c r="N955" t="s">
        <v>2690</v>
      </c>
      <c r="O955" t="s">
        <v>2703</v>
      </c>
    </row>
    <row r="956" spans="1:15" ht="15.75">
      <c r="A956" t="s">
        <v>982</v>
      </c>
      <c r="B956" t="s">
        <v>1151</v>
      </c>
      <c r="C956" t="s">
        <v>1332</v>
      </c>
      <c r="D956" t="s">
        <v>16</v>
      </c>
      <c r="E956">
        <v>58</v>
      </c>
      <c r="F956" t="s">
        <v>1132</v>
      </c>
      <c r="G956" t="s">
        <v>3104</v>
      </c>
      <c r="H956" t="s">
        <v>3105</v>
      </c>
      <c r="I956" s="2">
        <v>44745</v>
      </c>
      <c r="J956" t="s">
        <v>1135</v>
      </c>
      <c r="K956" t="s">
        <v>778</v>
      </c>
      <c r="L956" t="s">
        <v>777</v>
      </c>
      <c r="M956" t="s">
        <v>2689</v>
      </c>
      <c r="N956" t="s">
        <v>2690</v>
      </c>
      <c r="O956" t="s">
        <v>2691</v>
      </c>
    </row>
    <row r="957" spans="1:15" ht="15.75">
      <c r="A957" t="s">
        <v>983</v>
      </c>
      <c r="B957" t="s">
        <v>1154</v>
      </c>
      <c r="C957" t="s">
        <v>1332</v>
      </c>
      <c r="D957" t="s">
        <v>16</v>
      </c>
      <c r="E957">
        <v>30</v>
      </c>
      <c r="F957" t="s">
        <v>1118</v>
      </c>
      <c r="G957" t="s">
        <v>3106</v>
      </c>
      <c r="H957" t="s">
        <v>3107</v>
      </c>
      <c r="I957" s="2">
        <v>45142</v>
      </c>
      <c r="J957" t="s">
        <v>1142</v>
      </c>
      <c r="K957" t="s">
        <v>778</v>
      </c>
      <c r="L957" t="s">
        <v>777</v>
      </c>
      <c r="M957" t="s">
        <v>2694</v>
      </c>
      <c r="N957" t="s">
        <v>2690</v>
      </c>
      <c r="O957" t="s">
        <v>2695</v>
      </c>
    </row>
    <row r="958" spans="1:15" ht="15.75">
      <c r="A958" t="s">
        <v>984</v>
      </c>
      <c r="B958" t="s">
        <v>1191</v>
      </c>
      <c r="C958" t="s">
        <v>1332</v>
      </c>
      <c r="D958" t="s">
        <v>21</v>
      </c>
      <c r="E958">
        <v>60</v>
      </c>
      <c r="F958" t="s">
        <v>1132</v>
      </c>
      <c r="G958" t="s">
        <v>3108</v>
      </c>
      <c r="H958" t="s">
        <v>3109</v>
      </c>
      <c r="I958" s="2">
        <v>44444</v>
      </c>
      <c r="J958" t="s">
        <v>1121</v>
      </c>
      <c r="K958" t="s">
        <v>778</v>
      </c>
      <c r="L958" t="s">
        <v>777</v>
      </c>
      <c r="M958" t="s">
        <v>2698</v>
      </c>
      <c r="N958" t="s">
        <v>2690</v>
      </c>
      <c r="O958" t="s">
        <v>2699</v>
      </c>
    </row>
    <row r="959" spans="1:15" ht="15.75">
      <c r="A959" t="s">
        <v>985</v>
      </c>
      <c r="B959" t="s">
        <v>1194</v>
      </c>
      <c r="C959" t="s">
        <v>1332</v>
      </c>
      <c r="D959" t="s">
        <v>16</v>
      </c>
      <c r="E959">
        <v>62</v>
      </c>
      <c r="F959" t="s">
        <v>1132</v>
      </c>
      <c r="G959" t="s">
        <v>3110</v>
      </c>
      <c r="H959" t="s">
        <v>3111</v>
      </c>
      <c r="I959" s="2">
        <v>44840</v>
      </c>
      <c r="J959" t="s">
        <v>1128</v>
      </c>
      <c r="K959" t="s">
        <v>778</v>
      </c>
      <c r="L959" t="s">
        <v>777</v>
      </c>
      <c r="M959" t="s">
        <v>2702</v>
      </c>
      <c r="N959" t="s">
        <v>2690</v>
      </c>
      <c r="O959" t="s">
        <v>2703</v>
      </c>
    </row>
    <row r="960" spans="1:15" ht="15.75">
      <c r="A960" t="s">
        <v>986</v>
      </c>
      <c r="B960" t="s">
        <v>1197</v>
      </c>
      <c r="C960" t="s">
        <v>1332</v>
      </c>
      <c r="D960" t="s">
        <v>21</v>
      </c>
      <c r="E960">
        <v>42</v>
      </c>
      <c r="F960" t="s">
        <v>1139</v>
      </c>
      <c r="G960" t="s">
        <v>3112</v>
      </c>
      <c r="H960" t="s">
        <v>3113</v>
      </c>
      <c r="I960" s="2">
        <v>45237</v>
      </c>
      <c r="J960" t="s">
        <v>1135</v>
      </c>
      <c r="K960" t="s">
        <v>778</v>
      </c>
      <c r="L960" t="s">
        <v>777</v>
      </c>
      <c r="M960" t="s">
        <v>2689</v>
      </c>
      <c r="N960" t="s">
        <v>2690</v>
      </c>
      <c r="O960" t="s">
        <v>2691</v>
      </c>
    </row>
    <row r="961" spans="1:15" ht="15.75">
      <c r="A961" t="s">
        <v>987</v>
      </c>
      <c r="B961" t="s">
        <v>1167</v>
      </c>
      <c r="C961" t="s">
        <v>1332</v>
      </c>
      <c r="D961" t="s">
        <v>16</v>
      </c>
      <c r="E961">
        <v>59</v>
      </c>
      <c r="F961" t="s">
        <v>1132</v>
      </c>
      <c r="G961" t="s">
        <v>3114</v>
      </c>
      <c r="H961" t="s">
        <v>3115</v>
      </c>
      <c r="I961" s="2">
        <v>44538</v>
      </c>
      <c r="J961" t="s">
        <v>1142</v>
      </c>
      <c r="K961" t="s">
        <v>778</v>
      </c>
      <c r="L961" t="s">
        <v>777</v>
      </c>
      <c r="M961" t="s">
        <v>2694</v>
      </c>
      <c r="N961" t="s">
        <v>2690</v>
      </c>
      <c r="O961" t="s">
        <v>2695</v>
      </c>
    </row>
    <row r="962" spans="1:15" ht="15.75">
      <c r="A962" t="s">
        <v>988</v>
      </c>
      <c r="B962" t="s">
        <v>1116</v>
      </c>
      <c r="C962" t="s">
        <v>1357</v>
      </c>
      <c r="D962" t="s">
        <v>16</v>
      </c>
      <c r="E962">
        <v>53</v>
      </c>
      <c r="F962" t="s">
        <v>1132</v>
      </c>
      <c r="G962" t="s">
        <v>3116</v>
      </c>
      <c r="H962" t="s">
        <v>3117</v>
      </c>
      <c r="I962" s="2">
        <v>44570</v>
      </c>
      <c r="J962" t="s">
        <v>1121</v>
      </c>
      <c r="K962" t="s">
        <v>778</v>
      </c>
      <c r="L962" t="s">
        <v>777</v>
      </c>
      <c r="M962" t="s">
        <v>2698</v>
      </c>
      <c r="N962" t="s">
        <v>2690</v>
      </c>
      <c r="O962" t="s">
        <v>2699</v>
      </c>
    </row>
    <row r="963" spans="1:15" ht="15.75">
      <c r="A963" t="s">
        <v>989</v>
      </c>
      <c r="B963" t="s">
        <v>1173</v>
      </c>
      <c r="C963" t="s">
        <v>1357</v>
      </c>
      <c r="D963" t="s">
        <v>16</v>
      </c>
      <c r="E963">
        <v>44</v>
      </c>
      <c r="F963" t="s">
        <v>1139</v>
      </c>
      <c r="G963" t="s">
        <v>3118</v>
      </c>
      <c r="H963" t="s">
        <v>3119</v>
      </c>
      <c r="I963" s="2">
        <v>44967</v>
      </c>
      <c r="J963" t="s">
        <v>1128</v>
      </c>
      <c r="K963" t="s">
        <v>778</v>
      </c>
      <c r="L963" t="s">
        <v>777</v>
      </c>
      <c r="M963" t="s">
        <v>2702</v>
      </c>
      <c r="N963" t="s">
        <v>2690</v>
      </c>
      <c r="O963" t="s">
        <v>2703</v>
      </c>
    </row>
    <row r="964" spans="1:15" ht="15.75">
      <c r="A964" t="s">
        <v>990</v>
      </c>
      <c r="B964" t="s">
        <v>1176</v>
      </c>
      <c r="C964" t="s">
        <v>1357</v>
      </c>
      <c r="D964" t="s">
        <v>21</v>
      </c>
      <c r="E964">
        <v>55</v>
      </c>
      <c r="F964" t="s">
        <v>1132</v>
      </c>
      <c r="G964" t="s">
        <v>3120</v>
      </c>
      <c r="H964" t="s">
        <v>3121</v>
      </c>
      <c r="I964" s="2">
        <v>44266</v>
      </c>
      <c r="J964" t="s">
        <v>1135</v>
      </c>
      <c r="K964" t="s">
        <v>778</v>
      </c>
      <c r="L964" t="s">
        <v>777</v>
      </c>
      <c r="M964" t="s">
        <v>2689</v>
      </c>
      <c r="N964" t="s">
        <v>2690</v>
      </c>
      <c r="O964" t="s">
        <v>2691</v>
      </c>
    </row>
    <row r="965" spans="1:15" ht="15.75">
      <c r="A965" t="s">
        <v>991</v>
      </c>
      <c r="B965" t="s">
        <v>1138</v>
      </c>
      <c r="C965" t="s">
        <v>1357</v>
      </c>
      <c r="D965" t="s">
        <v>16</v>
      </c>
      <c r="E965">
        <v>24</v>
      </c>
      <c r="F965" t="s">
        <v>1164</v>
      </c>
      <c r="G965" t="s">
        <v>3122</v>
      </c>
      <c r="H965" t="s">
        <v>3123</v>
      </c>
      <c r="I965" s="2">
        <v>44663</v>
      </c>
      <c r="J965" t="s">
        <v>1142</v>
      </c>
      <c r="K965" t="s">
        <v>778</v>
      </c>
      <c r="L965" t="s">
        <v>777</v>
      </c>
      <c r="M965" t="s">
        <v>2694</v>
      </c>
      <c r="N965" t="s">
        <v>2690</v>
      </c>
      <c r="O965" t="s">
        <v>2695</v>
      </c>
    </row>
    <row r="966" spans="1:15" ht="15.75">
      <c r="A966" t="s">
        <v>992</v>
      </c>
      <c r="B966" t="s">
        <v>1145</v>
      </c>
      <c r="C966" t="s">
        <v>1357</v>
      </c>
      <c r="D966" t="s">
        <v>16</v>
      </c>
      <c r="E966">
        <v>22</v>
      </c>
      <c r="F966" t="s">
        <v>1164</v>
      </c>
      <c r="G966" t="s">
        <v>3124</v>
      </c>
      <c r="H966" t="s">
        <v>3125</v>
      </c>
      <c r="I966" s="2">
        <v>45059</v>
      </c>
      <c r="J966" t="s">
        <v>1121</v>
      </c>
      <c r="K966" t="s">
        <v>778</v>
      </c>
      <c r="L966" t="s">
        <v>777</v>
      </c>
      <c r="M966" t="s">
        <v>2698</v>
      </c>
      <c r="N966" t="s">
        <v>2690</v>
      </c>
      <c r="O966" t="s">
        <v>2699</v>
      </c>
    </row>
    <row r="967" spans="1:15" ht="15.75">
      <c r="A967" t="s">
        <v>993</v>
      </c>
      <c r="B967" t="s">
        <v>1241</v>
      </c>
      <c r="C967" t="s">
        <v>1357</v>
      </c>
      <c r="D967" t="s">
        <v>16</v>
      </c>
      <c r="E967">
        <v>60</v>
      </c>
      <c r="F967" t="s">
        <v>1132</v>
      </c>
      <c r="G967" t="s">
        <v>3126</v>
      </c>
      <c r="H967" t="s">
        <v>3127</v>
      </c>
      <c r="I967" s="2">
        <v>44361</v>
      </c>
      <c r="J967" t="s">
        <v>1128</v>
      </c>
      <c r="K967" t="s">
        <v>778</v>
      </c>
      <c r="L967" t="s">
        <v>777</v>
      </c>
      <c r="M967" t="s">
        <v>2702</v>
      </c>
      <c r="N967" t="s">
        <v>2690</v>
      </c>
      <c r="O967" t="s">
        <v>2703</v>
      </c>
    </row>
    <row r="968" spans="1:15" ht="15.75">
      <c r="A968" t="s">
        <v>994</v>
      </c>
      <c r="B968" t="s">
        <v>1151</v>
      </c>
      <c r="C968" t="s">
        <v>1357</v>
      </c>
      <c r="D968" t="s">
        <v>16</v>
      </c>
      <c r="E968">
        <v>62</v>
      </c>
      <c r="F968" t="s">
        <v>1132</v>
      </c>
      <c r="G968" t="s">
        <v>3128</v>
      </c>
      <c r="H968" t="s">
        <v>3129</v>
      </c>
      <c r="I968" s="2">
        <v>44757</v>
      </c>
      <c r="J968" t="s">
        <v>1135</v>
      </c>
      <c r="K968" t="s">
        <v>778</v>
      </c>
      <c r="L968" t="s">
        <v>777</v>
      </c>
      <c r="M968" t="s">
        <v>2689</v>
      </c>
      <c r="N968" t="s">
        <v>2690</v>
      </c>
      <c r="O968" t="s">
        <v>2691</v>
      </c>
    </row>
    <row r="969" spans="1:15" ht="15.75">
      <c r="A969" t="s">
        <v>995</v>
      </c>
      <c r="B969" t="s">
        <v>1246</v>
      </c>
      <c r="C969" t="s">
        <v>1357</v>
      </c>
      <c r="D969" t="s">
        <v>21</v>
      </c>
      <c r="E969">
        <v>48</v>
      </c>
      <c r="F969" t="s">
        <v>1132</v>
      </c>
      <c r="G969" t="s">
        <v>3130</v>
      </c>
      <c r="H969" t="s">
        <v>3131</v>
      </c>
      <c r="I969" s="2">
        <v>45154</v>
      </c>
      <c r="J969" t="s">
        <v>1142</v>
      </c>
      <c r="K969" t="s">
        <v>778</v>
      </c>
      <c r="L969" t="s">
        <v>777</v>
      </c>
      <c r="M969" t="s">
        <v>2694</v>
      </c>
      <c r="N969" t="s">
        <v>2690</v>
      </c>
      <c r="O969" t="s">
        <v>2695</v>
      </c>
    </row>
    <row r="970" spans="1:15" ht="15.75">
      <c r="A970" t="s">
        <v>996</v>
      </c>
      <c r="B970" t="s">
        <v>1191</v>
      </c>
      <c r="C970" t="s">
        <v>1357</v>
      </c>
      <c r="D970" t="s">
        <v>21</v>
      </c>
      <c r="E970">
        <v>40</v>
      </c>
      <c r="F970" t="s">
        <v>1139</v>
      </c>
      <c r="G970" t="s">
        <v>3132</v>
      </c>
      <c r="H970" t="s">
        <v>3133</v>
      </c>
      <c r="I970" s="2">
        <v>44456</v>
      </c>
      <c r="J970" t="s">
        <v>1121</v>
      </c>
      <c r="K970" t="s">
        <v>778</v>
      </c>
      <c r="L970" t="s">
        <v>777</v>
      </c>
      <c r="M970" t="s">
        <v>2698</v>
      </c>
      <c r="N970" t="s">
        <v>2690</v>
      </c>
      <c r="O970" t="s">
        <v>2699</v>
      </c>
    </row>
    <row r="971" spans="1:15" ht="15.75">
      <c r="A971" t="s">
        <v>997</v>
      </c>
      <c r="B971" t="s">
        <v>1194</v>
      </c>
      <c r="C971" t="s">
        <v>1357</v>
      </c>
      <c r="D971" t="s">
        <v>16</v>
      </c>
      <c r="E971">
        <v>59</v>
      </c>
      <c r="F971" t="s">
        <v>1132</v>
      </c>
      <c r="G971" t="s">
        <v>3134</v>
      </c>
      <c r="H971" t="s">
        <v>3135</v>
      </c>
      <c r="I971" s="2">
        <v>44852</v>
      </c>
      <c r="J971" t="s">
        <v>1128</v>
      </c>
      <c r="K971" t="s">
        <v>778</v>
      </c>
      <c r="L971" t="s">
        <v>777</v>
      </c>
      <c r="M971" t="s">
        <v>2702</v>
      </c>
      <c r="N971" t="s">
        <v>2690</v>
      </c>
      <c r="O971" t="s">
        <v>2703</v>
      </c>
    </row>
    <row r="972" spans="1:15" ht="15.75">
      <c r="A972" t="s">
        <v>998</v>
      </c>
      <c r="B972" t="s">
        <v>1197</v>
      </c>
      <c r="C972" t="s">
        <v>1357</v>
      </c>
      <c r="D972" t="s">
        <v>21</v>
      </c>
      <c r="E972">
        <v>27</v>
      </c>
      <c r="F972" t="s">
        <v>1118</v>
      </c>
      <c r="G972" t="s">
        <v>3136</v>
      </c>
      <c r="H972" t="s">
        <v>3137</v>
      </c>
      <c r="I972" s="2">
        <v>45249</v>
      </c>
      <c r="J972" t="s">
        <v>1135</v>
      </c>
      <c r="K972" t="s">
        <v>778</v>
      </c>
      <c r="L972" t="s">
        <v>777</v>
      </c>
      <c r="M972" t="s">
        <v>2689</v>
      </c>
      <c r="N972" t="s">
        <v>2690</v>
      </c>
      <c r="O972" t="s">
        <v>2691</v>
      </c>
    </row>
    <row r="973" spans="1:15" ht="15.75">
      <c r="A973" t="s">
        <v>999</v>
      </c>
      <c r="B973" t="s">
        <v>1167</v>
      </c>
      <c r="C973" t="s">
        <v>1357</v>
      </c>
      <c r="D973" t="s">
        <v>16</v>
      </c>
      <c r="E973">
        <v>49</v>
      </c>
      <c r="F973" t="s">
        <v>1132</v>
      </c>
      <c r="G973" t="s">
        <v>3138</v>
      </c>
      <c r="H973" t="s">
        <v>3139</v>
      </c>
      <c r="I973" s="2">
        <v>44550</v>
      </c>
      <c r="J973" t="s">
        <v>1142</v>
      </c>
      <c r="K973" t="s">
        <v>778</v>
      </c>
      <c r="L973" t="s">
        <v>777</v>
      </c>
      <c r="M973" t="s">
        <v>2694</v>
      </c>
      <c r="N973" t="s">
        <v>2690</v>
      </c>
      <c r="O973" t="s">
        <v>2695</v>
      </c>
    </row>
    <row r="974" spans="1:15" ht="15.75">
      <c r="A974" t="s">
        <v>1000</v>
      </c>
      <c r="B974" t="s">
        <v>1116</v>
      </c>
      <c r="C974" t="s">
        <v>1382</v>
      </c>
      <c r="D974" t="s">
        <v>16</v>
      </c>
      <c r="E974">
        <v>60</v>
      </c>
      <c r="F974" t="s">
        <v>1132</v>
      </c>
      <c r="G974" t="s">
        <v>3140</v>
      </c>
      <c r="H974" t="s">
        <v>3141</v>
      </c>
      <c r="I974" s="2">
        <v>44582</v>
      </c>
      <c r="J974" t="s">
        <v>1121</v>
      </c>
      <c r="K974" t="s">
        <v>778</v>
      </c>
      <c r="L974" t="s">
        <v>777</v>
      </c>
      <c r="M974" t="s">
        <v>2698</v>
      </c>
      <c r="N974" t="s">
        <v>2690</v>
      </c>
      <c r="O974" t="s">
        <v>2699</v>
      </c>
    </row>
    <row r="975" spans="1:15" ht="15.75">
      <c r="A975" t="s">
        <v>1001</v>
      </c>
      <c r="B975" t="s">
        <v>1173</v>
      </c>
      <c r="C975" t="s">
        <v>1382</v>
      </c>
      <c r="D975" t="s">
        <v>16</v>
      </c>
      <c r="E975">
        <v>47</v>
      </c>
      <c r="F975" t="s">
        <v>1132</v>
      </c>
      <c r="G975" t="s">
        <v>3142</v>
      </c>
      <c r="H975" t="s">
        <v>3143</v>
      </c>
      <c r="I975" s="2">
        <v>44979</v>
      </c>
      <c r="J975" t="s">
        <v>1128</v>
      </c>
      <c r="K975" t="s">
        <v>778</v>
      </c>
      <c r="L975" t="s">
        <v>777</v>
      </c>
      <c r="M975" t="s">
        <v>2702</v>
      </c>
      <c r="N975" t="s">
        <v>2690</v>
      </c>
      <c r="O975" t="s">
        <v>2703</v>
      </c>
    </row>
    <row r="976" spans="1:15" ht="15.75">
      <c r="A976" t="s">
        <v>1002</v>
      </c>
      <c r="B976" t="s">
        <v>1176</v>
      </c>
      <c r="C976" t="s">
        <v>1382</v>
      </c>
      <c r="D976" t="s">
        <v>21</v>
      </c>
      <c r="E976">
        <v>56</v>
      </c>
      <c r="F976" t="s">
        <v>1132</v>
      </c>
      <c r="G976" t="s">
        <v>3144</v>
      </c>
      <c r="H976" t="s">
        <v>3145</v>
      </c>
      <c r="I976" s="2">
        <v>44278</v>
      </c>
      <c r="J976" t="s">
        <v>1135</v>
      </c>
      <c r="K976" t="s">
        <v>778</v>
      </c>
      <c r="L976" t="s">
        <v>777</v>
      </c>
      <c r="M976" t="s">
        <v>2689</v>
      </c>
      <c r="N976" t="s">
        <v>2690</v>
      </c>
      <c r="O976" t="s">
        <v>2691</v>
      </c>
    </row>
    <row r="977" spans="1:15" ht="15.75">
      <c r="A977" t="s">
        <v>1003</v>
      </c>
      <c r="B977" t="s">
        <v>1211</v>
      </c>
      <c r="C977" t="s">
        <v>1382</v>
      </c>
      <c r="D977" t="s">
        <v>21</v>
      </c>
      <c r="E977">
        <v>48</v>
      </c>
      <c r="F977" t="s">
        <v>1132</v>
      </c>
      <c r="G977" t="s">
        <v>3146</v>
      </c>
      <c r="H977" t="s">
        <v>3147</v>
      </c>
      <c r="I977" s="2">
        <v>44675</v>
      </c>
      <c r="J977" t="s">
        <v>1142</v>
      </c>
      <c r="K977" t="s">
        <v>778</v>
      </c>
      <c r="L977" t="s">
        <v>777</v>
      </c>
      <c r="M977" t="s">
        <v>2694</v>
      </c>
      <c r="N977" t="s">
        <v>2690</v>
      </c>
      <c r="O977" t="s">
        <v>2695</v>
      </c>
    </row>
    <row r="978" spans="1:15" ht="15.75">
      <c r="A978" t="s">
        <v>1004</v>
      </c>
      <c r="B978" t="s">
        <v>1181</v>
      </c>
      <c r="C978" t="s">
        <v>1382</v>
      </c>
      <c r="D978" t="s">
        <v>21</v>
      </c>
      <c r="E978">
        <v>35</v>
      </c>
      <c r="F978" t="s">
        <v>1118</v>
      </c>
      <c r="G978" t="s">
        <v>3148</v>
      </c>
      <c r="H978" t="s">
        <v>3149</v>
      </c>
      <c r="I978" s="2">
        <v>45071</v>
      </c>
      <c r="J978" t="s">
        <v>1121</v>
      </c>
      <c r="K978" t="s">
        <v>778</v>
      </c>
      <c r="L978" t="s">
        <v>777</v>
      </c>
      <c r="M978" t="s">
        <v>2698</v>
      </c>
      <c r="N978" t="s">
        <v>2690</v>
      </c>
      <c r="O978" t="s">
        <v>2699</v>
      </c>
    </row>
    <row r="979" spans="1:15" ht="15.75">
      <c r="A979" t="s">
        <v>1005</v>
      </c>
      <c r="B979" t="s">
        <v>1148</v>
      </c>
      <c r="C979" t="s">
        <v>1382</v>
      </c>
      <c r="D979" t="s">
        <v>21</v>
      </c>
      <c r="E979">
        <v>53</v>
      </c>
      <c r="F979" t="s">
        <v>1132</v>
      </c>
      <c r="G979" t="s">
        <v>3150</v>
      </c>
      <c r="H979" t="s">
        <v>3151</v>
      </c>
      <c r="I979" s="2">
        <v>44373</v>
      </c>
      <c r="J979" t="s">
        <v>1128</v>
      </c>
      <c r="K979" t="s">
        <v>778</v>
      </c>
      <c r="L979" t="s">
        <v>777</v>
      </c>
      <c r="M979" t="s">
        <v>2702</v>
      </c>
      <c r="N979" t="s">
        <v>2690</v>
      </c>
      <c r="O979" t="s">
        <v>2703</v>
      </c>
    </row>
    <row r="980" spans="1:15" ht="15.75">
      <c r="A980" t="s">
        <v>1006</v>
      </c>
      <c r="B980" t="s">
        <v>1186</v>
      </c>
      <c r="C980" t="s">
        <v>1382</v>
      </c>
      <c r="D980" t="s">
        <v>21</v>
      </c>
      <c r="E980">
        <v>19</v>
      </c>
      <c r="F980" t="s">
        <v>1164</v>
      </c>
      <c r="G980" t="s">
        <v>3152</v>
      </c>
      <c r="H980" t="s">
        <v>3153</v>
      </c>
      <c r="I980" s="2">
        <v>44769</v>
      </c>
      <c r="J980" t="s">
        <v>1135</v>
      </c>
      <c r="K980" t="s">
        <v>778</v>
      </c>
      <c r="L980" t="s">
        <v>777</v>
      </c>
      <c r="M980" t="s">
        <v>2689</v>
      </c>
      <c r="N980" t="s">
        <v>2690</v>
      </c>
      <c r="O980" t="s">
        <v>2691</v>
      </c>
    </row>
    <row r="981" spans="1:15" ht="15.75">
      <c r="A981" t="s">
        <v>1007</v>
      </c>
      <c r="B981" t="s">
        <v>1246</v>
      </c>
      <c r="C981" t="s">
        <v>1382</v>
      </c>
      <c r="D981" t="s">
        <v>21</v>
      </c>
      <c r="E981">
        <v>31</v>
      </c>
      <c r="F981" t="s">
        <v>1118</v>
      </c>
      <c r="G981" t="s">
        <v>3154</v>
      </c>
      <c r="H981" t="s">
        <v>3155</v>
      </c>
      <c r="I981" s="2">
        <v>45166</v>
      </c>
      <c r="J981" t="s">
        <v>1142</v>
      </c>
      <c r="K981" t="s">
        <v>778</v>
      </c>
      <c r="L981" t="s">
        <v>777</v>
      </c>
      <c r="M981" t="s">
        <v>2694</v>
      </c>
      <c r="N981" t="s">
        <v>2690</v>
      </c>
      <c r="O981" t="s">
        <v>2695</v>
      </c>
    </row>
    <row r="982" spans="1:15" ht="15.75">
      <c r="A982" t="s">
        <v>1008</v>
      </c>
      <c r="B982" t="s">
        <v>1191</v>
      </c>
      <c r="C982" t="s">
        <v>1382</v>
      </c>
      <c r="D982" t="s">
        <v>21</v>
      </c>
      <c r="E982">
        <v>30</v>
      </c>
      <c r="F982" t="s">
        <v>1118</v>
      </c>
      <c r="G982" t="s">
        <v>3156</v>
      </c>
      <c r="H982" t="s">
        <v>3157</v>
      </c>
      <c r="I982" s="2">
        <v>44440</v>
      </c>
      <c r="J982" t="s">
        <v>1121</v>
      </c>
      <c r="K982" t="s">
        <v>778</v>
      </c>
      <c r="L982" t="s">
        <v>777</v>
      </c>
      <c r="M982" t="s">
        <v>2698</v>
      </c>
      <c r="N982" t="s">
        <v>2690</v>
      </c>
      <c r="O982" t="s">
        <v>2699</v>
      </c>
    </row>
    <row r="983" spans="1:15" ht="15.75">
      <c r="A983" t="s">
        <v>1009</v>
      </c>
      <c r="B983" t="s">
        <v>1160</v>
      </c>
      <c r="C983" t="s">
        <v>1382</v>
      </c>
      <c r="D983" t="s">
        <v>21</v>
      </c>
      <c r="E983">
        <v>46</v>
      </c>
      <c r="F983" t="s">
        <v>1132</v>
      </c>
      <c r="G983" t="s">
        <v>3158</v>
      </c>
      <c r="H983" t="s">
        <v>3159</v>
      </c>
      <c r="I983" s="2">
        <v>44836</v>
      </c>
      <c r="J983" t="s">
        <v>1128</v>
      </c>
      <c r="K983" t="s">
        <v>778</v>
      </c>
      <c r="L983" t="s">
        <v>777</v>
      </c>
      <c r="M983" t="s">
        <v>2702</v>
      </c>
      <c r="N983" t="s">
        <v>2690</v>
      </c>
      <c r="O983" t="s">
        <v>2703</v>
      </c>
    </row>
    <row r="984" spans="1:15" ht="15.75">
      <c r="A984" t="s">
        <v>1010</v>
      </c>
      <c r="B984" t="s">
        <v>1197</v>
      </c>
      <c r="C984" t="s">
        <v>1382</v>
      </c>
      <c r="D984" t="s">
        <v>21</v>
      </c>
      <c r="E984">
        <v>29</v>
      </c>
      <c r="F984" t="s">
        <v>1118</v>
      </c>
      <c r="G984" t="s">
        <v>3160</v>
      </c>
      <c r="H984" t="s">
        <v>3161</v>
      </c>
      <c r="I984" s="2">
        <v>45233</v>
      </c>
      <c r="J984" t="s">
        <v>1135</v>
      </c>
      <c r="K984" t="s">
        <v>778</v>
      </c>
      <c r="L984" t="s">
        <v>777</v>
      </c>
      <c r="M984" t="s">
        <v>2689</v>
      </c>
      <c r="N984" t="s">
        <v>2690</v>
      </c>
      <c r="O984" t="s">
        <v>2691</v>
      </c>
    </row>
    <row r="985" spans="1:15" ht="15.75">
      <c r="A985" t="s">
        <v>1011</v>
      </c>
      <c r="B985" t="s">
        <v>1167</v>
      </c>
      <c r="C985" t="s">
        <v>1382</v>
      </c>
      <c r="D985" t="s">
        <v>16</v>
      </c>
      <c r="E985">
        <v>56</v>
      </c>
      <c r="F985" t="s">
        <v>1132</v>
      </c>
      <c r="G985" t="s">
        <v>3162</v>
      </c>
      <c r="H985" t="s">
        <v>3163</v>
      </c>
      <c r="I985" s="2">
        <v>44534</v>
      </c>
      <c r="J985" t="s">
        <v>1142</v>
      </c>
      <c r="K985" t="s">
        <v>778</v>
      </c>
      <c r="L985" t="s">
        <v>777</v>
      </c>
      <c r="M985" t="s">
        <v>2694</v>
      </c>
      <c r="N985" t="s">
        <v>2690</v>
      </c>
      <c r="O985" t="s">
        <v>2695</v>
      </c>
    </row>
    <row r="986" spans="1:15" ht="15.75">
      <c r="A986" t="s">
        <v>1012</v>
      </c>
      <c r="B986" t="s">
        <v>1203</v>
      </c>
      <c r="C986" t="s">
        <v>1407</v>
      </c>
      <c r="D986" t="s">
        <v>21</v>
      </c>
      <c r="E986">
        <v>19</v>
      </c>
      <c r="F986" t="s">
        <v>1164</v>
      </c>
      <c r="G986" t="s">
        <v>3164</v>
      </c>
      <c r="H986" t="s">
        <v>3165</v>
      </c>
      <c r="I986" s="2">
        <v>44566</v>
      </c>
      <c r="J986" t="s">
        <v>1121</v>
      </c>
      <c r="K986" t="s">
        <v>778</v>
      </c>
      <c r="L986" t="s">
        <v>777</v>
      </c>
      <c r="M986" t="s">
        <v>2698</v>
      </c>
      <c r="N986" t="s">
        <v>2690</v>
      </c>
      <c r="O986" t="s">
        <v>2699</v>
      </c>
    </row>
    <row r="987" spans="1:15" ht="15.75">
      <c r="A987" t="s">
        <v>1013</v>
      </c>
      <c r="B987" t="s">
        <v>1125</v>
      </c>
      <c r="C987" t="s">
        <v>1407</v>
      </c>
      <c r="D987" t="s">
        <v>21</v>
      </c>
      <c r="E987">
        <v>49</v>
      </c>
      <c r="F987" t="s">
        <v>1132</v>
      </c>
      <c r="G987" t="s">
        <v>3166</v>
      </c>
      <c r="H987" t="s">
        <v>3167</v>
      </c>
      <c r="I987" s="2">
        <v>44963</v>
      </c>
      <c r="J987" t="s">
        <v>1128</v>
      </c>
      <c r="K987" t="s">
        <v>778</v>
      </c>
      <c r="L987" t="s">
        <v>777</v>
      </c>
      <c r="M987" t="s">
        <v>2702</v>
      </c>
      <c r="N987" t="s">
        <v>2690</v>
      </c>
      <c r="O987" t="s">
        <v>2703</v>
      </c>
    </row>
    <row r="988" spans="1:15" ht="15.75">
      <c r="A988" t="s">
        <v>1014</v>
      </c>
      <c r="B988" t="s">
        <v>1176</v>
      </c>
      <c r="C988" t="s">
        <v>1407</v>
      </c>
      <c r="D988" t="s">
        <v>21</v>
      </c>
      <c r="E988">
        <v>30</v>
      </c>
      <c r="F988" t="s">
        <v>1118</v>
      </c>
      <c r="G988" t="s">
        <v>3168</v>
      </c>
      <c r="H988" t="s">
        <v>3169</v>
      </c>
      <c r="I988" s="2">
        <v>44262</v>
      </c>
      <c r="J988" t="s">
        <v>1135</v>
      </c>
      <c r="K988" t="s">
        <v>778</v>
      </c>
      <c r="L988" t="s">
        <v>777</v>
      </c>
      <c r="M988" t="s">
        <v>2689</v>
      </c>
      <c r="N988" t="s">
        <v>2690</v>
      </c>
      <c r="O988" t="s">
        <v>2691</v>
      </c>
    </row>
    <row r="989" spans="1:15" ht="15.75">
      <c r="A989" t="s">
        <v>1015</v>
      </c>
      <c r="B989" t="s">
        <v>1211</v>
      </c>
      <c r="C989" t="s">
        <v>1407</v>
      </c>
      <c r="D989" t="s">
        <v>21</v>
      </c>
      <c r="E989">
        <v>63</v>
      </c>
      <c r="F989" t="s">
        <v>1132</v>
      </c>
      <c r="G989" t="s">
        <v>3170</v>
      </c>
      <c r="H989" t="s">
        <v>3171</v>
      </c>
      <c r="I989" s="2">
        <v>44659</v>
      </c>
      <c r="J989" t="s">
        <v>1142</v>
      </c>
      <c r="K989" t="s">
        <v>778</v>
      </c>
      <c r="L989" t="s">
        <v>777</v>
      </c>
      <c r="M989" t="s">
        <v>2694</v>
      </c>
      <c r="N989" t="s">
        <v>2690</v>
      </c>
      <c r="O989" t="s">
        <v>2695</v>
      </c>
    </row>
    <row r="990" spans="1:15" ht="15.75">
      <c r="A990" t="s">
        <v>1016</v>
      </c>
      <c r="B990" t="s">
        <v>1181</v>
      </c>
      <c r="C990" t="s">
        <v>1407</v>
      </c>
      <c r="D990" t="s">
        <v>21</v>
      </c>
      <c r="E990">
        <v>44</v>
      </c>
      <c r="F990" t="s">
        <v>1139</v>
      </c>
      <c r="G990" t="s">
        <v>3172</v>
      </c>
      <c r="H990" t="s">
        <v>3173</v>
      </c>
      <c r="I990" s="2">
        <v>45055</v>
      </c>
      <c r="J990" t="s">
        <v>1121</v>
      </c>
      <c r="K990" t="s">
        <v>778</v>
      </c>
      <c r="L990" t="s">
        <v>777</v>
      </c>
      <c r="M990" t="s">
        <v>2698</v>
      </c>
      <c r="N990" t="s">
        <v>2690</v>
      </c>
      <c r="O990" t="s">
        <v>2699</v>
      </c>
    </row>
    <row r="991" spans="1:15" ht="15.75">
      <c r="A991" t="s">
        <v>1017</v>
      </c>
      <c r="B991" t="s">
        <v>1148</v>
      </c>
      <c r="C991" t="s">
        <v>1407</v>
      </c>
      <c r="D991" t="s">
        <v>21</v>
      </c>
      <c r="E991">
        <v>58</v>
      </c>
      <c r="F991" t="s">
        <v>1132</v>
      </c>
      <c r="G991" t="s">
        <v>3174</v>
      </c>
      <c r="H991" t="s">
        <v>3175</v>
      </c>
      <c r="I991" s="2">
        <v>44357</v>
      </c>
      <c r="J991" t="s">
        <v>1128</v>
      </c>
      <c r="K991" t="s">
        <v>778</v>
      </c>
      <c r="L991" t="s">
        <v>777</v>
      </c>
      <c r="M991" t="s">
        <v>2702</v>
      </c>
      <c r="N991" t="s">
        <v>2690</v>
      </c>
      <c r="O991" t="s">
        <v>2703</v>
      </c>
    </row>
    <row r="992" spans="1:15" ht="15.75">
      <c r="A992" t="s">
        <v>1018</v>
      </c>
      <c r="B992" t="s">
        <v>1186</v>
      </c>
      <c r="C992" t="s">
        <v>1407</v>
      </c>
      <c r="D992" t="s">
        <v>21</v>
      </c>
      <c r="E992">
        <v>34</v>
      </c>
      <c r="F992" t="s">
        <v>1118</v>
      </c>
      <c r="G992" t="s">
        <v>3176</v>
      </c>
      <c r="H992" t="s">
        <v>3177</v>
      </c>
      <c r="I992" s="2">
        <v>44753</v>
      </c>
      <c r="J992" t="s">
        <v>1135</v>
      </c>
      <c r="K992" t="s">
        <v>778</v>
      </c>
      <c r="L992" t="s">
        <v>777</v>
      </c>
      <c r="M992" t="s">
        <v>2689</v>
      </c>
      <c r="N992" t="s">
        <v>2690</v>
      </c>
      <c r="O992" t="s">
        <v>2691</v>
      </c>
    </row>
    <row r="993" spans="1:15" ht="15.75">
      <c r="A993" t="s">
        <v>1019</v>
      </c>
      <c r="B993" t="s">
        <v>1246</v>
      </c>
      <c r="C993" t="s">
        <v>1407</v>
      </c>
      <c r="D993" t="s">
        <v>21</v>
      </c>
      <c r="E993">
        <v>57</v>
      </c>
      <c r="F993" t="s">
        <v>1132</v>
      </c>
      <c r="G993" t="s">
        <v>3178</v>
      </c>
      <c r="H993" t="s">
        <v>3179</v>
      </c>
      <c r="I993" s="2">
        <v>45150</v>
      </c>
      <c r="J993" t="s">
        <v>1142</v>
      </c>
      <c r="K993" t="s">
        <v>778</v>
      </c>
      <c r="L993" t="s">
        <v>777</v>
      </c>
      <c r="M993" t="s">
        <v>2694</v>
      </c>
      <c r="N993" t="s">
        <v>2690</v>
      </c>
      <c r="O993" t="s">
        <v>2695</v>
      </c>
    </row>
    <row r="994" spans="1:15" ht="15.75">
      <c r="A994" t="s">
        <v>1020</v>
      </c>
      <c r="B994" t="s">
        <v>1191</v>
      </c>
      <c r="C994" t="s">
        <v>1407</v>
      </c>
      <c r="D994" t="s">
        <v>21</v>
      </c>
      <c r="E994">
        <v>48</v>
      </c>
      <c r="F994" t="s">
        <v>1132</v>
      </c>
      <c r="G994" t="s">
        <v>3180</v>
      </c>
      <c r="H994" t="s">
        <v>3181</v>
      </c>
      <c r="I994" s="2">
        <v>44452</v>
      </c>
      <c r="J994" t="s">
        <v>1121</v>
      </c>
      <c r="K994" t="s">
        <v>778</v>
      </c>
      <c r="L994" t="s">
        <v>777</v>
      </c>
      <c r="M994" t="s">
        <v>2698</v>
      </c>
      <c r="N994" t="s">
        <v>2690</v>
      </c>
      <c r="O994" t="s">
        <v>2699</v>
      </c>
    </row>
    <row r="995" spans="1:15" ht="15.75">
      <c r="A995" t="s">
        <v>1021</v>
      </c>
      <c r="B995" t="s">
        <v>1160</v>
      </c>
      <c r="C995" t="s">
        <v>1407</v>
      </c>
      <c r="D995" t="s">
        <v>21</v>
      </c>
      <c r="E995">
        <v>51</v>
      </c>
      <c r="F995" t="s">
        <v>1132</v>
      </c>
      <c r="G995" t="s">
        <v>3182</v>
      </c>
      <c r="H995" t="s">
        <v>3183</v>
      </c>
      <c r="I995" s="2">
        <v>44848</v>
      </c>
      <c r="J995" t="s">
        <v>1128</v>
      </c>
      <c r="K995" t="s">
        <v>778</v>
      </c>
      <c r="L995" t="s">
        <v>777</v>
      </c>
      <c r="M995" t="s">
        <v>2702</v>
      </c>
      <c r="N995" t="s">
        <v>2690</v>
      </c>
      <c r="O995" t="s">
        <v>2703</v>
      </c>
    </row>
    <row r="996" spans="1:15" ht="15.75">
      <c r="A996" t="s">
        <v>1022</v>
      </c>
      <c r="B996" t="s">
        <v>1197</v>
      </c>
      <c r="C996" t="s">
        <v>1407</v>
      </c>
      <c r="D996" t="s">
        <v>21</v>
      </c>
      <c r="E996">
        <v>41</v>
      </c>
      <c r="F996" t="s">
        <v>1139</v>
      </c>
      <c r="G996" t="s">
        <v>3184</v>
      </c>
      <c r="H996" t="s">
        <v>3185</v>
      </c>
      <c r="I996" s="2">
        <v>45245</v>
      </c>
      <c r="J996" t="s">
        <v>1135</v>
      </c>
      <c r="K996" t="s">
        <v>778</v>
      </c>
      <c r="L996" t="s">
        <v>777</v>
      </c>
      <c r="M996" t="s">
        <v>2689</v>
      </c>
      <c r="N996" t="s">
        <v>2690</v>
      </c>
      <c r="O996" t="s">
        <v>2691</v>
      </c>
    </row>
    <row r="997" spans="1:15" ht="15.75">
      <c r="A997" t="s">
        <v>1023</v>
      </c>
      <c r="B997" t="s">
        <v>1167</v>
      </c>
      <c r="C997" t="s">
        <v>1407</v>
      </c>
      <c r="D997" t="s">
        <v>16</v>
      </c>
      <c r="E997">
        <v>62</v>
      </c>
      <c r="F997" t="s">
        <v>1132</v>
      </c>
      <c r="G997" t="s">
        <v>3186</v>
      </c>
      <c r="H997" t="s">
        <v>3187</v>
      </c>
      <c r="I997" s="2">
        <v>44546</v>
      </c>
      <c r="J997" t="s">
        <v>1142</v>
      </c>
      <c r="K997" t="s">
        <v>778</v>
      </c>
      <c r="L997" t="s">
        <v>777</v>
      </c>
      <c r="M997" t="s">
        <v>2694</v>
      </c>
      <c r="N997" t="s">
        <v>2690</v>
      </c>
      <c r="O997" t="s">
        <v>2695</v>
      </c>
    </row>
    <row r="998" spans="1:15" ht="15.75">
      <c r="A998" t="s">
        <v>1024</v>
      </c>
      <c r="B998" t="s">
        <v>1116</v>
      </c>
      <c r="C998" t="s">
        <v>1432</v>
      </c>
      <c r="D998" t="s">
        <v>16</v>
      </c>
      <c r="E998">
        <v>52</v>
      </c>
      <c r="F998" t="s">
        <v>1132</v>
      </c>
      <c r="G998" t="s">
        <v>3188</v>
      </c>
      <c r="H998" t="s">
        <v>3189</v>
      </c>
      <c r="I998" s="2">
        <v>44578</v>
      </c>
      <c r="J998" t="s">
        <v>1121</v>
      </c>
      <c r="K998" t="s">
        <v>778</v>
      </c>
      <c r="L998" t="s">
        <v>777</v>
      </c>
      <c r="M998" t="s">
        <v>2698</v>
      </c>
      <c r="N998" t="s">
        <v>2690</v>
      </c>
      <c r="O998" t="s">
        <v>2699</v>
      </c>
    </row>
    <row r="999" spans="1:15" ht="15.75">
      <c r="A999" t="s">
        <v>1025</v>
      </c>
      <c r="B999" t="s">
        <v>1125</v>
      </c>
      <c r="C999" t="s">
        <v>1432</v>
      </c>
      <c r="D999" t="s">
        <v>21</v>
      </c>
      <c r="E999">
        <v>23</v>
      </c>
      <c r="F999" t="s">
        <v>1164</v>
      </c>
      <c r="G999" t="s">
        <v>3190</v>
      </c>
      <c r="H999" t="s">
        <v>3191</v>
      </c>
      <c r="I999" s="2">
        <v>44975</v>
      </c>
      <c r="J999" t="s">
        <v>1128</v>
      </c>
      <c r="K999" t="s">
        <v>778</v>
      </c>
      <c r="L999" t="s">
        <v>777</v>
      </c>
      <c r="M999" t="s">
        <v>2702</v>
      </c>
      <c r="N999" t="s">
        <v>2690</v>
      </c>
      <c r="O999" t="s">
        <v>2703</v>
      </c>
    </row>
    <row r="1000" spans="1:15" ht="15.75">
      <c r="A1000" t="s">
        <v>1026</v>
      </c>
      <c r="B1000" t="s">
        <v>1176</v>
      </c>
      <c r="C1000" t="s">
        <v>1432</v>
      </c>
      <c r="D1000" t="s">
        <v>21</v>
      </c>
      <c r="E1000">
        <v>36</v>
      </c>
      <c r="F1000" t="s">
        <v>1139</v>
      </c>
      <c r="G1000" t="s">
        <v>3192</v>
      </c>
      <c r="H1000" t="s">
        <v>3193</v>
      </c>
      <c r="I1000" s="2">
        <v>44274</v>
      </c>
      <c r="J1000" t="s">
        <v>1135</v>
      </c>
      <c r="K1000" t="s">
        <v>778</v>
      </c>
      <c r="L1000" t="s">
        <v>777</v>
      </c>
      <c r="M1000" t="s">
        <v>2689</v>
      </c>
      <c r="N1000" t="s">
        <v>2690</v>
      </c>
      <c r="O1000" t="s">
        <v>2691</v>
      </c>
    </row>
    <row r="1001" spans="1:15" ht="15.75">
      <c r="A1001" t="s">
        <v>1027</v>
      </c>
      <c r="B1001" t="s">
        <v>1138</v>
      </c>
      <c r="C1001" t="s">
        <v>1432</v>
      </c>
      <c r="D1001" t="s">
        <v>16</v>
      </c>
      <c r="E1001">
        <v>47</v>
      </c>
      <c r="F1001" t="s">
        <v>1132</v>
      </c>
      <c r="G1001" t="s">
        <v>3194</v>
      </c>
      <c r="H1001" t="s">
        <v>3195</v>
      </c>
      <c r="I1001" s="2">
        <v>44671</v>
      </c>
      <c r="J1001" t="s">
        <v>1142</v>
      </c>
      <c r="K1001" t="s">
        <v>778</v>
      </c>
      <c r="L1001" t="s">
        <v>777</v>
      </c>
      <c r="M1001" t="s">
        <v>2694</v>
      </c>
      <c r="N1001" t="s">
        <v>2690</v>
      </c>
      <c r="O1001" t="s">
        <v>2695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Joshua Tangendjaja</cp:lastModifiedBy>
  <cp:revision/>
  <dcterms:created xsi:type="dcterms:W3CDTF">2026-03-18T23:49:23Z</dcterms:created>
  <dcterms:modified xsi:type="dcterms:W3CDTF">2026-03-21T08:07:31Z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2026-03-18T23:37:31Z</dcterms:created>
  <dc:creator>openpyxl</dc:creator>
  <dc:description/>
  <dc:language>en-US</dc:language>
  <cp:lastModifiedBy/>
  <dcterms:modified xsi:type="dcterms:W3CDTF">2026-03-18T23:38:22Z</dcterms:modified>
  <cp:revision>0</cp:revision>
  <dc:subject/>
  <dc:title/>
</cp:coreProperties>
</file>